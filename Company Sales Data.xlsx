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Returned order" sheetId="2" r:id="rId6"/>
    <sheet state="visible" name="Pivot Tables" sheetId="3" r:id="rId7"/>
    <sheet state="visible" name="Detail1-Lodz-1.00-Monday" sheetId="4" r:id="rId8"/>
    <sheet state="visible" name="Dashboard" sheetId="5" r:id="rId9"/>
  </sheets>
  <definedNames>
    <definedName hidden="1" localSheetId="0" name="Z_78B6CC87_D0ED_4304_AC36_B0F7BCB1043E_.wvu.FilterData">Dataset!$A$1:$S$1953</definedName>
    <definedName hidden="1" localSheetId="0" name="Z_78B6CC87_D0ED_4304_AC36_B0F7BCB1043E_.wvu.FilterData">Dataset!$D$1:$S$1953</definedName>
    <definedName hidden="1" localSheetId="0" name="Z_78B6CC87_D0ED_4304_AC36_B0F7BCB1043E_.wvu.FilterData">Dataset!$D$1:$S$1953</definedName>
    <definedName hidden="1" localSheetId="0" name="Z_4A7C7597_835F_4230_A362_E6F09E4395CA_.wvu.FilterData">Dataset!$A$1:$S$1953</definedName>
    <definedName name="SlicerCache_Table_2_Col_4">#N/A</definedName>
    <definedName name="SlicerCache_Table_2_Col_5">#N/A</definedName>
    <definedName name="SlicerCache_Table_2_Col_6">#N/A</definedName>
    <definedName name="SlicerCache_Table_2_Col_8">#N/A</definedName>
  </definedNames>
  <calcPr/>
  <customWorkbookViews>
    <customWorkbookView activeSheetId="0" maximized="1" windowHeight="0" windowWidth="0" guid="{78B6CC87-D0ED-4304-AC36-B0F7BCB1043E}" name="Filter 1"/>
    <customWorkbookView activeSheetId="0" maximized="1" windowHeight="0" windowWidth="0" guid="{4A7C7597-835F-4230-A362-E6F09E4395CA}" name="Filter 2"/>
  </customWorkbookViews>
  <pivotCaches>
    <pivotCache cacheId="0" r:id="rId10"/>
  </pivotCaches>
  <extLst>
    <ext uri="{46BE6895-7355-4a93-B00E-2C351335B9C9}">
      <x15:slicerCaches>
        <x14:slicerCache r:id="rId11"/>
        <x14:slicerCache r:id="rId12"/>
        <x14:slicerCache r:id="rId13"/>
        <x14:slicerCache r:id="rId14"/>
      </x15:slicerCaches>
    </ext>
  </extLst>
</workbook>
</file>

<file path=xl/sharedStrings.xml><?xml version="1.0" encoding="utf-8"?>
<sst xmlns="http://schemas.openxmlformats.org/spreadsheetml/2006/main" count="18043" uniqueCount="2099">
  <si>
    <t>Order ID</t>
  </si>
  <si>
    <t>Status</t>
  </si>
  <si>
    <t>Returned</t>
  </si>
  <si>
    <t>Unit Price</t>
  </si>
  <si>
    <t>Customer ID</t>
  </si>
  <si>
    <t>Customer Name</t>
  </si>
  <si>
    <t>Customer Segment</t>
  </si>
  <si>
    <t>Product Category</t>
  </si>
  <si>
    <t>Product Sub-Category</t>
  </si>
  <si>
    <t>Product Name</t>
  </si>
  <si>
    <t>City</t>
  </si>
  <si>
    <t>Order Weekday</t>
  </si>
  <si>
    <t>Row ID</t>
  </si>
  <si>
    <t>Weekday helper</t>
  </si>
  <si>
    <t>Order Priority</t>
  </si>
  <si>
    <t>Discount</t>
  </si>
  <si>
    <t>Profit</t>
  </si>
  <si>
    <t>Quantity ordered new</t>
  </si>
  <si>
    <t>Sales</t>
  </si>
  <si>
    <t>Order returned</t>
  </si>
  <si>
    <t>Order Date</t>
  </si>
  <si>
    <t>Randall Montgomery</t>
  </si>
  <si>
    <t>Consumer</t>
  </si>
  <si>
    <t>Office Supplies</t>
  </si>
  <si>
    <t>Binders and Binder Accessories</t>
  </si>
  <si>
    <t>Durable Pressboard Binders</t>
  </si>
  <si>
    <t>Lodz</t>
  </si>
  <si>
    <t>Monday</t>
  </si>
  <si>
    <t>High</t>
  </si>
  <si>
    <t>Pens &amp; Art Supplies</t>
  </si>
  <si>
    <t>Newell 310</t>
  </si>
  <si>
    <t>Bonnie Potter</t>
  </si>
  <si>
    <t>Corporate</t>
  </si>
  <si>
    <t>SANFORD Liquid Accent™ Tank-Style Highlighters</t>
  </si>
  <si>
    <t>Warsaw</t>
  </si>
  <si>
    <t>Wednesday</t>
  </si>
  <si>
    <t>Scott Bunn</t>
  </si>
  <si>
    <t>Furniture</t>
  </si>
  <si>
    <t>Chairs &amp; Chairmats</t>
  </si>
  <si>
    <t>Global High-Back Leather Tilter, Burgundy</t>
  </si>
  <si>
    <t>Annette Boone</t>
  </si>
  <si>
    <t>Helen Stein</t>
  </si>
  <si>
    <t>Office Furnishings</t>
  </si>
  <si>
    <t>6" Cubicle Wall Clock, Black</t>
  </si>
  <si>
    <t>GBC DocuBind TL300 Electric Binding System</t>
  </si>
  <si>
    <t>Claudia Boyle</t>
  </si>
  <si>
    <t>Technology</t>
  </si>
  <si>
    <t>Computer Peripherals</t>
  </si>
  <si>
    <t>Belkin 105-Key Black Keyboard</t>
  </si>
  <si>
    <t>Not Specified</t>
  </si>
  <si>
    <t>Ronnie Proctor</t>
  </si>
  <si>
    <t>Home Office</t>
  </si>
  <si>
    <t>Global Troy™ Executive Leather Low-Back Tilter</t>
  </si>
  <si>
    <t>Saturday</t>
  </si>
  <si>
    <t>Caroline Johnston</t>
  </si>
  <si>
    <t>Bookcases</t>
  </si>
  <si>
    <t>Atlantic Metals Mobile 5-Shelf Bookcases, Custom Colors</t>
  </si>
  <si>
    <t>Tuesday</t>
  </si>
  <si>
    <t>Critical</t>
  </si>
  <si>
    <t>Marcus Dunlap</t>
  </si>
  <si>
    <t>DAX Two-Tone Rosewood/Black Document Frame, Desktop, 5 x 7</t>
  </si>
  <si>
    <t>Sunday</t>
  </si>
  <si>
    <t>Avery Durable Binders</t>
  </si>
  <si>
    <t>Medium</t>
  </si>
  <si>
    <t>Lois Hamilton</t>
  </si>
  <si>
    <t>Gwendolyn F Tyson</t>
  </si>
  <si>
    <t>Small Business</t>
  </si>
  <si>
    <t>Howard Miller 12-3/4 Diameter Accuwave DS ™ Wall Clock</t>
  </si>
  <si>
    <t>Krakow</t>
  </si>
  <si>
    <t>Tom McFarland</t>
  </si>
  <si>
    <t>Thursday</t>
  </si>
  <si>
    <t>Rhonda Ivey</t>
  </si>
  <si>
    <t>Newell 321</t>
  </si>
  <si>
    <t>Tables</t>
  </si>
  <si>
    <t>Laminate Occasional Tables</t>
  </si>
  <si>
    <t>Christina Matthews</t>
  </si>
  <si>
    <t>Friday</t>
  </si>
  <si>
    <t>Newell 351</t>
  </si>
  <si>
    <t>Staples® General Use 3-Ring Binders</t>
  </si>
  <si>
    <t>Rosemary English</t>
  </si>
  <si>
    <t>Avery Hi-Liter GlideStik Fluorescent Highlighter, Yellow Ink</t>
  </si>
  <si>
    <t>Rubber Bands</t>
  </si>
  <si>
    <t>OIC Colored Binder Clips, Assorted Sizes</t>
  </si>
  <si>
    <t>Denise Carver</t>
  </si>
  <si>
    <t>Alice Berger McIntyre</t>
  </si>
  <si>
    <t>Telephones and Communication</t>
  </si>
  <si>
    <t>StarTAC ST7762</t>
  </si>
  <si>
    <t>Timothy Reese</t>
  </si>
  <si>
    <t>Envelopes</t>
  </si>
  <si>
    <t>Grip Seal Envelopes</t>
  </si>
  <si>
    <t>Molly Vincent</t>
  </si>
  <si>
    <t>Cardinal Poly Pocket Divider Pockets for Ring Binders</t>
  </si>
  <si>
    <t>Ronnie Creech</t>
  </si>
  <si>
    <t>Paper</t>
  </si>
  <si>
    <t>Xerox 1933</t>
  </si>
  <si>
    <t>Tyvek ® Top-Opening Peel &amp; Seel ® Envelopes, Gray</t>
  </si>
  <si>
    <t>Eileen Cheek</t>
  </si>
  <si>
    <t>Accessory25</t>
  </si>
  <si>
    <t>Derek McCormick</t>
  </si>
  <si>
    <t>Computer Printout Paper with Letter-Trim Perforations</t>
  </si>
  <si>
    <t>Sarah Ramsey</t>
  </si>
  <si>
    <t>Staples Gold Paper Clips</t>
  </si>
  <si>
    <t>Marjorie Arthur</t>
  </si>
  <si>
    <t>Office Machines</t>
  </si>
  <si>
    <t>Hewlett-Packard 2600DN Business Color Inkjet Printer</t>
  </si>
  <si>
    <t>Meredith Walters</t>
  </si>
  <si>
    <t>Office Star - Professional Matrix Back Chair with 2-to-1 Synchro Tilt and Mesh Fabric Seat</t>
  </si>
  <si>
    <t>StarTAC 7797</t>
  </si>
  <si>
    <t>Peggy Rowe</t>
  </si>
  <si>
    <t>Hon Metal Bookcases, Putty</t>
  </si>
  <si>
    <t>Stacey Hale</t>
  </si>
  <si>
    <t>Belkin MediaBoard 104- Keyboard</t>
  </si>
  <si>
    <t>Gail Rankin Cole</t>
  </si>
  <si>
    <t>Laurie Hanna</t>
  </si>
  <si>
    <t>OIC Thumb-Tacks</t>
  </si>
  <si>
    <t>DAX Natural Wood-Tone Poster Frame</t>
  </si>
  <si>
    <t>Harriet Hodges</t>
  </si>
  <si>
    <t>Lexmark Z55se Color Inkjet Printer</t>
  </si>
  <si>
    <t>Jim Rodgers</t>
  </si>
  <si>
    <t>Hewlett Packard 6S Scientific Calculator</t>
  </si>
  <si>
    <t>Storage &amp; Organization</t>
  </si>
  <si>
    <t>Tennsco Commercial Shelving</t>
  </si>
  <si>
    <t>Jordan Berry</t>
  </si>
  <si>
    <t>Tony Wilkins Winters</t>
  </si>
  <si>
    <t>Ruth Dudley</t>
  </si>
  <si>
    <t>Advantus Push Pins</t>
  </si>
  <si>
    <t>Advantus Plastic Paper Clips</t>
  </si>
  <si>
    <t>Calvin Conway</t>
  </si>
  <si>
    <t>Rush Hierlooms Collection 1" Thick Stackable Bookcases</t>
  </si>
  <si>
    <t>Priscilla Frank</t>
  </si>
  <si>
    <t>Labels</t>
  </si>
  <si>
    <t>Self-Adhesive Removable Labels</t>
  </si>
  <si>
    <t>Ted Dunlap</t>
  </si>
  <si>
    <t>Rediform Wirebound "Phone Memo" Message Book, 11 x 5-3/4</t>
  </si>
  <si>
    <t>Pam Patton</t>
  </si>
  <si>
    <t>Avery Printable Repositionable Plastic Tabs</t>
  </si>
  <si>
    <t>Edna Thomas</t>
  </si>
  <si>
    <t>Xerox 194</t>
  </si>
  <si>
    <t>Copiers and Fax</t>
  </si>
  <si>
    <t>Canon Imageclass D680 Copier / Fax</t>
  </si>
  <si>
    <t>Xerox 1897</t>
  </si>
  <si>
    <t>Newell 323</t>
  </si>
  <si>
    <t>Hazel Jennings</t>
  </si>
  <si>
    <t>Wilson Jones Hanging View Binder, White, 1"</t>
  </si>
  <si>
    <t>Imation 3.5", DISKETTE 44766 HGHLD3.52HD/FM, 10/Pack</t>
  </si>
  <si>
    <t>Staples Standard Envelopes</t>
  </si>
  <si>
    <t>Guy Gallagher</t>
  </si>
  <si>
    <t>Pamela Wiley</t>
  </si>
  <si>
    <t>Maxell DVD-RAM Discs</t>
  </si>
  <si>
    <t>Eldon Image Series Black Desk Accessories</t>
  </si>
  <si>
    <t>Tommy Ellis Ritchie</t>
  </si>
  <si>
    <t>Appliances</t>
  </si>
  <si>
    <t>Fellowes Mighty 8 Compact Surge Protector</t>
  </si>
  <si>
    <t>Ronnie Nolan</t>
  </si>
  <si>
    <t>Peel &amp; Seel® Recycled Catalog Envelopes, Brown</t>
  </si>
  <si>
    <t>Matthew Berman</t>
  </si>
  <si>
    <t>Chad Henson</t>
  </si>
  <si>
    <t>Hunt Boston® Vacuum Mount KS Pencil Sharpener</t>
  </si>
  <si>
    <t>DAX Solid Wood Frames</t>
  </si>
  <si>
    <t>Newell 329</t>
  </si>
  <si>
    <t>Canon P1-DHIII Palm Printing Calculator</t>
  </si>
  <si>
    <t>Gerald Petty</t>
  </si>
  <si>
    <t>600 Series Non-Flip</t>
  </si>
  <si>
    <t>Molly Browning</t>
  </si>
  <si>
    <t>Hon 2111 Invitation™ Series Corner Table</t>
  </si>
  <si>
    <t>StarTAC 3000</t>
  </si>
  <si>
    <t>Neil Bailey</t>
  </si>
  <si>
    <t>Fellowes Stor/Drawer® Steel Plus™ Storage Drawers</t>
  </si>
  <si>
    <t>Clifford Webb</t>
  </si>
  <si>
    <t>Avery Trapezoid Ring Binder, 3" Capacity, Black, 1040 sheets</t>
  </si>
  <si>
    <t>Low</t>
  </si>
  <si>
    <t>Gina B Hess</t>
  </si>
  <si>
    <t>TimeportP7382</t>
  </si>
  <si>
    <t>Avery Hanging File Binders</t>
  </si>
  <si>
    <t>Teresa Wallace</t>
  </si>
  <si>
    <t>Eldon ClusterMat Chair Mat with Cordless Antistatic Protection</t>
  </si>
  <si>
    <t>Xerox 1947</t>
  </si>
  <si>
    <t>Ricky Hensley</t>
  </si>
  <si>
    <t>Storex DuraTech Recycled Plastic Frosted Binders</t>
  </si>
  <si>
    <t>Alvin Hoover</t>
  </si>
  <si>
    <t>Eldon® Wave Desk Accessories</t>
  </si>
  <si>
    <t>Lucille McGee</t>
  </si>
  <si>
    <t>Ampad #10 Peel &amp; Seel® Holiday Envelopes</t>
  </si>
  <si>
    <t>Faye Silver</t>
  </si>
  <si>
    <t>Newell 338</t>
  </si>
  <si>
    <t>Xerox 220</t>
  </si>
  <si>
    <t>Jacob McNeill</t>
  </si>
  <si>
    <t>Imation Primaris 3.5" 2HD Unformatted Diskettes, 10/Pack</t>
  </si>
  <si>
    <t>Tyvek ® Top-Opening Peel &amp; Seel Envelopes, Plain White</t>
  </si>
  <si>
    <t>Theodore Moran</t>
  </si>
  <si>
    <t>Frances Holt</t>
  </si>
  <si>
    <t>AT&amp;T 2230 Dual Handset Phone With Caller ID/Call Waiting</t>
  </si>
  <si>
    <t>Xerox 1905</t>
  </si>
  <si>
    <t>Lorraine Kelly</t>
  </si>
  <si>
    <t>Amy Hamrick Melvin</t>
  </si>
  <si>
    <t>*Staples* Highlighting Markers</t>
  </si>
  <si>
    <t>Super Decoflex Portable Personal File</t>
  </si>
  <si>
    <t>Sidney Russell Austin</t>
  </si>
  <si>
    <t>Okidata Pacemark 4410N Wide Format Dot Matrix Printer</t>
  </si>
  <si>
    <t>Joanne Chu</t>
  </si>
  <si>
    <t>Accessory41</t>
  </si>
  <si>
    <t>Marlene Gray</t>
  </si>
  <si>
    <t>Avery 496</t>
  </si>
  <si>
    <t>Lloyd Cannon</t>
  </si>
  <si>
    <t>Xerox 1903</t>
  </si>
  <si>
    <t>Xerox 1951</t>
  </si>
  <si>
    <t>Rachel Bates</t>
  </si>
  <si>
    <t>Eldon Jumbo ProFile™ Portable File Boxes Graphite/Black</t>
  </si>
  <si>
    <t>Sherri Kramer</t>
  </si>
  <si>
    <t>Imation Neon 80 Minute CD-R Spindle, 50/Pack</t>
  </si>
  <si>
    <t>April Henson</t>
  </si>
  <si>
    <t>Prang Dustless Chalk Sticks</t>
  </si>
  <si>
    <t>Paul W French</t>
  </si>
  <si>
    <t>Plymouth Boxed Rubber Bands by Plymouth</t>
  </si>
  <si>
    <t>Accessory32</t>
  </si>
  <si>
    <t>Pam Gilbert</t>
  </si>
  <si>
    <t>Shannon Aldridge</t>
  </si>
  <si>
    <t>Xerox 193</t>
  </si>
  <si>
    <t>80 Minute Slim Jewel Case CD-R , 10/Pack - Staples</t>
  </si>
  <si>
    <t>Shirley Riley</t>
  </si>
  <si>
    <t>Frances Johnson</t>
  </si>
  <si>
    <t>Iris Project Case</t>
  </si>
  <si>
    <t>Snap-A-Way® Black Print Carbonless Speed Message, No Reply Area, Duplicate</t>
  </si>
  <si>
    <t>Carole Miller</t>
  </si>
  <si>
    <t>Hon 4700 Series Mobuis™ Mid-Back Task Chairs with Adjustable Arms</t>
  </si>
  <si>
    <t>Milton Lindsay</t>
  </si>
  <si>
    <t>Lynn Morrow</t>
  </si>
  <si>
    <t>Kensington 7 Outlet MasterPiece Power Center with Fax/Phone Line Protection</t>
  </si>
  <si>
    <t>Avery 501</t>
  </si>
  <si>
    <t>Wroclaw</t>
  </si>
  <si>
    <t>Alison Sharp</t>
  </si>
  <si>
    <t>Ibico Hi-Tech Manual Binding System</t>
  </si>
  <si>
    <t>Milton Harrell</t>
  </si>
  <si>
    <t>Xerox 188</t>
  </si>
  <si>
    <t>Edwin Blackburn</t>
  </si>
  <si>
    <t>Rogers® Profile Extra Capacity Storage Tub</t>
  </si>
  <si>
    <t>Jackie Flynn</t>
  </si>
  <si>
    <t>Wirebound Four 2-3/4 x 5 Forms per Page, 400 Sets per Book</t>
  </si>
  <si>
    <t>Ellen McCormick</t>
  </si>
  <si>
    <t>Billy Hale</t>
  </si>
  <si>
    <t>Dual Level, Single-Width Filing Carts</t>
  </si>
  <si>
    <t>Jamie Ward</t>
  </si>
  <si>
    <t>Keytronic 105-Key Spanish Keyboard</t>
  </si>
  <si>
    <t>Universal Premium White Copier/Laser Paper (20Lb. and 87 Bright)</t>
  </si>
  <si>
    <t>Hon 4070 Series Pagoda™ Armless Upholstered Stacking Chairs</t>
  </si>
  <si>
    <t>Barrel Sharpener</t>
  </si>
  <si>
    <t>Hon Valutask™ Swivel Chairs</t>
  </si>
  <si>
    <t>Edgar Stone</t>
  </si>
  <si>
    <t>Hon 94000 Series Round Tables</t>
  </si>
  <si>
    <t>Norman Shields</t>
  </si>
  <si>
    <t>Fellowes Super Stor/Drawer® Files</t>
  </si>
  <si>
    <t>Avery 493</t>
  </si>
  <si>
    <t>Wallace Werner</t>
  </si>
  <si>
    <t>Prismacolor Color Pencil Set</t>
  </si>
  <si>
    <t>Array® Memo Cubes</t>
  </si>
  <si>
    <t>Victoria Baker Hoover</t>
  </si>
  <si>
    <t>REDIFORM Incoming/Outgoing Call Register, 11" X 8 1/2", 100 Messages</t>
  </si>
  <si>
    <t>Scissors, Rulers and Trimmers</t>
  </si>
  <si>
    <t>Acme® 8" Straight Scissors</t>
  </si>
  <si>
    <t>Eddie House Mueller</t>
  </si>
  <si>
    <t>Office Star - Mid Back Dual function Ergonomic High Back Chair with 2-Way Adjustable Arms</t>
  </si>
  <si>
    <t>Belkin 107-key enhanced keyboard, USB/PS/2 interface</t>
  </si>
  <si>
    <t>Max McKenna</t>
  </si>
  <si>
    <t>Ron Newton</t>
  </si>
  <si>
    <t>Dixon Prang® Watercolor Pencils, 10-Color Set with Brush</t>
  </si>
  <si>
    <t>EcoTones® Memo Sheets</t>
  </si>
  <si>
    <t>Dwight M Carr</t>
  </si>
  <si>
    <t>Fuji Slim Jewel Case CD-R</t>
  </si>
  <si>
    <t>Linda Weiss</t>
  </si>
  <si>
    <t>Helen H Murphy</t>
  </si>
  <si>
    <t>Avery 51</t>
  </si>
  <si>
    <t>Shawn Stern</t>
  </si>
  <si>
    <t>Acme® Office Executive Series Stainless Steel Trimmers</t>
  </si>
  <si>
    <t>Kara Allison</t>
  </si>
  <si>
    <t>Eldon Regeneration Recycled Desk Accessories, Smoke</t>
  </si>
  <si>
    <t>#10-4 1/8" x 9 1/2" Premium Diagonal Seam Envelopes</t>
  </si>
  <si>
    <t>Dale Gillespie</t>
  </si>
  <si>
    <t>Xerox 1939</t>
  </si>
  <si>
    <t>Fiskars® Softgrip Scissors</t>
  </si>
  <si>
    <t>Brooke Weeks Taylor</t>
  </si>
  <si>
    <t>Xerox 1964</t>
  </si>
  <si>
    <t>Marguerite Moss</t>
  </si>
  <si>
    <t>Wirebound Message Books, 2 7/8" x 5", 3 Forms per Page</t>
  </si>
  <si>
    <t>Yvonne Fox</t>
  </si>
  <si>
    <t>Tenex B1-RE Series Chair Mats for Low Pile Carpets</t>
  </si>
  <si>
    <t>Global Ergonomic Managers Chair</t>
  </si>
  <si>
    <t>Geoffrey Zhu</t>
  </si>
  <si>
    <t>PC Concepts 116 Key Quantum 3000 Keyboard</t>
  </si>
  <si>
    <t>Wausau Papers Astrobrights® Colored Envelopes</t>
  </si>
  <si>
    <t>Kent Kerr</t>
  </si>
  <si>
    <t>Newell 335</t>
  </si>
  <si>
    <t>Eldon Cleatmat Plus™ Chair Mats for High Pile Carpets</t>
  </si>
  <si>
    <t>StarTAC Analog</t>
  </si>
  <si>
    <t>Microsoft Natural Keyboard Elite</t>
  </si>
  <si>
    <t>Diana Xu</t>
  </si>
  <si>
    <t>T60</t>
  </si>
  <si>
    <t>Belkin 6 Outlet Metallic Surge Strip</t>
  </si>
  <si>
    <t>Robin Kramer Vaughn</t>
  </si>
  <si>
    <t>Bush Westfield Collection Bookcases, Fully Assembled</t>
  </si>
  <si>
    <t>Xerox 1952</t>
  </si>
  <si>
    <t>Vicki Hauser</t>
  </si>
  <si>
    <t>Okidata ML320 Series Turbo Dot Matrix Printers</t>
  </si>
  <si>
    <t>Janice Cole</t>
  </si>
  <si>
    <t>Fellowes Mobile Numeric Keypad, Graphite</t>
  </si>
  <si>
    <t>Polycom ViaVideo™ Desktop Video Communications Unit</t>
  </si>
  <si>
    <t>Staples Wirebound Steno Books, 6" x 9", 12/Pack</t>
  </si>
  <si>
    <t>Wesley Waller</t>
  </si>
  <si>
    <t>Zoom V.92 USB External Faxmodem</t>
  </si>
  <si>
    <t>Phillip Holmes</t>
  </si>
  <si>
    <t>Alex Harrell</t>
  </si>
  <si>
    <t>Riverleaf Stik-Withit® Designer Note Cubes®</t>
  </si>
  <si>
    <t>Lloyd Norris</t>
  </si>
  <si>
    <t>Avery Arch Ring Binders</t>
  </si>
  <si>
    <t>Gerald Kearney</t>
  </si>
  <si>
    <t>APC 7 Outlet Network SurgeArrest Surge Protector</t>
  </si>
  <si>
    <t>Fellowes 17-key keypad for PS/2 interface</t>
  </si>
  <si>
    <t>Danny Hong</t>
  </si>
  <si>
    <t>Panasonic KX-P2130 Dot Matrix Printer</t>
  </si>
  <si>
    <t>Wilson Jones® Four-Pocket Poly Binders</t>
  </si>
  <si>
    <t>Tammy Goldman</t>
  </si>
  <si>
    <t>Xerox 1996</t>
  </si>
  <si>
    <t>Acco® Hot Clips™ Clips to Go</t>
  </si>
  <si>
    <t>Samantha Weaver</t>
  </si>
  <si>
    <t>Leroy Blanchard</t>
  </si>
  <si>
    <t>Max Small</t>
  </si>
  <si>
    <t>Imation 3.5" Unformatted DS/HD Diskettes, 10/Box</t>
  </si>
  <si>
    <t>Floyd Dale</t>
  </si>
  <si>
    <t>Super Bands, 12/Pack</t>
  </si>
  <si>
    <t>3M Organizer Strips</t>
  </si>
  <si>
    <t>Seth Thomas 8 1/2" Cubicle Clock</t>
  </si>
  <si>
    <t>Newell 309</t>
  </si>
  <si>
    <t>Anna Wood</t>
  </si>
  <si>
    <t>Kleencut® Forged Office Shears by Acme United Corporation</t>
  </si>
  <si>
    <t>Frances Saunders</t>
  </si>
  <si>
    <t>Colleen Andrews</t>
  </si>
  <si>
    <t>Global Push Button Manager's Chair, Indigo</t>
  </si>
  <si>
    <t>Michele Bullard</t>
  </si>
  <si>
    <t>Fellowes Black Plastic Comb Bindings</t>
  </si>
  <si>
    <t>Eldon Expressions™ Desk Accessory, Wood Pencil Holder, Oak</t>
  </si>
  <si>
    <t>Don Cameron</t>
  </si>
  <si>
    <t>Sanyo 2.5 Cubic Foot Mid-Size Office Refrigerators</t>
  </si>
  <si>
    <t>Lock-Up Easel 'Spel-Binder'</t>
  </si>
  <si>
    <t>Memorex 4.7GB DVD+R, 3/Pack</t>
  </si>
  <si>
    <t>Eldon Spacemaker® Box, Quick-Snap Lid, Clear</t>
  </si>
  <si>
    <t>Shawn McIntyre</t>
  </si>
  <si>
    <t>Okidata ML390 Turbo Dot Matrix Printers</t>
  </si>
  <si>
    <t>Gilbert Scarborough</t>
  </si>
  <si>
    <t>Xerox Blank Computer Paper</t>
  </si>
  <si>
    <t>Amy Ellis Holder</t>
  </si>
  <si>
    <t>Bevis Round Bullnose 29" High Table Top</t>
  </si>
  <si>
    <t>Storex Dura Pro™ Binders</t>
  </si>
  <si>
    <t>270c</t>
  </si>
  <si>
    <t>Marshall Brandt Briggs</t>
  </si>
  <si>
    <t>BPI Conference Tables</t>
  </si>
  <si>
    <t>Avery 514</t>
  </si>
  <si>
    <t>Brenda Nelson Blanchard</t>
  </si>
  <si>
    <t>DIXON Oriole® Pencils</t>
  </si>
  <si>
    <t>StarTAC Series</t>
  </si>
  <si>
    <t>Brett Hawkins</t>
  </si>
  <si>
    <t>Global Adaptabilities™ Conference Tables</t>
  </si>
  <si>
    <t>Irene Li</t>
  </si>
  <si>
    <t>Acme® Elite Stainless Steel Scissors</t>
  </si>
  <si>
    <t>Allan Shields</t>
  </si>
  <si>
    <t>Maxell Pro 80 Minute CD-R, 10/Pack</t>
  </si>
  <si>
    <t>Edward Pugh</t>
  </si>
  <si>
    <t>Newell 340</t>
  </si>
  <si>
    <t>Carlos Hess</t>
  </si>
  <si>
    <t>Hon iLevel™ Computer Training Table</t>
  </si>
  <si>
    <t>Ross Frederick</t>
  </si>
  <si>
    <t>Xerox 214</t>
  </si>
  <si>
    <t>James Beck</t>
  </si>
  <si>
    <t>Staples Brown Kraft Recycled Clasp Envelopes</t>
  </si>
  <si>
    <t>Eldon Executive Woodline II Cherry Finish Desk Accessories</t>
  </si>
  <si>
    <t>Calvin Boyette</t>
  </si>
  <si>
    <t>Tenex Antistatic Computer Chair Mats</t>
  </si>
  <si>
    <t>Xerox 1922</t>
  </si>
  <si>
    <t>Sam Rouse</t>
  </si>
  <si>
    <t>Hewlett-Packard Deskjet 940 REFURBISHED Color Inkjet Printer</t>
  </si>
  <si>
    <t>Eleanor Swain</t>
  </si>
  <si>
    <t>Roger Blalock Cassidy</t>
  </si>
  <si>
    <t>Recycled Premium Regency Composition Covers</t>
  </si>
  <si>
    <t>Lucille Rankin</t>
  </si>
  <si>
    <t>Brites Rubber Bands, 1 1/2 oz. Box</t>
  </si>
  <si>
    <t>Vickie Andrews</t>
  </si>
  <si>
    <t>Accessory36</t>
  </si>
  <si>
    <t>Pauline Boyette</t>
  </si>
  <si>
    <t>Virginia Gay</t>
  </si>
  <si>
    <t>ACCOHIDE® Binder by Acco</t>
  </si>
  <si>
    <t>O'Sullivan Elevations Bookcase, Cherry Finish</t>
  </si>
  <si>
    <t>Patricia Cole Blair</t>
  </si>
  <si>
    <t>Memorex 4.7GB DVD+RW, 3/Pack</t>
  </si>
  <si>
    <t>MicroTAC 650</t>
  </si>
  <si>
    <t>Sara O'Connor</t>
  </si>
  <si>
    <t>Thomas McAllister</t>
  </si>
  <si>
    <t>Accessory34</t>
  </si>
  <si>
    <t>Glen Caldwell</t>
  </si>
  <si>
    <t>Ruby Gibbons</t>
  </si>
  <si>
    <t>High Speed Automatic Electric Letter Opener</t>
  </si>
  <si>
    <t>Benjamin Kaufman</t>
  </si>
  <si>
    <t>Katherine Kearney</t>
  </si>
  <si>
    <t>Eldon® Expressions™ Wood Desk Accessories, Oak</t>
  </si>
  <si>
    <t>Decoflex Hanging Personal Folder File, Blue</t>
  </si>
  <si>
    <t>Arthur Lowe Nash</t>
  </si>
  <si>
    <t>Brenda May</t>
  </si>
  <si>
    <t>Bell Sonecor JB700 Caller ID</t>
  </si>
  <si>
    <t>Faye Dyer</t>
  </si>
  <si>
    <t>Bradley Pollock</t>
  </si>
  <si>
    <t>Acco Keyboard-In-A-Box®</t>
  </si>
  <si>
    <t>Curtis O'Connell</t>
  </si>
  <si>
    <t>SAFCO Arco Folding Chair</t>
  </si>
  <si>
    <t>Eldon® 200 Class™ Desk Accessories, Burgundy</t>
  </si>
  <si>
    <t>Bobby Clements</t>
  </si>
  <si>
    <t>Hoover Commercial Soft Guard Upright Vacuum And Disposable Filtration Bags</t>
  </si>
  <si>
    <t>Master Giant Foot® Doorstop, Safety Yellow</t>
  </si>
  <si>
    <t>Jacqueline Noble</t>
  </si>
  <si>
    <t>COUNTUNIQUE of Order ID</t>
  </si>
  <si>
    <t>Lynn Epstein</t>
  </si>
  <si>
    <t>Anderson Hickey Conga Table Tops &amp; Accessories</t>
  </si>
  <si>
    <t>1.00 Total</t>
  </si>
  <si>
    <t>2.00 Total</t>
  </si>
  <si>
    <t>3.00 Total</t>
  </si>
  <si>
    <t>4.00 Total</t>
  </si>
  <si>
    <t>5.00 Total</t>
  </si>
  <si>
    <t>6.00 Total</t>
  </si>
  <si>
    <t>7.00 Total</t>
  </si>
  <si>
    <t>Kim Weiss</t>
  </si>
  <si>
    <t>GE 48" Fluorescent Tube, Cool White Energy Saver, 34 Watts, 30/Box</t>
  </si>
  <si>
    <t>Juanita Coley Knox</t>
  </si>
  <si>
    <t>Bonnie Chambers</t>
  </si>
  <si>
    <t>Maxell 3.5" DS/HD IBM-Formatted Diskettes, 10/Pack</t>
  </si>
  <si>
    <t>Xerox 1898</t>
  </si>
  <si>
    <t>Barbara McNamara</t>
  </si>
  <si>
    <t>Bevis 36 x 72 Conference Tables</t>
  </si>
  <si>
    <t>Chris F Brandt</t>
  </si>
  <si>
    <t>M70</t>
  </si>
  <si>
    <t>Patrick Rosenthal</t>
  </si>
  <si>
    <t>Sanyo Counter Height Refrigerator with Crisper, 3.6 Cubic Foot, Stainless Steel/Black</t>
  </si>
  <si>
    <t>Troy Moon</t>
  </si>
  <si>
    <t>Executive Impressions 13" Clairmont Wall Clock</t>
  </si>
  <si>
    <t>Sam Oh</t>
  </si>
  <si>
    <t>1726 Digital Answering Machine</t>
  </si>
  <si>
    <t>Roberta Mullins Peters</t>
  </si>
  <si>
    <t>Jeanne Werner</t>
  </si>
  <si>
    <t>O'Sullivan Living Dimensions 3-Shelf Bookcases</t>
  </si>
  <si>
    <t>Xerox 1971</t>
  </si>
  <si>
    <t>Accessory4</t>
  </si>
  <si>
    <t>Sandra Sharma</t>
  </si>
  <si>
    <t>Sylvia Bush</t>
  </si>
  <si>
    <t>3M Office Air Cleaner</t>
  </si>
  <si>
    <t>Danielle Watts</t>
  </si>
  <si>
    <t>Deluxe Rollaway Locking File with Drawer</t>
  </si>
  <si>
    <t>Renee Alston</t>
  </si>
  <si>
    <t>Pressboard Data Binder, Crimson, 12" X 8 1/2"</t>
  </si>
  <si>
    <t>Angela Howe</t>
  </si>
  <si>
    <t>GBC Instant Index™ System for Binding Systems</t>
  </si>
  <si>
    <t>Roger Schwartz</t>
  </si>
  <si>
    <t>Xerox 4200 Series MultiUse Premium Copy Paper (20Lb. and 84 Bright)</t>
  </si>
  <si>
    <t>T18</t>
  </si>
  <si>
    <t>Joel Buckley</t>
  </si>
  <si>
    <t>Erica R Fuller</t>
  </si>
  <si>
    <t>Fellowes EZ Multi-Media Keyboard</t>
  </si>
  <si>
    <t>Telescoping Adjustable Floor Lamp</t>
  </si>
  <si>
    <t>Shawn Combs</t>
  </si>
  <si>
    <t>Filing/Storage Totes and Swivel Casters</t>
  </si>
  <si>
    <t>Monica McCormick</t>
  </si>
  <si>
    <t>Logitech Access Keyboard</t>
  </si>
  <si>
    <t>Xerox 1929</t>
  </si>
  <si>
    <t>Bruce Stark</t>
  </si>
  <si>
    <t>Howard Miller 16" Diameter Gallery Wall Clock</t>
  </si>
  <si>
    <t>June Frank Hammond</t>
  </si>
  <si>
    <t>Rediform S.O.S. Phone Message Books</t>
  </si>
  <si>
    <t>Calvin Parsons Walter</t>
  </si>
  <si>
    <t>Binding Machine Supplies</t>
  </si>
  <si>
    <t>Carolyn Proctor</t>
  </si>
  <si>
    <t>Hot File® 7-Pocket, Floor Stand</t>
  </si>
  <si>
    <t>Scott Feldman</t>
  </si>
  <si>
    <t>Polycom Soundstation EX Audio-Conferencing Telephone, Black</t>
  </si>
  <si>
    <t>Ernest Barber</t>
  </si>
  <si>
    <t>Accessory20</t>
  </si>
  <si>
    <t>Manila Recycled Extra-Heavyweight Clasp Envelopes, 6" x 9"</t>
  </si>
  <si>
    <t>Thelma Abrams</t>
  </si>
  <si>
    <t>Judy Barrett</t>
  </si>
  <si>
    <t>14-7/8 x 11 Blue Bar Computer Printout Paper</t>
  </si>
  <si>
    <t>Newell 333</t>
  </si>
  <si>
    <t>Valerie Moon</t>
  </si>
  <si>
    <t>Office Star - Contemporary Task Swivel chair with 2-way adjustable arms, Plum</t>
  </si>
  <si>
    <t>2160i</t>
  </si>
  <si>
    <t>Joyce Murray</t>
  </si>
  <si>
    <t>210 Trimline Phone, White</t>
  </si>
  <si>
    <t>Vinyl Sectional Post Binders</t>
  </si>
  <si>
    <t>SUM of Sales</t>
  </si>
  <si>
    <t>Leslie Rowland</t>
  </si>
  <si>
    <t>George Terry</t>
  </si>
  <si>
    <t>Seth Thomas 14" Putty-Colored Wall Clock</t>
  </si>
  <si>
    <t>Anne Armstrong</t>
  </si>
  <si>
    <t>Tenex Personal Self-Stacking Standard File Box, Black/Gray</t>
  </si>
  <si>
    <t>Debbie Stevenson</t>
  </si>
  <si>
    <t>Economy Rollaway Files</t>
  </si>
  <si>
    <t>Marc Nash</t>
  </si>
  <si>
    <t>Panasonic KX-P3200 Dot Matrix Printer</t>
  </si>
  <si>
    <t>Maria Thomas</t>
  </si>
  <si>
    <t>Tensor "Hersey Kiss" Styled Floor Lamp</t>
  </si>
  <si>
    <t>Craig Bennett</t>
  </si>
  <si>
    <t>Holmes Odor Grabber</t>
  </si>
  <si>
    <t>Marion Bowling</t>
  </si>
  <si>
    <t>Tony Doyle</t>
  </si>
  <si>
    <t>Ross Simpson</t>
  </si>
  <si>
    <t>Motorola SB4200 Cable Modem</t>
  </si>
  <si>
    <t>Donna Craven</t>
  </si>
  <si>
    <t>Edgar McKenzie</t>
  </si>
  <si>
    <t>Staples 6 Outlet Surge</t>
  </si>
  <si>
    <t>Canon PC1060 Personal Laser Copier</t>
  </si>
  <si>
    <t>Edward Leonard</t>
  </si>
  <si>
    <t>Avery 49</t>
  </si>
  <si>
    <t>Toni Swanson</t>
  </si>
  <si>
    <t>Newell 343</t>
  </si>
  <si>
    <t>Okidata ML395C Color Dot Matrix Printer</t>
  </si>
  <si>
    <t>Southworth 25% Cotton Linen-Finish Paper &amp; Envelopes</t>
  </si>
  <si>
    <t>Douglas Buck</t>
  </si>
  <si>
    <t>Xerox 21</t>
  </si>
  <si>
    <t>Advantus Rolling Storage Box</t>
  </si>
  <si>
    <t>Jimmy Alston Holder</t>
  </si>
  <si>
    <t>Imation 3.5 IBM Formatted Diskettes, 10/Box</t>
  </si>
  <si>
    <t>Steve McKee</t>
  </si>
  <si>
    <t>Adesso Programmable 142-Key Keyboard</t>
  </si>
  <si>
    <t>Carol Saunders</t>
  </si>
  <si>
    <t>Xerox 1908</t>
  </si>
  <si>
    <t>Talkabout T8367</t>
  </si>
  <si>
    <t>Cameron Owens</t>
  </si>
  <si>
    <t>Tennsco Lockers, Gray</t>
  </si>
  <si>
    <t>SAFCO Folding Chair Trolley</t>
  </si>
  <si>
    <t>Gregory Rao</t>
  </si>
  <si>
    <t>Xerox 1910</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</si>
  <si>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</si>
  <si>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</si>
  <si>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</si>
  <si>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</si>
  <si>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</si>
  <si>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</si>
  <si>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</si>
  <si>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</si>
  <si>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</si>
  <si>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Lexmark 4227 Plus Dot Matrix Printer</t>
  </si>
  <si>
    <t>April Hu</t>
  </si>
  <si>
    <t>Xerox 1978</t>
  </si>
  <si>
    <t>Jill Clements</t>
  </si>
  <si>
    <t>GBC Pre-Punched Binding Paper, Plastic, White, 8-1/2" x 11"</t>
  </si>
  <si>
    <t>Alice Coley</t>
  </si>
  <si>
    <t>GBC Recycled Regency Composition Covers</t>
  </si>
  <si>
    <t>Ruth Lamm</t>
  </si>
  <si>
    <t>Accessory29</t>
  </si>
  <si>
    <t>Soundgear Copyboard Conference Phone, Optional Battery</t>
  </si>
  <si>
    <t>Henry Ball</t>
  </si>
  <si>
    <t>DAX Wood Document Frame.</t>
  </si>
  <si>
    <t>Dennis Boykin Townsend</t>
  </si>
  <si>
    <t>Edna Monroe Talley</t>
  </si>
  <si>
    <t>BoxOffice By Design Rectangular and Half-Moon Meeting Room Tables</t>
  </si>
  <si>
    <t>Sharp 1540cs Digital Laser Copier</t>
  </si>
  <si>
    <t>Peggy Chan</t>
  </si>
  <si>
    <t>White GlueTop Scratch Pads</t>
  </si>
  <si>
    <t>Kristine Connolly</t>
  </si>
  <si>
    <t>Adams Phone Message Book, 200 Message Capacity, 8 1/16” x 11”</t>
  </si>
  <si>
    <t>Walter Young</t>
  </si>
  <si>
    <t>Kristina Sanders</t>
  </si>
  <si>
    <t>Fellowes Neat Ideas® Storage Cubes</t>
  </si>
  <si>
    <t>Peter McConnell</t>
  </si>
  <si>
    <t>Hon 2090 “Pillow Soft” Series Mid Back Swivel/Tilt Chairs</t>
  </si>
  <si>
    <t>Tripp Lite Isotel 8 Ultra 8 Outlet Metal Surge</t>
  </si>
  <si>
    <t>Catalog Binders with Expanding Posts</t>
  </si>
  <si>
    <t>Katharine Bass</t>
  </si>
  <si>
    <t>Vanessa Winstead</t>
  </si>
  <si>
    <t>ACCOHIDE® 3-Ring Binder, Blue, 1"</t>
  </si>
  <si>
    <t>Gordon Lyon</t>
  </si>
  <si>
    <t>Hoover Portapower™ Portable Vacuum</t>
  </si>
  <si>
    <t>Evan K Bullard</t>
  </si>
  <si>
    <t>Multimedia Mailers</t>
  </si>
  <si>
    <t>Marlene Abrams</t>
  </si>
  <si>
    <t>Kathryn Patrick</t>
  </si>
  <si>
    <t>Accessory6</t>
  </si>
  <si>
    <t>Timothy Currie</t>
  </si>
  <si>
    <t>Tenex File Box, Personal Filing Tote with Lid, Black</t>
  </si>
  <si>
    <t>William Larson</t>
  </si>
  <si>
    <t>Acme Hot Forged Carbon Steel Scissors with Nickel-Plated Handles, 3 7/8" Cut, 8"L</t>
  </si>
  <si>
    <t>Eva Silverman</t>
  </si>
  <si>
    <t>Avery 4027 File Folder Labels for Dot Matrix Printers, 5000 Labels per Box, White</t>
  </si>
  <si>
    <t>Joel Huffman</t>
  </si>
  <si>
    <t>Charlie Moore</t>
  </si>
  <si>
    <t>9-3/4 Diameter Round Wall Clock</t>
  </si>
  <si>
    <t>80 Minute CD-R Spindle, 100/Pack - Staples</t>
  </si>
  <si>
    <t>3M Hangers With Command Adhesive</t>
  </si>
  <si>
    <t>Doris Fitzpatrick</t>
  </si>
  <si>
    <t>Adams Telephone Message Book w/Frequently-Called Numbers Space, 400 Messages per Book</t>
  </si>
  <si>
    <t>Bretford “Just In Time” Height-Adjustable Multi-Task Work Tables</t>
  </si>
  <si>
    <t>Alexandra Wise</t>
  </si>
  <si>
    <t>Xerox 1976</t>
  </si>
  <si>
    <t>Vickie Morse</t>
  </si>
  <si>
    <t>Xerox 210</t>
  </si>
  <si>
    <t>Gretchen Ball</t>
  </si>
  <si>
    <t>Accessory27</t>
  </si>
  <si>
    <t>Lindsay P Ashley</t>
  </si>
  <si>
    <t>Alison Peters Wooten</t>
  </si>
  <si>
    <t>Brett Schultz</t>
  </si>
  <si>
    <t>Park Ridge™ Embossed Executive Business Envelopes</t>
  </si>
  <si>
    <t>Iris® 3-Drawer Stacking Bin, Black</t>
  </si>
  <si>
    <t>Robert Cowan</t>
  </si>
  <si>
    <t>Acco PRESSTEX® Data Binder with Storage Hooks, Dark Blue, 14 7/8" X 11"</t>
  </si>
  <si>
    <t>1/4 Fold Party Design Invitations &amp; White Envelopes, 24 8-1/2" X 11" Cards, 25 Env./Pack</t>
  </si>
  <si>
    <t>Howard Rogers</t>
  </si>
  <si>
    <t>Coloredge Poster Frame</t>
  </si>
  <si>
    <t>Heather Stern</t>
  </si>
  <si>
    <t>Hazel Khan</t>
  </si>
  <si>
    <t>T28 WORLD</t>
  </si>
  <si>
    <t>Jenny Petty</t>
  </si>
  <si>
    <t>Xerox 212</t>
  </si>
  <si>
    <t>Terry Klein</t>
  </si>
  <si>
    <t>Scott McKenna</t>
  </si>
  <si>
    <t>Smead Adjustable Mobile File Trolley with Lockable Top</t>
  </si>
  <si>
    <t>Juan Justice</t>
  </si>
  <si>
    <t>Sauder Facets Collection Locker/File Cabinet, Sky Alder Finish</t>
  </si>
  <si>
    <t>Christopher Bryant</t>
  </si>
  <si>
    <t>Rush Hierlooms Collection Rich Wood Bookcases</t>
  </si>
  <si>
    <t>Brooke Shepherd</t>
  </si>
  <si>
    <t>KH 688</t>
  </si>
  <si>
    <t>Lois Rowland</t>
  </si>
  <si>
    <t>Chromcraft Rectangular Conference Tables</t>
  </si>
  <si>
    <t>Neal Wolfe</t>
  </si>
  <si>
    <t>Robin High</t>
  </si>
  <si>
    <t>Howard Miller 13-3/4" Diameter Brushed Chrome Round Wall Clock</t>
  </si>
  <si>
    <t>Steve O'Brien</t>
  </si>
  <si>
    <t>Executive Impressions 13" Chairman Wall Clock</t>
  </si>
  <si>
    <t>Roger Meyer</t>
  </si>
  <si>
    <t>Staples Bulldog Clip</t>
  </si>
  <si>
    <t>Leah Clapp</t>
  </si>
  <si>
    <t>Riverside Palais Royal Lawyers Bookcase, Royale Cherry Finish</t>
  </si>
  <si>
    <t>Electrix 20W Halogen Replacement Bulb for Zoom-In Desk Lamp</t>
  </si>
  <si>
    <t>Ann Katz</t>
  </si>
  <si>
    <t>Wilson Jones Suede Grain Vinyl Binders</t>
  </si>
  <si>
    <t>Hilda Bennett</t>
  </si>
  <si>
    <t>DAX Clear Channel Poster Frame</t>
  </si>
  <si>
    <t>Miriam Mueller</t>
  </si>
  <si>
    <t>Executive Impressions 14" Two-Color Numerals Wall Clock</t>
  </si>
  <si>
    <t>Emily Sims</t>
  </si>
  <si>
    <t>Newell® 3-Hole Punched Plastic Slotted Magazine Holders for Binders</t>
  </si>
  <si>
    <t>Allison Kirby</t>
  </si>
  <si>
    <t>Amy Shea</t>
  </si>
  <si>
    <t>Avery 498</t>
  </si>
  <si>
    <t>COUNT of Sales</t>
  </si>
  <si>
    <t>Xerox 1891</t>
  </si>
  <si>
    <t>Lewis Baldwin</t>
  </si>
  <si>
    <t>Brian Leach</t>
  </si>
  <si>
    <t>Sanford Colorific Colored Pencils, 12/Box</t>
  </si>
  <si>
    <t>R380</t>
  </si>
  <si>
    <t>Albert Frost</t>
  </si>
  <si>
    <t>Edward McKenzie</t>
  </si>
  <si>
    <t>Katie Dougherty</t>
  </si>
  <si>
    <t>Hoover Replacement Belts For Soft Guard™ &amp; Commercial Ltweight Upright Vacs, 2/Pk</t>
  </si>
  <si>
    <t>Ibico Ibimaster 300 Manual Binding System</t>
  </si>
  <si>
    <t>Laurence Poe</t>
  </si>
  <si>
    <t>Seth Merrill</t>
  </si>
  <si>
    <t>Executive Impressions 12" Wall Clock</t>
  </si>
  <si>
    <t>Ashley Reese</t>
  </si>
  <si>
    <t>Tennsco Snap-Together Open Shelving Units, Starter Sets and Add-On Units</t>
  </si>
  <si>
    <t>Avery® Durable Slant Ring Binders With Label Holder</t>
  </si>
  <si>
    <t>Tommy Honeycutt</t>
  </si>
  <si>
    <t>BASF Silver 74 Minute CD-R</t>
  </si>
  <si>
    <t>Alicia Curtis</t>
  </si>
  <si>
    <t>Xerox 200</t>
  </si>
  <si>
    <t>Richard McClure</t>
  </si>
  <si>
    <t>DMI Eclipse Executive Suite Bookcases</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</si>
  <si>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</si>
  <si>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</si>
  <si>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</si>
  <si>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</si>
  <si>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</si>
  <si>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</si>
  <si>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Deflect-o EconoMat Nonstudded, No Bevel Mat</t>
  </si>
  <si>
    <t>Keytronic Designer 104- Key Black Keyboard</t>
  </si>
  <si>
    <t>Adam G Sawyer</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</si>
  <si>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</si>
  <si>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</si>
  <si>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</si>
  <si>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</si>
  <si>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</si>
  <si>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</si>
  <si>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</si>
  <si>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</si>
  <si>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</si>
  <si>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</si>
  <si>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Pam Anthony</t>
  </si>
  <si>
    <t>Stephen Lam</t>
  </si>
  <si>
    <t>Hewlett-Packard 4.7GB DVD+R Discs</t>
  </si>
  <si>
    <t>Melvin Duke</t>
  </si>
  <si>
    <t>Eldon Expressions Punched Metal &amp; Wood Desk Accessories, Pewter &amp; Cherry</t>
  </si>
  <si>
    <t>Prang Drawing Pencil Set</t>
  </si>
  <si>
    <t>SUM of Profit</t>
  </si>
  <si>
    <t>X</t>
  </si>
  <si>
    <t>Array® Parchment Paper, Assorted Colors</t>
  </si>
  <si>
    <t>Y</t>
  </si>
  <si>
    <t>Beverly Cooke Brooks</t>
  </si>
  <si>
    <t>Color</t>
  </si>
  <si>
    <t>SC7868i</t>
  </si>
  <si>
    <t>Value</t>
  </si>
  <si>
    <t>Lindsay Link</t>
  </si>
  <si>
    <t>June Herbert</t>
  </si>
  <si>
    <t>Tennsco Regal Shelving Units</t>
  </si>
  <si>
    <t>Danny Vaughn</t>
  </si>
  <si>
    <t>Xerox 1937</t>
  </si>
  <si>
    <t>Joy Maxwell</t>
  </si>
  <si>
    <t>Belkin 8 Outlet SurgeMaster II Gold Surge Protector</t>
  </si>
  <si>
    <t>Wilson Jones Impact Binders</t>
  </si>
  <si>
    <t>Mary Page</t>
  </si>
  <si>
    <t>Verbatim DVD-R, 4.7GB, Spindle, WE, Blank, Ink Jet/Thermal, 20/Spindle</t>
  </si>
  <si>
    <t>Jordan Wilkinson</t>
  </si>
  <si>
    <t>Fellowes Super Stor/Drawer®</t>
  </si>
  <si>
    <t>David Wrenn</t>
  </si>
  <si>
    <t>Elisabeth Massey</t>
  </si>
  <si>
    <t>Avery 479</t>
  </si>
  <si>
    <t>Telephone Message Books with Fax/Mobile Section, 5 1/2" x 3 3/16"</t>
  </si>
  <si>
    <t>Helen Lyons</t>
  </si>
  <si>
    <t>Epson C82 Color Inkjet Printer</t>
  </si>
  <si>
    <t>Neil Hogan</t>
  </si>
  <si>
    <t>Snap-A-Way® Black Print Carbonless Ruled Speed Letter, Triplicate</t>
  </si>
  <si>
    <t>Bernice F Day</t>
  </si>
  <si>
    <t>Accessory39</t>
  </si>
  <si>
    <t>Stuart Holloway</t>
  </si>
  <si>
    <t>5170i</t>
  </si>
  <si>
    <t>Jeffrey Mueller</t>
  </si>
  <si>
    <t>Memorex 4.7GB DVD-RAM, 3/Pack</t>
  </si>
  <si>
    <t>Geraldine Puckett</t>
  </si>
  <si>
    <t>Deborah Paul</t>
  </si>
  <si>
    <t>Acco 6 Outlet Guardian Premium Surge Suppressor</t>
  </si>
  <si>
    <t>Brother DCP1000 Digital 3 in 1 Multifunction Machine</t>
  </si>
  <si>
    <t>Jean Webster</t>
  </si>
  <si>
    <t>Eureka Disposable Bags for Sanitaire® Vibra Groomer I® Upright Vac</t>
  </si>
  <si>
    <t>Sharp EL501VB Scientific Calculator, Battery Operated, 10-Digit Display, Hard Case</t>
  </si>
  <si>
    <t>Sarah N Becker</t>
  </si>
  <si>
    <t>Home/Office Personal File Carts</t>
  </si>
  <si>
    <t>Carlos Byrd</t>
  </si>
  <si>
    <t>Jason Bray</t>
  </si>
  <si>
    <t>Southworth 25% Cotton Antique Laid Paper &amp; Envelopes</t>
  </si>
  <si>
    <t>Holly Pate</t>
  </si>
  <si>
    <t>Xerox 1993</t>
  </si>
  <si>
    <t>Amanda Conner</t>
  </si>
  <si>
    <t>Eileen Riddle</t>
  </si>
  <si>
    <t>Dixon Ticonderoga Core-Lock Colored Pencils</t>
  </si>
  <si>
    <t>Space Solutions Commercial Steel Shelving</t>
  </si>
  <si>
    <t>Xerox 204</t>
  </si>
  <si>
    <t>Lee McKenna Gregory</t>
  </si>
  <si>
    <t>Novimex Swivel Fabric Task Chair</t>
  </si>
  <si>
    <t>Eldon Portable Mobile Manager</t>
  </si>
  <si>
    <t>Accessory35</t>
  </si>
  <si>
    <t>Cheryl Guthrie</t>
  </si>
  <si>
    <t>Microsoft Natural Multimedia Keyboard</t>
  </si>
  <si>
    <t>Xerox 23</t>
  </si>
  <si>
    <t>Marianne Goldstein</t>
  </si>
  <si>
    <t>Judy Singer</t>
  </si>
  <si>
    <t>VTech VT20-2481 2.4GHz Two-Line Phone System w/Answering Machine</t>
  </si>
  <si>
    <t>Catherine Mullins</t>
  </si>
  <si>
    <t>Avery Hi-Liter® Smear-Safe Highlighters</t>
  </si>
  <si>
    <t>Christian Albright</t>
  </si>
  <si>
    <t>Eldon Expressions Mahogany Wood Desk Collection</t>
  </si>
  <si>
    <t>Joann Moser</t>
  </si>
  <si>
    <t>Atlantic Metals Mobile 3-Shelf Bookcases, Custom Colors</t>
  </si>
  <si>
    <t>Marvin Hunt</t>
  </si>
  <si>
    <t>Sheryl Marsh</t>
  </si>
  <si>
    <t>Adams Phone Message Book, Professional, 400 Message Capacity, 5 3/6” x 11”</t>
  </si>
  <si>
    <t>Monica Law Thompson</t>
  </si>
  <si>
    <t>Douglas Sutton</t>
  </si>
  <si>
    <t>Gerald Love</t>
  </si>
  <si>
    <t>Boston 16765 Mini Stand Up Battery Pencil Sharpener</t>
  </si>
  <si>
    <t>Jesse Hutchinson</t>
  </si>
  <si>
    <t>Zebra Zazzle Fluorescent Highlighters</t>
  </si>
  <si>
    <t>Helen H Heller</t>
  </si>
  <si>
    <t>Dana Fluorescent Magnifying Lamp, White, 36"</t>
  </si>
  <si>
    <t>Holmes Cool Mist Humidifier for the Whole House with 8-Gallon Output per Day, Extended Life Filter</t>
  </si>
  <si>
    <t>Bagged Rubber Bands</t>
  </si>
  <si>
    <t>Leah Davenport</t>
  </si>
  <si>
    <t>Karen Hendricks</t>
  </si>
  <si>
    <t>Jacob Lanier</t>
  </si>
  <si>
    <t>2300 Heavy-Duty Transfer File Systems by Perma</t>
  </si>
  <si>
    <t>Arthur Brady</t>
  </si>
  <si>
    <t>Dana Burgess</t>
  </si>
  <si>
    <t>Xerox 1985</t>
  </si>
  <si>
    <t>Sharon Ellis</t>
  </si>
  <si>
    <t>Deflect-o SuperTray™ Unbreakable Stackable Tray, Letter, Black</t>
  </si>
  <si>
    <t>Carina 42"Hx23 3/4"W Media Storage Unit</t>
  </si>
  <si>
    <t>Xerox 224</t>
  </si>
  <si>
    <t>SAFCO PlanMaster Heigh-Adjustable Drafting Table Base, 43w x 30d x 30-37h, Black</t>
  </si>
  <si>
    <t>Sandy Ellington</t>
  </si>
  <si>
    <t>Xerox 231</t>
  </si>
  <si>
    <t>Erika Fink</t>
  </si>
  <si>
    <t>Eureka Sanitaire ® Multi-Pro Heavy-Duty Upright, Disposable Bags</t>
  </si>
  <si>
    <t>CF 688</t>
  </si>
  <si>
    <t>Ellen Beck</t>
  </si>
  <si>
    <t>Malcolm Robertson</t>
  </si>
  <si>
    <t>Global Stack Chair without Arms, Black</t>
  </si>
  <si>
    <t>Billie Fowler</t>
  </si>
  <si>
    <t>Metal Folding Chairs, Beige, 4/Carton</t>
  </si>
  <si>
    <t>Document Clip Frames</t>
  </si>
  <si>
    <t>Newell 337</t>
  </si>
  <si>
    <t>Jennifer Siegel</t>
  </si>
  <si>
    <t>DS/HD IBM Formatted Diskettes, 200/Pack - Staples</t>
  </si>
  <si>
    <t>Round Specialty Laser Printer Labels</t>
  </si>
  <si>
    <t>Francis Spivey</t>
  </si>
  <si>
    <t>Rachel Casey</t>
  </si>
  <si>
    <t>Grand Total</t>
  </si>
  <si>
    <t>12 Colored Short Pencils</t>
  </si>
  <si>
    <t>Carla Hauser</t>
  </si>
  <si>
    <t>Marsha P Joyner</t>
  </si>
  <si>
    <t>Advantus 10-Drawer Portable Organizer, Chrome Metal Frame, Smoke Drawers</t>
  </si>
  <si>
    <t>Carol Sherrill</t>
  </si>
  <si>
    <t>Marion Wilcox</t>
  </si>
  <si>
    <t>Kerry Jernigan</t>
  </si>
  <si>
    <t>Steel Personal Filing/Posting Tote</t>
  </si>
  <si>
    <t>O'Sullivan 3-Shelf Heavy-Duty Bookcases</t>
  </si>
  <si>
    <t>Tracy Livingston</t>
  </si>
  <si>
    <t>Jessie Kelly</t>
  </si>
  <si>
    <t>Fellowes Twister Kit, Gray/Clear, 3/pkg</t>
  </si>
  <si>
    <t>Dolores Abrams</t>
  </si>
  <si>
    <t>Robyn Garner</t>
  </si>
  <si>
    <t>Adams Telephone Message Books, 5 1/4” x 11”</t>
  </si>
  <si>
    <t>Xerox 1983</t>
  </si>
  <si>
    <t>Kelly Shaw</t>
  </si>
  <si>
    <t>StarTAC 7760</t>
  </si>
  <si>
    <t>Albert Maxwell</t>
  </si>
  <si>
    <t>Stephanie Sun Perry</t>
  </si>
  <si>
    <t>GBC Wire Binding Strips</t>
  </si>
  <si>
    <t>Denise Parks</t>
  </si>
  <si>
    <t>Dorothy Buchanan</t>
  </si>
  <si>
    <t>Ernest Oh</t>
  </si>
  <si>
    <t>Jane Shah</t>
  </si>
  <si>
    <t>Epson DFX5000+ Dot Matrix Printer</t>
  </si>
  <si>
    <t>Newell 320</t>
  </si>
  <si>
    <t>Tony Chandler</t>
  </si>
  <si>
    <t>Self-Adhesive Address Labels for Typewriters by Universal</t>
  </si>
  <si>
    <t>Turquoise Lead Holder with Pocket Clip</t>
  </si>
  <si>
    <t>Sally House</t>
  </si>
  <si>
    <t>Panasonic KX-P1150 Dot Matrix Printer</t>
  </si>
  <si>
    <t>Phillip Chappell</t>
  </si>
  <si>
    <t>Benjamin Chan</t>
  </si>
  <si>
    <t>Yvonne Clarke</t>
  </si>
  <si>
    <t>Lynn Payne</t>
  </si>
  <si>
    <t>Gregory Holden</t>
  </si>
  <si>
    <t>Global Commerce™ Series High-Back Swivel/Tilt Chairs</t>
  </si>
  <si>
    <t>Francis Evans</t>
  </si>
  <si>
    <t>Hoover Replacement Belt for Commercial Guardsman Heavy-Duty Upright Vacuum</t>
  </si>
  <si>
    <t>Howard Burnett</t>
  </si>
  <si>
    <t>Companion Letter/Legal File, Black</t>
  </si>
  <si>
    <t>Sue Drake</t>
  </si>
  <si>
    <t>Gyration Ultra Professional Cordless Optical Suite</t>
  </si>
  <si>
    <t>Gail Currin</t>
  </si>
  <si>
    <t>Neal Weber</t>
  </si>
  <si>
    <t>Bretford CR8500 Series Meeting Room Furniture</t>
  </si>
  <si>
    <t>Lloyd Spencer</t>
  </si>
  <si>
    <t>Phillip Pollard</t>
  </si>
  <si>
    <t>Fellowes Command Center 5-outlet power strip</t>
  </si>
  <si>
    <t>Rita Barton</t>
  </si>
  <si>
    <t>Verbatim DVD-RAM, 9.4GB, Rewritable, Type 1, DS, DataLife Plus</t>
  </si>
  <si>
    <t>Lynn Bell</t>
  </si>
  <si>
    <t>Linden® 12" Wall Clock With Oak Frame</t>
  </si>
  <si>
    <t>Lloyd Dickson</t>
  </si>
  <si>
    <t>Xerox 1893</t>
  </si>
  <si>
    <t>Kristin George</t>
  </si>
  <si>
    <t>Chromcraft Bull-Nose Wood Oval Conference Tables &amp; Bases</t>
  </si>
  <si>
    <t>Theresa Winters</t>
  </si>
  <si>
    <t>KF 788</t>
  </si>
  <si>
    <t>Heavy-Duty E-Z-D® Binders</t>
  </si>
  <si>
    <t>Beverly Cameron</t>
  </si>
  <si>
    <t>Boston 1645 Deluxe Heavier-Duty Electric Pencil Sharpener</t>
  </si>
  <si>
    <t>Francis Sherrill</t>
  </si>
  <si>
    <t>Xerox 213</t>
  </si>
  <si>
    <t>Meredith Humphrey</t>
  </si>
  <si>
    <t>Jet-Pak Recycled Peel 'N' Seal Padded Mailers</t>
  </si>
  <si>
    <t>Personal Creations™ Ink Jet Cards and Labels</t>
  </si>
  <si>
    <t>Julie Porter</t>
  </si>
  <si>
    <t>Panasonic KX-P3626 Dot Matrix Printer</t>
  </si>
  <si>
    <t>Glen Newman</t>
  </si>
  <si>
    <t>Ibico Recycled Linen-Style Covers</t>
  </si>
  <si>
    <t>Eugene Kerr</t>
  </si>
  <si>
    <t>i500plus</t>
  </si>
  <si>
    <t>Imation 3.5" IBM-Formatted Diskettes, 10/Pack</t>
  </si>
  <si>
    <t>Avery 494</t>
  </si>
  <si>
    <t>Brian Bennett</t>
  </si>
  <si>
    <t>Keytronic French Keyboard</t>
  </si>
  <si>
    <t>Canon MP25DIII Desktop Whisper-Quiet Printing Calculator</t>
  </si>
  <si>
    <t>Marguerite Rodgers</t>
  </si>
  <si>
    <t>SANFORD Major Accent™ Highlighters</t>
  </si>
  <si>
    <t>Micro Innovations Micro Digital Wireless Keyboard and Mouse, Gray</t>
  </si>
  <si>
    <t>Kent Burton</t>
  </si>
  <si>
    <t>i2000</t>
  </si>
  <si>
    <t>Jessica Huffman</t>
  </si>
  <si>
    <t>US Robotics 56K V.92 External Faxmodem</t>
  </si>
  <si>
    <t>Jon Hale</t>
  </si>
  <si>
    <t>Mildred Chase</t>
  </si>
  <si>
    <t>Fellowes Smart Design 104-Key Enhanced Keyboard, PS/2 Adapter, Platinum</t>
  </si>
  <si>
    <t>Avery 48</t>
  </si>
  <si>
    <t>Jerome Burch</t>
  </si>
  <si>
    <t>Erin Ballard</t>
  </si>
  <si>
    <t>Luxo Professional Fluorescent Magnifier Lamp with Clamp-Mount Base</t>
  </si>
  <si>
    <t>Electrix Halogen Magnifier Lamp</t>
  </si>
  <si>
    <t>Xerox 1923</t>
  </si>
  <si>
    <t>Gayle Pearson</t>
  </si>
  <si>
    <t>Keith R Atkinson</t>
  </si>
  <si>
    <t>Wilson Jones Custom Binder Spines &amp; Labels</t>
  </si>
  <si>
    <t>Xerox 1883</t>
  </si>
  <si>
    <t>Accessory37</t>
  </si>
  <si>
    <t>Gene Gilliam</t>
  </si>
  <si>
    <t>Balt Split Level Computer Training Table</t>
  </si>
  <si>
    <t>Willie Robinson</t>
  </si>
  <si>
    <t>Avery Flip-Chart Easel Binder, Black</t>
  </si>
  <si>
    <t>Seth Thomas 13 1/2" Wall Clock</t>
  </si>
  <si>
    <t>Vicki Bond</t>
  </si>
  <si>
    <t>Erik Barr</t>
  </si>
  <si>
    <t>Xerox 1982</t>
  </si>
  <si>
    <t>Pam Bennett</t>
  </si>
  <si>
    <t>Boston 16701 Slimline Battery Pencil Sharpener</t>
  </si>
  <si>
    <t>Marion Owens</t>
  </si>
  <si>
    <t>Global Leather &amp; Oak Executive Chair, Burgundy</t>
  </si>
  <si>
    <t>Theodore Tyson</t>
  </si>
  <si>
    <t>Colleen Fletcher</t>
  </si>
  <si>
    <t>Hazel Dale</t>
  </si>
  <si>
    <t>Fellowes Internet Keyboard, Platinum</t>
  </si>
  <si>
    <t>Leon Peele</t>
  </si>
  <si>
    <t>GBC Laser Imprintable Binding System Covers, Desert Sand</t>
  </si>
  <si>
    <t>Kimberly McCarthy</t>
  </si>
  <si>
    <t>Eldon® Gobal File Keepers</t>
  </si>
  <si>
    <t>Sidney Bowling</t>
  </si>
  <si>
    <t>Timothy Ross</t>
  </si>
  <si>
    <t>Maxine Collier Grady</t>
  </si>
  <si>
    <t>Acme® Forged Steel Scissors with Black Enamel Handles</t>
  </si>
  <si>
    <t>Hon Olson Stacker Stools</t>
  </si>
  <si>
    <t>Joanna Keith</t>
  </si>
  <si>
    <t>Dwight Bishop</t>
  </si>
  <si>
    <t>Dennis Welch</t>
  </si>
  <si>
    <t>Westinghouse Clip-On Gooseneck Lamps</t>
  </si>
  <si>
    <t>Luis Kerr</t>
  </si>
  <si>
    <t>Epson DFX-8500 Dot Matrix Printer</t>
  </si>
  <si>
    <t>Julia Reynolds</t>
  </si>
  <si>
    <t>Samantha Koch</t>
  </si>
  <si>
    <t>Tonya Proctor</t>
  </si>
  <si>
    <t>Southworth 25% Cotton Premium Laser Paper and Envelopes</t>
  </si>
  <si>
    <t>Timeport L7089</t>
  </si>
  <si>
    <t>Peggy Lanier</t>
  </si>
  <si>
    <t>Angle-D Binders with Locking Rings, Label Holders</t>
  </si>
  <si>
    <t>Randy Jiang</t>
  </si>
  <si>
    <t>Ray Grady</t>
  </si>
  <si>
    <t>Kurt O'Connor</t>
  </si>
  <si>
    <t>Important Message Pads, 50 4-1/4 x 5-1/2 Forms per Pad</t>
  </si>
  <si>
    <t>HP Office Recycled Paper (20Lb. and 87 Bright)</t>
  </si>
  <si>
    <t>#10- 4 1/8" x 9 1/2" Security-Tint Envelopes</t>
  </si>
  <si>
    <t>Logitech Internet Navigator Keyboard</t>
  </si>
  <si>
    <t>Benjamin Strauss</t>
  </si>
  <si>
    <t>Michael Robbins</t>
  </si>
  <si>
    <t>Marjorie Owens</t>
  </si>
  <si>
    <t>Carmen McPherson</t>
  </si>
  <si>
    <t>Epson LQ-570e Dot Matrix Printer</t>
  </si>
  <si>
    <t>Malcolm Floyd</t>
  </si>
  <si>
    <t>Russell Chan</t>
  </si>
  <si>
    <t>Hoover WindTunnel™ Plus Canister Vacuum</t>
  </si>
  <si>
    <t>Edna Huang</t>
  </si>
  <si>
    <t>Alex Nicholson</t>
  </si>
  <si>
    <t>Black Print Carbonless Snap-Off® Rapid Letter, 8 1/2" x 7"</t>
  </si>
  <si>
    <t>Edith Forbes</t>
  </si>
  <si>
    <t>Arlene Weeks</t>
  </si>
  <si>
    <t>Jessie Houston</t>
  </si>
  <si>
    <t>Staples #10 Laser &amp; Inkjet Envelopes, 4 1/8" x 9 1/2", 100/Box</t>
  </si>
  <si>
    <t>Sandy Hunt</t>
  </si>
  <si>
    <t>Global Leather Executive Chair</t>
  </si>
  <si>
    <t>Targus USB Numeric Keypad</t>
  </si>
  <si>
    <t>Jesse Williamson</t>
  </si>
  <si>
    <t>Becky O'Brien</t>
  </si>
  <si>
    <t>Accessory9</t>
  </si>
  <si>
    <t>Lee Xu</t>
  </si>
  <si>
    <t>Polycom ViewStation™ ISDN Videoconferencing Unit</t>
  </si>
  <si>
    <t>Harmony HEPA Quiet Air Purifiers</t>
  </si>
  <si>
    <t>Glenda Herbert</t>
  </si>
  <si>
    <t>Hewlett-Packard Deskjet 1220Cse Color Inkjet Printer</t>
  </si>
  <si>
    <t>Dwight Stephenson</t>
  </si>
  <si>
    <t>Staples Plastic Wall Frames</t>
  </si>
  <si>
    <t>John Morse</t>
  </si>
  <si>
    <t>Louis Parrish</t>
  </si>
  <si>
    <t>Ibico Laser Imprintable Binding System Covers</t>
  </si>
  <si>
    <t>Dixon Ticonderoga Core-Lock Colored Pencils, 48-Color Set</t>
  </si>
  <si>
    <t>Sidney Brewer</t>
  </si>
  <si>
    <t>Grace McNeill Hunt</t>
  </si>
  <si>
    <t>Edward Lamm</t>
  </si>
  <si>
    <t>Beth English</t>
  </si>
  <si>
    <t>Faye Wolf</t>
  </si>
  <si>
    <t>Judy Merritt</t>
  </si>
  <si>
    <t>Debra Proctor</t>
  </si>
  <si>
    <t>Avery 497</t>
  </si>
  <si>
    <t>Eileen Fletcher</t>
  </si>
  <si>
    <t>Pressboard Covers with Storage Hooks, 9 1/2" x 11", Light Blue</t>
  </si>
  <si>
    <t>Canon imageCLASS 2200 Advanced Copier</t>
  </si>
  <si>
    <t>Jeremy Pratt</t>
  </si>
  <si>
    <t>Verbatim DVD-RAM, 5.2GB, Rewritable, Type 1, DS</t>
  </si>
  <si>
    <t>Newell 312</t>
  </si>
  <si>
    <t>Billy Perry Browning</t>
  </si>
  <si>
    <t>Ken Cash</t>
  </si>
  <si>
    <t>Elsie Hwang</t>
  </si>
  <si>
    <t>Patrick Byrne</t>
  </si>
  <si>
    <t>Gary Hester</t>
  </si>
  <si>
    <t>GBC VeloBinder Electric Binding Machine</t>
  </si>
  <si>
    <t>Eva Simpson</t>
  </si>
  <si>
    <t>Polycom VoiceStation 100</t>
  </si>
  <si>
    <t>Phone 918</t>
  </si>
  <si>
    <t>April Bowers</t>
  </si>
  <si>
    <t>Bradley Schroeder</t>
  </si>
  <si>
    <t>Fellowes PB300 Plastic Comb Binding Machine</t>
  </si>
  <si>
    <t>Hewlett-Packard Deskjet 6122 Color Inkjet Printer</t>
  </si>
  <si>
    <t>Lois Hansen</t>
  </si>
  <si>
    <t>G.E. Halogen Desk Lamp Bulbs</t>
  </si>
  <si>
    <t>Hayes Optima 56K V.90 Internal Voice Modem</t>
  </si>
  <si>
    <t>Henry O'Connell</t>
  </si>
  <si>
    <t>Kara Patton</t>
  </si>
  <si>
    <t>Avery Binder Labels</t>
  </si>
  <si>
    <t>Hon Every-Day® Chair Series Swivel Task Chairs</t>
  </si>
  <si>
    <t>IBM Multi-Purpose Copy Paper, 8 1/2 x 11", Case</t>
  </si>
  <si>
    <t>Vickie Coates</t>
  </si>
  <si>
    <t>Bionaire Personal Warm Mist Humidifier/Vaporizer</t>
  </si>
  <si>
    <t>Sauder Forest Hills Library, Woodland Oak Finish</t>
  </si>
  <si>
    <t>Bush Advantage Collection® Round Conference Table</t>
  </si>
  <si>
    <t>Anne Bland</t>
  </si>
  <si>
    <t>Economy Binders</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</si>
  <si>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</si>
  <si>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</si>
  <si>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</si>
  <si>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</si>
  <si>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</si>
  <si>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</si>
  <si>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</si>
  <si>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Vickie Gonzalez</t>
  </si>
  <si>
    <t>Danielle Kramer</t>
  </si>
  <si>
    <t>Xerox 1928</t>
  </si>
  <si>
    <t>Rosemary Branch</t>
  </si>
  <si>
    <t>Sharp EL500L Fraction Calculator</t>
  </si>
  <si>
    <t>Imation 3.5" DS/HD IBM Formatted Diskettes, 10/Pack</t>
  </si>
  <si>
    <t>Joanne Church</t>
  </si>
  <si>
    <t>Hand-Finished Solid Wood Document Frame</t>
  </si>
  <si>
    <t>Josephine Rao</t>
  </si>
  <si>
    <t>Wilson Jones Ledger-Size, Piano-Hinge Binder, 2", Blue</t>
  </si>
  <si>
    <t>Harold Albright</t>
  </si>
  <si>
    <t>Pauline Denton</t>
  </si>
  <si>
    <t>Safco Contoured Stacking Chairs</t>
  </si>
  <si>
    <t>Canon PC-428 Personal Copier</t>
  </si>
  <si>
    <t>Dana Sharpe</t>
  </si>
  <si>
    <t>Herbert Beard</t>
  </si>
  <si>
    <t>Fellowes High-Stak® Drawer Files</t>
  </si>
  <si>
    <t>Cindy Harvey</t>
  </si>
  <si>
    <t>Sherri McIntosh</t>
  </si>
  <si>
    <t>Avery 507</t>
  </si>
  <si>
    <t>Chris Pritchard</t>
  </si>
  <si>
    <t>Deflect-o Glass Clear Studded Chair Mats</t>
  </si>
  <si>
    <t>Teresa Hill</t>
  </si>
  <si>
    <t>Keith Marsh</t>
  </si>
  <si>
    <t>Adam Saunders Gray</t>
  </si>
  <si>
    <t>Acco Pressboard Covers with Storage Hooks, 14 7/8" x 11", Light Blue</t>
  </si>
  <si>
    <t>Marion Lindsey</t>
  </si>
  <si>
    <t>Denise McIntosh</t>
  </si>
  <si>
    <t>Accessory24</t>
  </si>
  <si>
    <t>Marie Bass</t>
  </si>
  <si>
    <t>Perma STOR-ALL™ Hanging File Box, 13 1/8"W x 12 1/4"D x 10 1/2"H</t>
  </si>
  <si>
    <t>Fluorescent Highlighters by Dixon</t>
  </si>
  <si>
    <t>Edward Bynum</t>
  </si>
  <si>
    <t>IBM 80 Minute CD-R Spindle, 50/Pack</t>
  </si>
  <si>
    <t>Vivian Goldstein</t>
  </si>
  <si>
    <t>Staples Metal Binder Clips</t>
  </si>
  <si>
    <t>Jackie Burke</t>
  </si>
  <si>
    <t>Advantus Panel Wall Certificate Holder - 8.5x11</t>
  </si>
  <si>
    <t>Janet McCullough</t>
  </si>
  <si>
    <t>LX 677</t>
  </si>
  <si>
    <t>Vivian Clarke</t>
  </si>
  <si>
    <t>Aaron Dillon</t>
  </si>
  <si>
    <t>Avery 491</t>
  </si>
  <si>
    <t>Avery White Multi-Purpose Labels</t>
  </si>
  <si>
    <t>Marguerite Yu</t>
  </si>
  <si>
    <t>Epson C62 Color Inkjet Printer</t>
  </si>
  <si>
    <t>Arlene Gibbons</t>
  </si>
  <si>
    <t>Nu-Dell Leatherette Frames</t>
  </si>
  <si>
    <t>Kristina Collier</t>
  </si>
  <si>
    <t>Xerox 1894</t>
  </si>
  <si>
    <t>Earl Roy</t>
  </si>
  <si>
    <t>Mead 1st Gear 2" Zipper Binder, Asst. Colors</t>
  </si>
  <si>
    <t>Advantus Push Pins, Aluminum Head</t>
  </si>
  <si>
    <t>Chris Ford</t>
  </si>
  <si>
    <t>James Hunter</t>
  </si>
  <si>
    <t>Patsy Harmon</t>
  </si>
  <si>
    <t>Presstex Flexible Ring Binders</t>
  </si>
  <si>
    <t>Joe D Dean</t>
  </si>
  <si>
    <t>Earl Buck</t>
  </si>
  <si>
    <t>Acco Smartsocket® Color-Coded Six-Outlet AC Adapter Model Surge Protectors</t>
  </si>
  <si>
    <t>Jeanne Walker</t>
  </si>
  <si>
    <t>Christina Hanna</t>
  </si>
  <si>
    <t>Eldon Pizzaz™ Desk Accessories</t>
  </si>
  <si>
    <t>George McLamb</t>
  </si>
  <si>
    <t>X-Rack™ File for Hanging Folders</t>
  </si>
  <si>
    <t>Jean Khan</t>
  </si>
  <si>
    <t>Hazel Jones</t>
  </si>
  <si>
    <t>Wirebound Message Forms, Four 2 3/4 x 5 Forms per Page, Pink Paper</t>
  </si>
  <si>
    <t>Carolyn Greer</t>
  </si>
  <si>
    <t>Recycled Eldon Regeneration Jumbo File</t>
  </si>
  <si>
    <t>Wesley Tate</t>
  </si>
  <si>
    <t>Crystal Floyd</t>
  </si>
  <si>
    <t>Charles Ward</t>
  </si>
  <si>
    <t>g520</t>
  </si>
  <si>
    <t>Marc Ray</t>
  </si>
  <si>
    <t>Avery Hi-Liter® Fluorescent Desk Style Markers</t>
  </si>
  <si>
    <t>Betsy Gibson</t>
  </si>
  <si>
    <t>Rebecca Lindsey</t>
  </si>
  <si>
    <t>Brooke Lancaster</t>
  </si>
  <si>
    <t>Robyn Zhou</t>
  </si>
  <si>
    <t>#10- 4 1/8" x 9 1/2" Recycled Envelopes</t>
  </si>
  <si>
    <t>Gregory Crane</t>
  </si>
  <si>
    <t>Stacy Gould</t>
  </si>
  <si>
    <t>Kerry Green</t>
  </si>
  <si>
    <t>Frances Jackson</t>
  </si>
  <si>
    <t>Global Leather and Oak Executive Chair, Black</t>
  </si>
  <si>
    <t>Tennsco Lockers, Sand</t>
  </si>
  <si>
    <t>Jean Weiss Diaz</t>
  </si>
  <si>
    <t>Kyle Kaufman</t>
  </si>
  <si>
    <t>Rodney Field</t>
  </si>
  <si>
    <t>Kensington 7 Outlet MasterPiece Power Center</t>
  </si>
  <si>
    <t>Howard Miller 13" Diameter Goldtone Round Wall Clock</t>
  </si>
  <si>
    <t>Veronica Peck</t>
  </si>
  <si>
    <t>Lifetime Advantage™ Folding Chairs, 4/Carton</t>
  </si>
  <si>
    <t>Steve Raynor</t>
  </si>
  <si>
    <t>Norman Adams</t>
  </si>
  <si>
    <t>GBC Binding covers</t>
  </si>
  <si>
    <t>Wesley Reid</t>
  </si>
  <si>
    <t>Vicki Zhu Daniels</t>
  </si>
  <si>
    <t>Eldon Antistatic Chair Mats for Low to Medium Pile Carpets</t>
  </si>
  <si>
    <t>Danielle Daniel</t>
  </si>
  <si>
    <t>GBC DocuBind 200 Manual Binding Machine</t>
  </si>
  <si>
    <t>Paul Puckett</t>
  </si>
  <si>
    <t>Memorex Slim 80 Minute CD-R, 10/Pack</t>
  </si>
  <si>
    <t>Marvin MacDonald</t>
  </si>
  <si>
    <t>Recycled Desk Saver Line "While You Were Out" Book, 5 1/2" X 4"</t>
  </si>
  <si>
    <t>Michael Tanner</t>
  </si>
  <si>
    <t>Alison Stewart</t>
  </si>
  <si>
    <t>Fellowes Staxonsteel® Drawer Files</t>
  </si>
  <si>
    <t>Wayne Sutherland</t>
  </si>
  <si>
    <t>Ibico Covers for Plastic or Wire Binding Elements</t>
  </si>
  <si>
    <t>Hanging Personal Folder File</t>
  </si>
  <si>
    <t>Tennsco Double-Tier Lockers</t>
  </si>
  <si>
    <t>Don Beard</t>
  </si>
  <si>
    <t>Kate Lehman</t>
  </si>
  <si>
    <t>Gloria Jacobs</t>
  </si>
  <si>
    <t>Charlotte L Doyle</t>
  </si>
  <si>
    <t>Peel &amp; Stick Add-On Corner Pockets</t>
  </si>
  <si>
    <t>Renee Huang</t>
  </si>
  <si>
    <t>Avery 487</t>
  </si>
  <si>
    <t>Quartet Omega® Colored Chalk, 12/Pack</t>
  </si>
  <si>
    <t>StarTAC 8000</t>
  </si>
  <si>
    <t>Kay Schultz</t>
  </si>
  <si>
    <t>Joseph Dawson</t>
  </si>
  <si>
    <t>Avery Legal 4-Ring Binder</t>
  </si>
  <si>
    <t>Randall Boykin</t>
  </si>
  <si>
    <t>Xerox 1888</t>
  </si>
  <si>
    <t>Earl Watts</t>
  </si>
  <si>
    <t>Larry Hall</t>
  </si>
  <si>
    <t>Neil Parker</t>
  </si>
  <si>
    <t>Boston School Pro Electric Pencil Sharpener, 1670</t>
  </si>
  <si>
    <t>Brad Stark</t>
  </si>
  <si>
    <t>GBC DocuBind 300 Electric Binding Machine</t>
  </si>
  <si>
    <t>Jon Ayers</t>
  </si>
  <si>
    <t>Avery 508</t>
  </si>
  <si>
    <t>Nicole Reid</t>
  </si>
  <si>
    <t>John Bray</t>
  </si>
  <si>
    <t>Canon Image Class D660 Copier</t>
  </si>
  <si>
    <t>Laurence Flowers</t>
  </si>
  <si>
    <t>Portfile® Personal File Boxes</t>
  </si>
  <si>
    <t>Gary Koch</t>
  </si>
  <si>
    <t>Bretford CR4500 Series Slim Rectangular Table</t>
  </si>
  <si>
    <t>Tara Powers Underwood</t>
  </si>
  <si>
    <t>Staples Premium Bright 1-Part Blank Computer Paper</t>
  </si>
  <si>
    <t>Joan Floyd</t>
  </si>
  <si>
    <t>Staples Surge Protector 6 outlet</t>
  </si>
  <si>
    <t>Carol Wood</t>
  </si>
  <si>
    <t>Avery 482</t>
  </si>
  <si>
    <t>James Nicholson</t>
  </si>
  <si>
    <t>Euro Pro Shark Stick Mini Vacuum</t>
  </si>
  <si>
    <t>Zachary Maynard</t>
  </si>
  <si>
    <t>Hon GuestStacker Chair</t>
  </si>
  <si>
    <t>Edwin Coley</t>
  </si>
  <si>
    <t>Staples 1 Part Blank Computer Paper</t>
  </si>
  <si>
    <t>Sherry Hurley</t>
  </si>
  <si>
    <t>Fellowes Basic 104-Key Keyboard, Platinum</t>
  </si>
  <si>
    <t>Lucille Buchanan</t>
  </si>
  <si>
    <t>Eldon Expressions™ Desk Accessory, Wood Photo Frame, Mahogany</t>
  </si>
  <si>
    <t>Ronald O'Neill</t>
  </si>
  <si>
    <t>Avery Durable Poly Binders</t>
  </si>
  <si>
    <t>Frank Hess</t>
  </si>
  <si>
    <t>Alex Watkins</t>
  </si>
  <si>
    <t>Stockwell Push Pins</t>
  </si>
  <si>
    <t>Don Rogers</t>
  </si>
  <si>
    <t>Avery Reinforcements for Hole-Punch Pages</t>
  </si>
  <si>
    <t>Kathleen Huang Hall</t>
  </si>
  <si>
    <t>GBC Clear Cover, 8-1/2 x 11, unpunched, 25 covers per pack</t>
  </si>
  <si>
    <t>Acme® Preferred Stainless Steel Scissors</t>
  </si>
  <si>
    <t>Jerry Ennis</t>
  </si>
  <si>
    <t>Wayne Lutz</t>
  </si>
  <si>
    <t>TDK 4.7GB DVD-R Spindle, 15/Pack</t>
  </si>
  <si>
    <t>June Roberts</t>
  </si>
  <si>
    <t>Martin-Yale Premier Letter Opener</t>
  </si>
  <si>
    <t>Patrick Adcock</t>
  </si>
  <si>
    <t>GBC Prepunched Paper, 19-Hole, for Binding Systems, 24-lb</t>
  </si>
  <si>
    <t>Xerox 1882</t>
  </si>
  <si>
    <t>Letter/Legal File Tote with Clear Snap-On Lid, Black Granite</t>
  </si>
  <si>
    <t>Aaron Day</t>
  </si>
  <si>
    <t>Trav-L-File Heavy-Duty Shuttle II, Black</t>
  </si>
  <si>
    <t>Lori Wolfe</t>
  </si>
  <si>
    <t>BOSTON® Ranger® #55 Pencil Sharpener, Black</t>
  </si>
  <si>
    <t>Gerald Raynor</t>
  </si>
  <si>
    <t>Katherine W Epstein</t>
  </si>
  <si>
    <t>Hewlett-Packard Deskjet 3820 Color Inkjet Printer</t>
  </si>
  <si>
    <t>Sidney Greenberg</t>
  </si>
  <si>
    <t>Newell 336</t>
  </si>
  <si>
    <t>3M Polarizing Task Lamp with Clamp Arm, Light Gray</t>
  </si>
  <si>
    <t>Marvin Rollins</t>
  </si>
  <si>
    <t>Eaton Premium Continuous-Feed Paper, 25% Cotton, Letter Size, White, 1000 Shts/Box</t>
  </si>
  <si>
    <t>Sam Woodward</t>
  </si>
  <si>
    <t>Tenex Contemporary Contur Chairmats for Low and Medium Pile Carpet, Computer, 39" x 49"</t>
  </si>
  <si>
    <t>Eugene Brewer Knox</t>
  </si>
  <si>
    <t>Nina Bowles</t>
  </si>
  <si>
    <t>Roy Hardison</t>
  </si>
  <si>
    <t>Belkin Premiere Surge Master II 8-outlet surge protector</t>
  </si>
  <si>
    <t>Dan Lamm</t>
  </si>
  <si>
    <t>Sony MFD2HD Formatted Diskettes, 10/Pack</t>
  </si>
  <si>
    <t>Avery 485</t>
  </si>
  <si>
    <t>i270</t>
  </si>
  <si>
    <t>Charles Cline</t>
  </si>
  <si>
    <t>Elsie Pridgen</t>
  </si>
  <si>
    <t>Telephone Message Books with Fax/Mobile Section, 4 1/4" x 6"</t>
  </si>
  <si>
    <t>Carolyn Bowling</t>
  </si>
  <si>
    <t>Imation DVD-RAM discs</t>
  </si>
  <si>
    <t>Letter Size Cart</t>
  </si>
  <si>
    <t>Mitchell Ross</t>
  </si>
  <si>
    <t>GBC DocuBind TL200 Manual Binding Machine</t>
  </si>
  <si>
    <t>Sidney Scarborough</t>
  </si>
  <si>
    <t>Jeanne Nguyen</t>
  </si>
  <si>
    <t>Esther Whitaker</t>
  </si>
  <si>
    <t>Staples Colored Interoffice Envelopes</t>
  </si>
  <si>
    <t>Electrix Fluorescent Magnifier Lamps &amp; Weighted Base</t>
  </si>
  <si>
    <t>Julie Edwards</t>
  </si>
  <si>
    <t>Eldon® 200 Class™ Desk Accessories</t>
  </si>
  <si>
    <t>Staples Copy Paper (20Lb. and 84 Bright)</t>
  </si>
  <si>
    <t>Wesley Corbett</t>
  </si>
  <si>
    <t>Lynn O'Donnell</t>
  </si>
  <si>
    <t>Larry Church</t>
  </si>
  <si>
    <t>Tennsco Industrial Shelving</t>
  </si>
  <si>
    <t>Rhonda Schroeder</t>
  </si>
  <si>
    <t>Acme Design Line 8" Stainless Steel Bent Scissors w/Champagne Handles, 3-1/8" Cut</t>
  </si>
  <si>
    <t>Melinda Thornton</t>
  </si>
  <si>
    <t>#10 White Business Envelopes,4 1/8 x 9 1/2</t>
  </si>
  <si>
    <t>Holly Osborne</t>
  </si>
  <si>
    <t>Fellowes Personal Hanging Folder Files, Navy</t>
  </si>
  <si>
    <t>Joseph Hurst</t>
  </si>
  <si>
    <t>Ibico Presentation Index for Binding Systems</t>
  </si>
  <si>
    <t>Xerox 207</t>
  </si>
  <si>
    <t>Sandra Berry</t>
  </si>
  <si>
    <t>Lillian Day</t>
  </si>
  <si>
    <t>Dennis Bowen</t>
  </si>
  <si>
    <t>Avery Premier Heavy-Duty Binder with Round Locking Rings</t>
  </si>
  <si>
    <t>Sharon Long</t>
  </si>
  <si>
    <t>Regina Langley</t>
  </si>
  <si>
    <t>Hunt BOSTON® Vista® Battery-Operated Pencil Sharpener, Black</t>
  </si>
  <si>
    <t>Rosemary Stark</t>
  </si>
  <si>
    <t>TI 36X Solar Scientific Calculator</t>
  </si>
  <si>
    <t>Kathy Shah</t>
  </si>
  <si>
    <t>Russell W Melton</t>
  </si>
  <si>
    <t>Jennifer Zimmerman</t>
  </si>
  <si>
    <t>Eldon Simplefile® Box Office®</t>
  </si>
  <si>
    <t>Constance Flowers</t>
  </si>
  <si>
    <t>US Robotics 56K V.92 Internal PCI Faxmodem</t>
  </si>
  <si>
    <t>Linda Blake</t>
  </si>
  <si>
    <t>Juanita Ballard</t>
  </si>
  <si>
    <t>Carrie Lewis</t>
  </si>
  <si>
    <t>Kerry Wilkerson</t>
  </si>
  <si>
    <t>Nina Horne Kelly</t>
  </si>
  <si>
    <t>Xerox 197</t>
  </si>
  <si>
    <t>Christopher Meadows</t>
  </si>
  <si>
    <t>Eric West</t>
  </si>
  <si>
    <t>Danielle Myers</t>
  </si>
  <si>
    <t>Advantus Employee of the Month Certificate Frame, 11 x 13-1/2</t>
  </si>
  <si>
    <t>Newell 308</t>
  </si>
  <si>
    <t>Dean Solomon</t>
  </si>
  <si>
    <t>Xerox 1880</t>
  </si>
  <si>
    <t>Edna Pierce</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</si>
  <si>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</si>
  <si>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</si>
  <si>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</si>
  <si>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</si>
  <si>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</si>
  <si>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</si>
  <si>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</si>
  <si>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Sherri P Stephens</t>
  </si>
  <si>
    <t>Nelson Hong</t>
  </si>
  <si>
    <t>AT&amp;T Black Trimline Phone, Model 210</t>
  </si>
  <si>
    <t>600 Series Flip</t>
  </si>
  <si>
    <t>Michele Bradshaw</t>
  </si>
  <si>
    <t>12-1/2 Diameter Round Wall Clock</t>
  </si>
  <si>
    <t>Regeneration Desk Collection</t>
  </si>
  <si>
    <t>Ralph Woods Scott</t>
  </si>
  <si>
    <t>Avery Binding System Hidden Tab™ Executive Style Index Sets</t>
  </si>
  <si>
    <t>Robert Rollins</t>
  </si>
  <si>
    <t>Jeff Spivey</t>
  </si>
  <si>
    <t>Marlene Kirk</t>
  </si>
  <si>
    <t>Charlotte Patterson</t>
  </si>
  <si>
    <t>Miriam Greenberg</t>
  </si>
  <si>
    <t>Ray Oakley</t>
  </si>
  <si>
    <t>Jackie Capps</t>
  </si>
  <si>
    <t>Master Caster Door Stop, Brown</t>
  </si>
  <si>
    <t>Lawrence Dennis</t>
  </si>
  <si>
    <t>Newell 342</t>
  </si>
  <si>
    <t>Valerie Siegel</t>
  </si>
  <si>
    <t>Derek Jernigan</t>
  </si>
  <si>
    <t>Jack Morse</t>
  </si>
  <si>
    <t>Joyce Knox</t>
  </si>
  <si>
    <t>Albert Tyson</t>
  </si>
  <si>
    <t>Micro Innovations Media Access Pro Keyboard</t>
  </si>
  <si>
    <t>Marvin Yang</t>
  </si>
  <si>
    <t>Lexmark Z54se Color Inkjet Printer</t>
  </si>
  <si>
    <t>Danielle Schneider</t>
  </si>
  <si>
    <t>Staples Battery-Operated Desktop Pencil Sharpener</t>
  </si>
  <si>
    <t>Ian Hall</t>
  </si>
  <si>
    <t>Xerox 1896</t>
  </si>
  <si>
    <t>Vanessa Boyer</t>
  </si>
  <si>
    <t>3M Polarizing Light Filter Sleeves</t>
  </si>
  <si>
    <t>Kate Peck</t>
  </si>
  <si>
    <t>Gould Plastics 9-Pocket Panel Bin, 18-3/8w x 5-1/4d x 20-1/2h, Black</t>
  </si>
  <si>
    <t>Wirebound Message Books, Four 2 3/4" x 5" Forms per Page, 600 Sets per Book</t>
  </si>
  <si>
    <t>Vincent Hale</t>
  </si>
  <si>
    <t>Newell 315</t>
  </si>
  <si>
    <t>Bush Westfield Collection Bookcases, Dark Cherry Finish, Fully Assembled</t>
  </si>
  <si>
    <t>Stacey Lucas</t>
  </si>
  <si>
    <t>Suzanne Cochran</t>
  </si>
  <si>
    <t>Self-Adhesive Ring Binder Labels</t>
  </si>
  <si>
    <t>Dwight Albright Huffman</t>
  </si>
  <si>
    <t>Herbert Williamson</t>
  </si>
  <si>
    <t>Michelle Steele</t>
  </si>
  <si>
    <t>Joy Kaplan McNeill</t>
  </si>
  <si>
    <t>Erika Morgan</t>
  </si>
  <si>
    <t>Roberta Daniel</t>
  </si>
  <si>
    <t>Lisa Kim</t>
  </si>
  <si>
    <t>Tyvek® Side-Opening Peel &amp; Seel® Expanding Envelopes</t>
  </si>
  <si>
    <t>Xerox 1991</t>
  </si>
  <si>
    <t>Martin Kirk</t>
  </si>
  <si>
    <t>Anita Kent</t>
  </si>
  <si>
    <t>Jacob Hirsch</t>
  </si>
  <si>
    <t>Epson LQ-870 Dot Matrix Printer</t>
  </si>
  <si>
    <t>Oscar Bowers</t>
  </si>
  <si>
    <t>Space Solutions™ Industrial Galvanized Steel Shelving.</t>
  </si>
  <si>
    <t>Gretchen Levine</t>
  </si>
  <si>
    <t>Chromcraft 48" x 96" Racetrack Double Pedestal Table</t>
  </si>
  <si>
    <t>Melanie Burgess</t>
  </si>
  <si>
    <t>Maureen Herbert Hood</t>
  </si>
  <si>
    <t>Quality Park Security Envelopes</t>
  </si>
  <si>
    <t>Penny Tuttle</t>
  </si>
  <si>
    <t>Ibico EB-19 Dual Function Manual Binding System</t>
  </si>
  <si>
    <t>Amy Hall</t>
  </si>
  <si>
    <t>Sean Stephenson</t>
  </si>
  <si>
    <t>Marcia Feldman</t>
  </si>
  <si>
    <t>TI 30X Scientific Calculator</t>
  </si>
  <si>
    <t>Tracy Buckley</t>
  </si>
  <si>
    <t>Executive Impressions 13-1/2" Indoor/Outdoor Wall Clock</t>
  </si>
  <si>
    <t>Executive Impressions 14" Contract Wall Clock</t>
  </si>
  <si>
    <t>Hannah Tyson</t>
  </si>
  <si>
    <t>Avery® 3 1/2" Diskette Storage Pages, 10/Pack</t>
  </si>
  <si>
    <t>Nathan Jenkins</t>
  </si>
  <si>
    <t>Earl Alston</t>
  </si>
  <si>
    <t>Gregory R Snow</t>
  </si>
  <si>
    <t>Ibico EPK-21 Electric Binding System</t>
  </si>
  <si>
    <t>William Crawford</t>
  </si>
  <si>
    <t>Scott Moore</t>
  </si>
  <si>
    <t>Office Star - Ergonomic Mid Back Chair with 2-Way Adjustable Arms</t>
  </si>
  <si>
    <t>Diana Coble Hubbard</t>
  </si>
  <si>
    <t>Belkin F9M820V08 8 Outlet Surge</t>
  </si>
  <si>
    <t>Bravo II™ Megaboss® 12-Amp Hard Body Upright, Replacement Belts, 2 Belts per Pack</t>
  </si>
  <si>
    <t>Rubbermaid ClusterMat Chairmats, Mat Size- 66" x 60", Lip 20" x 11" -90 Degree Angle</t>
  </si>
  <si>
    <t>Franklin Spencer</t>
  </si>
  <si>
    <t>Eileen McDonald</t>
  </si>
  <si>
    <t>Honeywell Quietcare HEPA Air Cleaner</t>
  </si>
  <si>
    <t>Dana Waller</t>
  </si>
  <si>
    <t>Bush Advantage Collection® Racetrack Conference Table</t>
  </si>
  <si>
    <t>Leslie Shannon</t>
  </si>
  <si>
    <t>Xerox 1986</t>
  </si>
  <si>
    <t>Justin Frank</t>
  </si>
  <si>
    <t>Ted Crowder</t>
  </si>
  <si>
    <t>Vickie Martinez</t>
  </si>
  <si>
    <t>Belkin ErgoBoard™ Keyboard</t>
  </si>
  <si>
    <t>Bonnie Matthews Rowland</t>
  </si>
  <si>
    <t>Career Cubicle Clock, 8 1/4", Black</t>
  </si>
  <si>
    <t>Hammermill Color Copier Paper (28Lb. and 96 Bright)</t>
  </si>
  <si>
    <t>Sean Burton</t>
  </si>
  <si>
    <t>Carolyn Hoffman</t>
  </si>
  <si>
    <t>Marsha Roy</t>
  </si>
  <si>
    <t>Priscilla Brandon</t>
  </si>
  <si>
    <t>Robert Brantley</t>
  </si>
  <si>
    <t>Kensington 6 Outlet Guardian Standard Surge Protector</t>
  </si>
  <si>
    <t>Sherri F Vogel</t>
  </si>
  <si>
    <t>Marianne Weiner Ennis</t>
  </si>
  <si>
    <t>Lynne Wilcox</t>
  </si>
  <si>
    <t>Lynda Rosenthal</t>
  </si>
  <si>
    <t>Anna Burgess</t>
  </si>
  <si>
    <t>36X48 HARDFLOOR CHAIRMAT</t>
  </si>
  <si>
    <t>David Weaver</t>
  </si>
  <si>
    <t>White Dual Perf Computer Printout Paper, 2700 Sheets, 1 Part, Heavyweight, 20 lbs., 14 7/8 x 11</t>
  </si>
  <si>
    <t>Sanford Pocket Accent® Highlighters</t>
  </si>
  <si>
    <t>Paula Hubbard</t>
  </si>
  <si>
    <t>Xerox 1938</t>
  </si>
  <si>
    <t>Harriet Bowman</t>
  </si>
  <si>
    <t>GBC Standard Therm-A-Bind Covers</t>
  </si>
  <si>
    <t>Judy Frazier</t>
  </si>
  <si>
    <t>James Dickinson Ball</t>
  </si>
  <si>
    <t>Cynthia Khan</t>
  </si>
  <si>
    <t>Xerox 1950</t>
  </si>
  <si>
    <t>Wayne Bean</t>
  </si>
  <si>
    <t>Cathy Simon</t>
  </si>
  <si>
    <t>Erika Jordan</t>
  </si>
  <si>
    <t>O'Sullivan Living Dimensions 2-Shelf Bookcases</t>
  </si>
  <si>
    <t>Lindsay O'Connell</t>
  </si>
  <si>
    <t>Canon BP1200DH 12-Digit Bubble Jet Printing Calculator</t>
  </si>
  <si>
    <t>Jon Ward</t>
  </si>
  <si>
    <t>Revere Boxed Rubber Bands by Revere</t>
  </si>
  <si>
    <t>Lynda Herman</t>
  </si>
  <si>
    <t>Peter Adams</t>
  </si>
  <si>
    <t>Jay Simon</t>
  </si>
  <si>
    <t>Eileen Schwartz</t>
  </si>
  <si>
    <t>Xerox 199</t>
  </si>
  <si>
    <t>Bretford Rectangular Conference Table Tops</t>
  </si>
  <si>
    <t>Kenneth Pollock</t>
  </si>
  <si>
    <t>Newell 326</t>
  </si>
  <si>
    <t>Francis Kendall</t>
  </si>
  <si>
    <t>Louise Webster Sharma</t>
  </si>
  <si>
    <t>Nathan Newton</t>
  </si>
  <si>
    <t>Lumber Crayons</t>
  </si>
  <si>
    <t>Marianne Carey</t>
  </si>
  <si>
    <t>Atlantic Metals Mobile 2-Shelf Bookcases, Custom Colors</t>
  </si>
  <si>
    <t>Alfred Singh</t>
  </si>
  <si>
    <t>Todd D Norris</t>
  </si>
  <si>
    <t>Claudia Webb</t>
  </si>
  <si>
    <t>Elsie Boykin</t>
  </si>
  <si>
    <t>Kelly Collins</t>
  </si>
  <si>
    <t>Victor Cherry</t>
  </si>
  <si>
    <t>Imation 5.2GB DVD-RAM</t>
  </si>
  <si>
    <t>Avery 481</t>
  </si>
  <si>
    <t>Malcolm S Lanier</t>
  </si>
  <si>
    <t>Speediset Carbonless Redi-Letter® 7" x 8 1/2"</t>
  </si>
  <si>
    <t>Ultra Door Pull Handle</t>
  </si>
  <si>
    <t>Xerox 1920</t>
  </si>
  <si>
    <t>Evan Kelley</t>
  </si>
  <si>
    <t>Matthew Conway</t>
  </si>
  <si>
    <t>Binder Clips by OIC</t>
  </si>
  <si>
    <t>Annie Odom</t>
  </si>
  <si>
    <t>Fellowes Superior 10 Outlet Split Surge Protector</t>
  </si>
  <si>
    <t>Hewlett Packard LaserJet 3310 Copier</t>
  </si>
  <si>
    <t>Unpadded Memo Slips</t>
  </si>
  <si>
    <t>Vernon Hirsch Singleton</t>
  </si>
  <si>
    <t>Patsy Shea</t>
  </si>
  <si>
    <t>Tracy Dyer</t>
  </si>
  <si>
    <t>Ultra Commercial Grade Dual Valve Door Closer</t>
  </si>
  <si>
    <t>Nathan Fox</t>
  </si>
  <si>
    <t>Leigh Burnette Hurley</t>
  </si>
  <si>
    <t>Xerox 1994</t>
  </si>
  <si>
    <t>Alfred Barber</t>
  </si>
  <si>
    <t>Paige Mason</t>
  </si>
  <si>
    <t>Sanford Liquid Accent Highlighters</t>
  </si>
  <si>
    <t>*Staples* Packaging Labels</t>
  </si>
  <si>
    <t>Jeffrey Lloyd</t>
  </si>
  <si>
    <t>Bevis Steel Folding Chairs</t>
  </si>
  <si>
    <t>Jack Hatcher</t>
  </si>
  <si>
    <t>Hon Pagoda™ Stacking Chairs</t>
  </si>
  <si>
    <t>StarTAC 6500</t>
  </si>
  <si>
    <t>Carolyn Fisher</t>
  </si>
  <si>
    <t>Lexmark Z25 Color Inkjet Printer</t>
  </si>
  <si>
    <t>Paige Powers</t>
  </si>
  <si>
    <t>Joyce Kern</t>
  </si>
  <si>
    <t>Xerox 1974</t>
  </si>
  <si>
    <t>Mary Hewitt</t>
  </si>
  <si>
    <t>Bush Mission Pointe Library</t>
  </si>
  <si>
    <t>Philip Hawkins</t>
  </si>
  <si>
    <t>Melvin Kendall</t>
  </si>
  <si>
    <t>SouthWestern Bell FA970 Digital Answering Machine with Time/Day Stamp</t>
  </si>
  <si>
    <t>Crystal Crabtree</t>
  </si>
  <si>
    <t>Jon Kendall</t>
  </si>
  <si>
    <t>Molly Webster</t>
  </si>
  <si>
    <t>Boston 16801 Nautilus™ Battery Pencil Sharpener</t>
  </si>
  <si>
    <t>Multi-Use Personal File Cart and Caster Set, Three Stacking Bins</t>
  </si>
  <si>
    <t>Lester Sawyer</t>
  </si>
  <si>
    <t>Kerry Hardy</t>
  </si>
  <si>
    <t>Courtney Boyd</t>
  </si>
  <si>
    <t>Melinda Rogers</t>
  </si>
  <si>
    <t>Hon Deluxe Fabric Upholstered Stacking Chairs, Rounded Back</t>
  </si>
  <si>
    <t>Binder Posts</t>
  </si>
  <si>
    <t>Tom Hoyle Honeycutt</t>
  </si>
  <si>
    <t>Eldon Cleatmat® Chair Mats for Medium Pile Carpets</t>
  </si>
  <si>
    <t>Wesley Field</t>
  </si>
  <si>
    <t>Xerox 1979</t>
  </si>
  <si>
    <t>Brenda Jain</t>
  </si>
  <si>
    <t>Hon Non-Folding Utility Tables</t>
  </si>
  <si>
    <t>Harry Sellers</t>
  </si>
  <si>
    <t>Acco PRESSTEX® Data Binder with Storage Hooks, Dark Blue, 9 1/2" X 11"</t>
  </si>
  <si>
    <t>Melanie Knight</t>
  </si>
  <si>
    <t>Newell 339</t>
  </si>
  <si>
    <t>Judy Hall</t>
  </si>
  <si>
    <t>Sheryl Reese</t>
  </si>
  <si>
    <t>Joanne Spivey</t>
  </si>
  <si>
    <t>Brown Kraft Recycled Envelopes</t>
  </si>
  <si>
    <t>Frank Cross</t>
  </si>
  <si>
    <t>Marvin Patrick</t>
  </si>
  <si>
    <t>Stanley Bostitch Contemporary Electric Pencil Sharpeners</t>
  </si>
  <si>
    <t>Donald Melton</t>
  </si>
  <si>
    <t>Gene Heath Cross</t>
  </si>
  <si>
    <t>Fellowes Strictly Business® Drawer File, Letter/Legal Size</t>
  </si>
  <si>
    <t>Karen O'Donnell</t>
  </si>
  <si>
    <t>Gyration Ultra Cordless Optical Suite</t>
  </si>
  <si>
    <t>Lester Woodward Maynard</t>
  </si>
  <si>
    <t>Boston 1799 Powerhouse™ Electric Pencil Sharpener</t>
  </si>
  <si>
    <t>David Hoyle</t>
  </si>
  <si>
    <t>Tensor Computer Mounted Lamp</t>
  </si>
  <si>
    <t>Laurie Howe</t>
  </si>
  <si>
    <t>Eddie Walker</t>
  </si>
  <si>
    <t>Oscar Ford</t>
  </si>
  <si>
    <t>Bobby Powell</t>
  </si>
  <si>
    <t>Sharon Thomas</t>
  </si>
  <si>
    <t>Anita Hahn</t>
  </si>
  <si>
    <t>Safco Industrial Wire Shelving</t>
  </si>
  <si>
    <t>Stacy Chang</t>
  </si>
  <si>
    <t>Christopher High</t>
  </si>
  <si>
    <t>Clara Kaplan</t>
  </si>
  <si>
    <t>Jennifer Stanton</t>
  </si>
  <si>
    <t>Sean McKenna</t>
  </si>
  <si>
    <t>Office Star Flex Back Scooter Chair with Aluminum Finish Frame</t>
  </si>
  <si>
    <t>Maurice Kelly</t>
  </si>
  <si>
    <t>Jeff Meadows</t>
  </si>
  <si>
    <t>Xerox 1917</t>
  </si>
  <si>
    <t>Lloyd Levin</t>
  </si>
  <si>
    <t>Tripp Lite Isotel 6 Outlet Surge Protector with Fax/Modem Protection</t>
  </si>
  <si>
    <t>Novimex Turbo Task Chair</t>
  </si>
  <si>
    <t>Bernard Thompson</t>
  </si>
  <si>
    <t>HP Office Paper (20Lb. and 87 Bright)</t>
  </si>
  <si>
    <t>Nicole Pope</t>
  </si>
  <si>
    <t>Geoffrey H Wong</t>
  </si>
  <si>
    <t>Accessory15</t>
  </si>
  <si>
    <t>Helen Dickerson</t>
  </si>
  <si>
    <t>James Davenport</t>
  </si>
  <si>
    <t>Acco Four Pocket Poly Ring Binder with Label Holder, Smoke, 1"</t>
  </si>
  <si>
    <t>Brandon Beach</t>
  </si>
  <si>
    <t>Holmes Replacement Filter for HEPA Air Cleaner, Medium Room</t>
  </si>
  <si>
    <t>Carlos Adkins</t>
  </si>
  <si>
    <t>Kristine Holden</t>
  </si>
  <si>
    <t>V70</t>
  </si>
  <si>
    <t>Brett Ingram</t>
  </si>
  <si>
    <t>Acme Galleria® Hot Forged Steel Scissors with Colored Handles</t>
  </si>
  <si>
    <t>Debra Block</t>
  </si>
  <si>
    <t>Belkin 325VA UPS Surge Protector, 6'</t>
  </si>
  <si>
    <t>Marlene Harrison</t>
  </si>
  <si>
    <t>Westinghouse Floor Lamp with Metal Mesh Shade, Black</t>
  </si>
  <si>
    <t>Dennis Block Richardson</t>
  </si>
  <si>
    <t>Monica Harvey</t>
  </si>
  <si>
    <t>Jimmy Waters</t>
  </si>
  <si>
    <t>Nancy Holden</t>
  </si>
  <si>
    <t>Arnold Floyd Blair</t>
  </si>
  <si>
    <t>Larry Langston</t>
  </si>
  <si>
    <t>Samuel Newman</t>
  </si>
  <si>
    <t>Desktop 3-Pocket Hot File®</t>
  </si>
  <si>
    <t>Ryan Herman</t>
  </si>
  <si>
    <t>Glen Robertson</t>
  </si>
  <si>
    <t>Holmes HEPA Air Purifier</t>
  </si>
  <si>
    <t>Logitech Cordless Navigator Duo</t>
  </si>
  <si>
    <t>Beth Dolan</t>
  </si>
  <si>
    <t>Global Enterprise Series Seating High-Back Swivel/Tilt Chairs</t>
  </si>
  <si>
    <t>Bevis Round Conference Table Top &amp; Single Column Base</t>
  </si>
  <si>
    <t>Joe Baldwin</t>
  </si>
  <si>
    <t>Pat Kinney</t>
  </si>
  <si>
    <t>Laurence Cummings</t>
  </si>
  <si>
    <t>Emma Buckley</t>
  </si>
  <si>
    <t>Holmes Replacement Filter for HEPA Air Cleaner, Very Large Room, HEPA Filter</t>
  </si>
  <si>
    <t>Boston 1730 StandUp Electric Pencil Sharpener</t>
  </si>
  <si>
    <t>Kara Foster</t>
  </si>
  <si>
    <t>Megan Woods</t>
  </si>
  <si>
    <t>Stephanie Hawkins</t>
  </si>
  <si>
    <t>Newell 318</t>
  </si>
  <si>
    <t>Rubber Band Ball</t>
  </si>
  <si>
    <t>Lynn Hines</t>
  </si>
  <si>
    <t>Wilson Jones DublLock® D-Ring Binders</t>
  </si>
  <si>
    <t>Gordon Boswell</t>
  </si>
  <si>
    <t>Colleen Marsh</t>
  </si>
  <si>
    <t>Global Leather Highback Executive Chair with Pneumatic Height Adjustment, Black</t>
  </si>
  <si>
    <t>Sylvia Kumar</t>
  </si>
  <si>
    <t>Kerry Beach</t>
  </si>
  <si>
    <t>T65</t>
  </si>
  <si>
    <t>Lesro Sheffield Collection Coffee Table, End Table, Center Table, Corner Table</t>
  </si>
  <si>
    <t>Patrick Lowry</t>
  </si>
  <si>
    <t>Clyde Burnett</t>
  </si>
  <si>
    <t>Emma Bloom</t>
  </si>
  <si>
    <t>Danielle Baird</t>
  </si>
  <si>
    <t>Annie Horne</t>
  </si>
  <si>
    <t>Post-it® “Important Message” Note Pad, Neon Colors, 50 Sheets/Pad</t>
  </si>
  <si>
    <t>Vincent Daniel</t>
  </si>
  <si>
    <t>Jacob Murray</t>
  </si>
  <si>
    <t>DAX Cubicle Frames - 8x10</t>
  </si>
  <si>
    <t>Mike G Hartman</t>
  </si>
  <si>
    <t>Marvin Parrott</t>
  </si>
  <si>
    <t>Debra Batchelor</t>
  </si>
  <si>
    <t>Eldon Shelf Savers™ Cubes and Bins</t>
  </si>
  <si>
    <t>Mildred Briggs</t>
  </si>
  <si>
    <t>GBC Therma-A-Bind 250T Electric Binding System</t>
  </si>
  <si>
    <t>Lisa Branch</t>
  </si>
  <si>
    <t>Geoffrey Saunders</t>
  </si>
  <si>
    <t>Janice Frye</t>
  </si>
  <si>
    <t>Debbie Dillon</t>
  </si>
  <si>
    <t>Xerox 216</t>
  </si>
  <si>
    <t>Tina Monroe</t>
  </si>
  <si>
    <t>Fellowes Binding Cases</t>
  </si>
  <si>
    <t>Beverly Roberts</t>
  </si>
  <si>
    <t>Julian F Wolfe</t>
  </si>
  <si>
    <t>Ken H Frazier</t>
  </si>
  <si>
    <t>Kyle Fink</t>
  </si>
  <si>
    <t>Sanford EarthWrite® Recycled Pencils, Medium Soft, #2</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</si>
  <si>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</si>
  <si>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</si>
  <si>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</si>
  <si>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</si>
  <si>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</si>
  <si>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</si>
  <si>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</si>
  <si>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Nicholas Wallace</t>
  </si>
  <si>
    <t>Logitech Cordless Elite Duo</t>
  </si>
  <si>
    <t>Dorothy Holt</t>
  </si>
  <si>
    <t>John Merritt</t>
  </si>
  <si>
    <t>Kimberly Reilly</t>
  </si>
  <si>
    <t>Troy Cassidy</t>
  </si>
  <si>
    <t>GBC Standard Plastic Binding Systems Combs</t>
  </si>
  <si>
    <t>Lindsay Tate</t>
  </si>
  <si>
    <t>Debra P May</t>
  </si>
  <si>
    <t>Judith Shepherd</t>
  </si>
  <si>
    <t>Kenneth Capps</t>
  </si>
  <si>
    <t>Natalie Aldridge</t>
  </si>
  <si>
    <t>Danny Richmond</t>
  </si>
  <si>
    <t>Binney &amp; Smith inkTank™ Erasable Pocket Highlighter, Chisel Tip, Yellow</t>
  </si>
  <si>
    <t>Melanie Morrow</t>
  </si>
  <si>
    <t>Tonya Miller</t>
  </si>
  <si>
    <t>Newell 31</t>
  </si>
  <si>
    <t>Donna Braun</t>
  </si>
  <si>
    <t>Joan Beach</t>
  </si>
  <si>
    <t>Deflect-o RollaMat Studded, Beveled Mat for Medium Pile Carpeting</t>
  </si>
  <si>
    <t>Yvonne Collier</t>
  </si>
  <si>
    <t>GBC Twin Loop™ Wire Binding Elements, 9/16" Spine, Black</t>
  </si>
  <si>
    <t>Troy Casey</t>
  </si>
  <si>
    <t>Xerox 227</t>
  </si>
  <si>
    <t>Lucille Gibbons</t>
  </si>
  <si>
    <t>Peel-Off® China Markers</t>
  </si>
  <si>
    <t>Joe George</t>
  </si>
  <si>
    <t>Hon Rectangular Conference Tables</t>
  </si>
  <si>
    <t>GBC Standard Plastic Binding Systems' Combs</t>
  </si>
  <si>
    <t>Gilbert Godfrey</t>
  </si>
  <si>
    <t>Nu-Form 106-Key Ergonomic Keyboard w/ Touchpad</t>
  </si>
  <si>
    <t>Xerox 1989</t>
  </si>
  <si>
    <t>Rhonda Stein</t>
  </si>
  <si>
    <t>Ricky Sanders</t>
  </si>
  <si>
    <t>Kelly Sawyer</t>
  </si>
  <si>
    <t>Rhonda Bryant</t>
  </si>
  <si>
    <t>Fellowes Recycled Storage Drawers</t>
  </si>
  <si>
    <t>Jack Horn</t>
  </si>
  <si>
    <t>Michelle Bryant Phillips</t>
  </si>
  <si>
    <t>Gordon Walker</t>
  </si>
  <si>
    <t>Boston Model 1800 Electric Pencil Sharpener, Gray</t>
  </si>
  <si>
    <t>Craig Liu</t>
  </si>
  <si>
    <t>Pauline Finch</t>
  </si>
  <si>
    <t>TDK 4.7GB DVD-R</t>
  </si>
  <si>
    <t>Sean N Boyer</t>
  </si>
  <si>
    <t>Maria Block</t>
  </si>
  <si>
    <t>Arlene Long</t>
  </si>
  <si>
    <t>Geoffrey Koch</t>
  </si>
  <si>
    <t>Kevin Smith</t>
  </si>
  <si>
    <t>Toni Owens Poe</t>
  </si>
  <si>
    <t>Alfred Harmon</t>
  </si>
  <si>
    <t>Xerox 1984</t>
  </si>
  <si>
    <t>Jeanette Davies</t>
  </si>
  <si>
    <t>Pauline Brooks</t>
  </si>
  <si>
    <t>Sidney Larson</t>
  </si>
  <si>
    <t>Leo E Underwood</t>
  </si>
  <si>
    <t>Sandy Mueller</t>
  </si>
  <si>
    <t>Shawn Meyer</t>
  </si>
  <si>
    <t>Harriet Wooten</t>
  </si>
  <si>
    <t>Derek Sweeney</t>
  </si>
  <si>
    <t>Gretchen Orr</t>
  </si>
  <si>
    <t>Janet Zhang</t>
  </si>
  <si>
    <t>Rick Houston</t>
  </si>
  <si>
    <t>Mitchell Goldberg</t>
  </si>
  <si>
    <t>Max Hubbard</t>
  </si>
  <si>
    <t>Helen Ferguson</t>
  </si>
  <si>
    <t>Josephine Dalton</t>
  </si>
  <si>
    <t>Artistic Insta-Plaque</t>
  </si>
  <si>
    <t>Rick Ellis</t>
  </si>
  <si>
    <t>Edna Freeman</t>
  </si>
  <si>
    <t>Wayne Bass</t>
  </si>
  <si>
    <t>Accessory31</t>
  </si>
  <si>
    <t>Boston KS Multi-Size Manual Pencil Sharpener</t>
  </si>
  <si>
    <t>Dixon Ticonderoga® Erasable Colored Pencil Set, 12-Color</t>
  </si>
  <si>
    <t>Martha Bowers</t>
  </si>
  <si>
    <t>Joan Bowers</t>
  </si>
  <si>
    <t>Virginia McNeill</t>
  </si>
  <si>
    <t>GBC ProClick Spines for 32-Hole Punch</t>
  </si>
  <si>
    <t>Karl Knowles</t>
  </si>
  <si>
    <t>Laurie Moon</t>
  </si>
  <si>
    <t>Aluminum Document Frame</t>
  </si>
  <si>
    <t>Karen Warren</t>
  </si>
  <si>
    <t>Yvonne Stephens</t>
  </si>
  <si>
    <t>DAX Copper Panel Document Frame, 5 x 7 Size</t>
  </si>
  <si>
    <t>Deflect-O® Glasstique™ Clear Desk Accessories</t>
  </si>
  <si>
    <t>Rosemary O'Brien</t>
  </si>
  <si>
    <t>Kent Gill</t>
  </si>
  <si>
    <t>Balt Solid Wood Rectangular Table</t>
  </si>
  <si>
    <t>Marshall Sutherland</t>
  </si>
  <si>
    <t>Wendy Pridgen Pearce</t>
  </si>
  <si>
    <t>Okidata ML520 Series Dot Matrix Printers</t>
  </si>
  <si>
    <t>TOPS Voice Message Log Book, Flash Format</t>
  </si>
  <si>
    <t>Seth Matthews</t>
  </si>
  <si>
    <t>Eugene H Walsh</t>
  </si>
  <si>
    <t>Xerox 20</t>
  </si>
  <si>
    <t>Anne Schultz</t>
  </si>
  <si>
    <t>Malcolm French</t>
  </si>
  <si>
    <t>Acme Kleencut® Forged Steel Scissors</t>
  </si>
  <si>
    <t>Penny Leach</t>
  </si>
  <si>
    <t>Gina Curry</t>
  </si>
  <si>
    <t>Tommy Lutz</t>
  </si>
  <si>
    <t>Anthony Stanley</t>
  </si>
  <si>
    <t>Eureka The Boss® Cordless Rechargeable Stick Vac</t>
  </si>
  <si>
    <t>Laurence Hull</t>
  </si>
  <si>
    <t>Gerald Crabtree</t>
  </si>
  <si>
    <t>Security-Tint Envelopes</t>
  </si>
  <si>
    <t>Brandon E Shepherd</t>
  </si>
  <si>
    <t>Phyllis Little</t>
  </si>
  <si>
    <t>Robyn Hayes</t>
  </si>
  <si>
    <t>Sanford 52201 APSCO Electric Pencil Sharpener</t>
  </si>
  <si>
    <t>Lillian Fischer</t>
  </si>
  <si>
    <t>Avery Trapezoid Extra Heavy Duty 4" Binders</t>
  </si>
  <si>
    <t>Danielle P Rao</t>
  </si>
  <si>
    <t>Betsy Puckett</t>
  </si>
  <si>
    <t>i1000</t>
  </si>
  <si>
    <t>Alicia Wood Shah</t>
  </si>
  <si>
    <t>Marianne Connor</t>
  </si>
  <si>
    <t>Teresa Bishop</t>
  </si>
  <si>
    <t>Eldon Radial Chair Mat for Low to Medium Pile Carpets</t>
  </si>
  <si>
    <t>Leo J Olson</t>
  </si>
  <si>
    <t>Brenda Ross</t>
  </si>
  <si>
    <t>Leo Kane</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</si>
  <si>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</si>
  <si>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</si>
  <si>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</si>
  <si>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</si>
  <si>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</si>
  <si>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</si>
  <si>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</si>
  <si>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</si>
  <si>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</si>
  <si>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Xerox 1962</t>
  </si>
  <si>
    <t>Staples Vinyl Coated Paper Clips</t>
  </si>
  <si>
    <t>Yvonne Mann</t>
  </si>
  <si>
    <t>Model L Table or Wall-Mount Pencil Sharpener</t>
  </si>
  <si>
    <t>Lloyd Fuller</t>
  </si>
  <si>
    <t>Geoffrey Rivera</t>
  </si>
  <si>
    <t>Deflect-o EconoMat Studded, No Bevel Mat for Low Pile Carpeting</t>
  </si>
  <si>
    <t>Edna Michael</t>
  </si>
  <si>
    <t>DAX Value U-Channel Document Frames, Easel Back</t>
  </si>
  <si>
    <t>Kathryn Wolfe</t>
  </si>
  <si>
    <t>GBC Plastic Binding Combs</t>
  </si>
  <si>
    <t>Sally Dunn</t>
  </si>
  <si>
    <t>Ricky W Clements</t>
  </si>
  <si>
    <t>Marcia Greenberg</t>
  </si>
  <si>
    <t>Cardinal Holdit Business Card Pockets</t>
  </si>
  <si>
    <t>Hon Metal Bookcases, Black</t>
  </si>
  <si>
    <t>Juan Gold</t>
  </si>
  <si>
    <t>Tenex Personal Project File with Scoop Front Design, Black</t>
  </si>
  <si>
    <t>Stanley Steele</t>
  </si>
  <si>
    <t>Lynda Banks</t>
  </si>
  <si>
    <t>Avery 492</t>
  </si>
  <si>
    <t>Becky Farmer</t>
  </si>
  <si>
    <t>Caroline Stone</t>
  </si>
  <si>
    <t>Memo Book, 100 Message Capacity, 5 3/8” x 11”</t>
  </si>
  <si>
    <t>Donna Block</t>
  </si>
  <si>
    <t>Erika Clapp</t>
  </si>
  <si>
    <t>Katharine Hudson</t>
  </si>
  <si>
    <t>Penny O Caldwell</t>
  </si>
  <si>
    <t>Megan York</t>
  </si>
  <si>
    <t>Arnold Gay</t>
  </si>
  <si>
    <t>Bush Cubix Collection Bookcases, Fully Assembled</t>
  </si>
  <si>
    <t>Brian Grady</t>
  </si>
  <si>
    <t>Eldon® Expressions™ Wood and Plastic Desk Accessories, Oak</t>
  </si>
  <si>
    <t>Allen Nash</t>
  </si>
  <si>
    <t>Evan Adkins</t>
  </si>
  <si>
    <t>Arnold Johnson</t>
  </si>
  <si>
    <t>Acco Perma® 2700 Stacking Storage Drawers</t>
  </si>
  <si>
    <t>Tracy Schultz</t>
  </si>
  <si>
    <t>Dixon My First Ticonderoga Pencil, #2</t>
  </si>
  <si>
    <t>Joel Burnette</t>
  </si>
  <si>
    <t>Kevin Wolfe</t>
  </si>
  <si>
    <t>Christina Zhu</t>
  </si>
  <si>
    <t>Theodore Rubin</t>
  </si>
  <si>
    <t>Alison Jones</t>
  </si>
  <si>
    <t>Talkabout T8097</t>
  </si>
  <si>
    <t>Jacob Burgess</t>
  </si>
  <si>
    <t>Kelly Byers</t>
  </si>
  <si>
    <t>Hewlett-Packard Business Color Inkjet 3000 [N, DTN] Series Printers</t>
  </si>
  <si>
    <t>Xerox 217</t>
  </si>
  <si>
    <t>Rodney Kearney</t>
  </si>
  <si>
    <t>Dawn Larson</t>
  </si>
  <si>
    <t>Newell 346</t>
  </si>
  <si>
    <t>Connie Bunn</t>
  </si>
  <si>
    <t>Wirebound Voice Message Log Book</t>
  </si>
  <si>
    <t>Harry Burns</t>
  </si>
  <si>
    <t>A1228</t>
  </si>
  <si>
    <t>Cindy McLeod</t>
  </si>
  <si>
    <t>Premier Elliptical Ring Binder, Black</t>
  </si>
  <si>
    <t>Cameron Kendall</t>
  </si>
  <si>
    <t>Jimmy Wang</t>
  </si>
  <si>
    <t>Bionaire 99.97% HEPA Air Cleaner</t>
  </si>
  <si>
    <t>Catherine Dorsey Burnett</t>
  </si>
  <si>
    <t>Hewlett-Packard cp1700 [D, PS] Series Color Inkjet Printers</t>
  </si>
  <si>
    <t>Marjorie Burnette</t>
  </si>
  <si>
    <t>Surelock™ Post Binders</t>
  </si>
  <si>
    <t>Laurence Simon</t>
  </si>
  <si>
    <t>Max Hurley</t>
  </si>
  <si>
    <t>Panasonic KP-310 Heavy-Duty Electric Pencil Sharpener</t>
  </si>
  <si>
    <t>Carole Rosen</t>
  </si>
  <si>
    <t>Monica Howard</t>
  </si>
  <si>
    <t>Tim Connolly</t>
  </si>
  <si>
    <t>Leslie Hawley</t>
  </si>
  <si>
    <t>Bob Berg</t>
  </si>
  <si>
    <t>GE 4 Foot Flourescent Tube, 40 Watt</t>
  </si>
  <si>
    <t>Xerox 1892</t>
  </si>
  <si>
    <t>Vanessa Day</t>
  </si>
  <si>
    <t>Eileen Dalton</t>
  </si>
  <si>
    <t>Annie Sherrill</t>
  </si>
  <si>
    <t>Vicki Womble</t>
  </si>
  <si>
    <t>Deflect-o DuraMat Antistatic Studded Beveled Mat for Medium Pile Carpeting</t>
  </si>
  <si>
    <t>Jerry Webster</t>
  </si>
  <si>
    <t>Brad H Blake</t>
  </si>
  <si>
    <t>Dwight Robinson</t>
  </si>
  <si>
    <t>Carrie High</t>
  </si>
  <si>
    <t>Roberta Mitchell</t>
  </si>
  <si>
    <t>Fellowes Bases and Tops For Staxonsteel®/High-Stak® Systems</t>
  </si>
  <si>
    <t>Dana Teague</t>
  </si>
  <si>
    <t>Eugene Clayton</t>
  </si>
  <si>
    <t>Benjamin Gunter</t>
  </si>
  <si>
    <t>Chromcraft Bull-Nose Wood Round Conference Table Top, Wood Base</t>
  </si>
  <si>
    <t>Marian Willis</t>
  </si>
  <si>
    <t>V 3600 Series</t>
  </si>
  <si>
    <t>Susan Carroll Berman</t>
  </si>
  <si>
    <t>Grace Black</t>
  </si>
  <si>
    <t>Andrew Gonzalez</t>
  </si>
  <si>
    <t>Avery 510</t>
  </si>
  <si>
    <t>Dana Swing-Arm Lamps</t>
  </si>
  <si>
    <t>Memorex 80 Minute CD-R Spindle, 100/Pack</t>
  </si>
  <si>
    <t>Stuart Sharma</t>
  </si>
  <si>
    <t>Stuart C Robinson</t>
  </si>
  <si>
    <t>Gary Frazier</t>
  </si>
  <si>
    <t>Gretchen McKinney</t>
  </si>
  <si>
    <t>Benjamin Porter</t>
  </si>
  <si>
    <t>Kathryn Tate</t>
  </si>
  <si>
    <t>Anna Ellis</t>
  </si>
  <si>
    <t>Xerox 1973</t>
  </si>
  <si>
    <t>Betty Giles</t>
  </si>
  <si>
    <t>Xerox 1997</t>
  </si>
  <si>
    <t>Frances Powers</t>
  </si>
  <si>
    <t>KI Conference Tables</t>
  </si>
  <si>
    <t>Robyn Lyon</t>
  </si>
  <si>
    <t>Serrated Blade or Curved Handle Hand Letter Openers</t>
  </si>
  <si>
    <t>Hannah Carver</t>
  </si>
  <si>
    <t>Ernest Peele</t>
  </si>
  <si>
    <t>Lynne Griffith</t>
  </si>
  <si>
    <t>Courtney Nelson</t>
  </si>
  <si>
    <t>TOPS Money Receipt Book, Consecutively Numbered in Red,</t>
  </si>
  <si>
    <t>Leslie Woodard</t>
  </si>
  <si>
    <t>Avery Heavy-Duty EZD ™ Binder With Locking Rings</t>
  </si>
  <si>
    <t>Faye Hanna</t>
  </si>
  <si>
    <t>Phyllis Hull</t>
  </si>
  <si>
    <t>Laurie Case Daniel</t>
  </si>
  <si>
    <t>Leah Pollock</t>
  </si>
  <si>
    <t>Elsie Lane</t>
  </si>
  <si>
    <t>Kathy Turner</t>
  </si>
  <si>
    <t>Jordan Womble</t>
  </si>
  <si>
    <t>Thelma Murray</t>
  </si>
  <si>
    <t>William Sharma</t>
  </si>
  <si>
    <t>Francis I Davis</t>
  </si>
  <si>
    <t>Ellen Sparks</t>
  </si>
  <si>
    <t>Accessory21</t>
  </si>
  <si>
    <t>Allan Dickinson</t>
  </si>
  <si>
    <t>Leonard Strauss</t>
  </si>
  <si>
    <t>Kathy Hinton</t>
  </si>
  <si>
    <t>Miriam Bowman</t>
  </si>
  <si>
    <t>Wirebound Service Call Books, 5 1/2" x 4"</t>
  </si>
  <si>
    <t>Iceberg OfficeWorks 42" Round Tables</t>
  </si>
  <si>
    <t>Sally Liu</t>
  </si>
  <si>
    <t>Microsoft Multimedia Keyboard</t>
  </si>
  <si>
    <t>Fred Barber</t>
  </si>
  <si>
    <t>Lloyd Dolan</t>
  </si>
  <si>
    <t>Joanna Kenney</t>
  </si>
  <si>
    <t>Natalie Watts</t>
  </si>
  <si>
    <t>Xerox 196</t>
  </si>
  <si>
    <t>Sean Herbert</t>
  </si>
  <si>
    <t>Lindsay Webb</t>
  </si>
  <si>
    <t>Kim McCarthy</t>
  </si>
  <si>
    <t>Priscilla Allen</t>
  </si>
  <si>
    <t>Anthony Foley</t>
  </si>
  <si>
    <t>Roy Rouse</t>
  </si>
  <si>
    <t>Maurice Everett</t>
  </si>
  <si>
    <t>Xerox 1930</t>
  </si>
  <si>
    <t>Teresa Watts</t>
  </si>
  <si>
    <t>Thomas Spence</t>
  </si>
  <si>
    <t>Penny Rich</t>
  </si>
  <si>
    <t>Xerox 1881</t>
  </si>
  <si>
    <t>Tammy Raynor</t>
  </si>
  <si>
    <t>Honeywell Enviracaire Portable HEPA Air Cleaner for 17' x 22' Room</t>
  </si>
  <si>
    <t>Xerox 1941</t>
  </si>
  <si>
    <t>Annie Livingston</t>
  </si>
  <si>
    <t>Melvin Benton</t>
  </si>
  <si>
    <t>4009® Highlighters by Sanford</t>
  </si>
  <si>
    <t>Tina Evans</t>
  </si>
  <si>
    <t>Hammermill CopyPlus Copy Paper (20Lb. and 84 Bright)</t>
  </si>
  <si>
    <t>Edith Reynolds</t>
  </si>
  <si>
    <t>Xerox 1906</t>
  </si>
  <si>
    <t>Carrie Duke</t>
  </si>
  <si>
    <t>Tara Gold</t>
  </si>
  <si>
    <t>GBC White Gloss Covers, Plain Front</t>
  </si>
  <si>
    <t>Jordan Beard</t>
  </si>
  <si>
    <t>Xerox 1995</t>
  </si>
  <si>
    <t>Andrew Pearce</t>
  </si>
  <si>
    <t>Tracy G Starr</t>
  </si>
  <si>
    <t>Robin Tyler</t>
  </si>
  <si>
    <t>Ann Steele</t>
  </si>
  <si>
    <t>Sharp AL-1530CS Digital Copier</t>
  </si>
  <si>
    <t>Clarence Crowder</t>
  </si>
  <si>
    <t>Tiffany Merrill</t>
  </si>
  <si>
    <t>Newell 307</t>
  </si>
  <si>
    <t>Gordon Brandt</t>
  </si>
  <si>
    <t>Peter Hardy</t>
  </si>
  <si>
    <t>O'Sullivan Cherrywood Estates Traditional Barrister Bookcase</t>
  </si>
  <si>
    <t>Lynne Reid</t>
  </si>
  <si>
    <t>Kate McKenna</t>
  </si>
  <si>
    <t>Xerox 1932</t>
  </si>
  <si>
    <t>Andrew Levine</t>
  </si>
  <si>
    <t>Quartet Alpha® White Chalk, 12/Pack</t>
  </si>
  <si>
    <t>Debbie Hsu</t>
  </si>
  <si>
    <t>Ted Durham</t>
  </si>
  <si>
    <t>Zoom V.92 V.44 PCI Internal Controllerless FaxModem</t>
  </si>
  <si>
    <t>Sandy Cannon</t>
  </si>
  <si>
    <t>Eureka Hand Vacuum, Bagless</t>
  </si>
  <si>
    <t>Mike Howard</t>
  </si>
  <si>
    <t>Kensington 6 Outlet SmartSocket Surge Protector</t>
  </si>
  <si>
    <t>Bevis Boat-Shaped Conference Table</t>
  </si>
  <si>
    <t>File Shuttle II and Handi-File, Black</t>
  </si>
  <si>
    <t>Lorraine Boykin</t>
  </si>
  <si>
    <t>Gladys Holloway</t>
  </si>
  <si>
    <t>Lawrence Hester</t>
  </si>
  <si>
    <t>V3682</t>
  </si>
  <si>
    <t>Alexander O'Brien</t>
  </si>
  <si>
    <t>Wayne English</t>
  </si>
  <si>
    <t>GBC Recycled Grain Textured Covers</t>
  </si>
  <si>
    <t>Panasonic KP-350BK Electric Pencil Sharpener with Auto Stop</t>
  </si>
  <si>
    <t>Jay Hubbard</t>
  </si>
  <si>
    <t>Daniel Christian</t>
  </si>
  <si>
    <t>GBC ProClick™ 150 Presentation Binding System</t>
  </si>
  <si>
    <t>Jamie Manning</t>
  </si>
  <si>
    <t>Neil Barbee</t>
  </si>
  <si>
    <t>Guy McDonald</t>
  </si>
  <si>
    <t>Canon S750 Color Inkjet Printer</t>
  </si>
  <si>
    <t>Cathy Burgess</t>
  </si>
  <si>
    <t>Anita Kang</t>
  </si>
  <si>
    <t>Acco Smartsocket™ Table Surge Protector, 6 Color-Coded Adapter Outlets</t>
  </si>
  <si>
    <t>Kristine Singleton</t>
  </si>
  <si>
    <t>Assorted Color Push Pins</t>
  </si>
  <si>
    <t>Imation 3.5 IBM Diskettes, 10/Box</t>
  </si>
  <si>
    <t>300 Series Non-Flip</t>
  </si>
  <si>
    <t>Lee Hancock</t>
  </si>
  <si>
    <t>Herbert Donnelly Swanson</t>
  </si>
  <si>
    <t>David Powell</t>
  </si>
  <si>
    <t>Jerome McIntosh</t>
  </si>
  <si>
    <t>Neil Song</t>
  </si>
  <si>
    <t>Decoflex Hanging Personal Folder File</t>
  </si>
  <si>
    <t>Maureen Stout</t>
  </si>
  <si>
    <t>"While you Were Out" Message Book, One Form per Page</t>
  </si>
  <si>
    <t>Leroy Field</t>
  </si>
  <si>
    <t>Harriet Moore</t>
  </si>
  <si>
    <t>Hon 4070 Series Pagoda™ Round Back Stacking Chairs</t>
  </si>
  <si>
    <t>Glenda Hunter</t>
  </si>
  <si>
    <t>Bevis Rectangular Conference Tables</t>
  </si>
  <si>
    <t>Fiskars 8" Scissors, 2/Pack</t>
  </si>
  <si>
    <t>Faye Manning</t>
  </si>
  <si>
    <t>Julian Keith Mayer</t>
  </si>
  <si>
    <t>Fellowes Smart Surge Ten-Outlet Protector, Platinum</t>
  </si>
  <si>
    <t>Gyration RF Keyboard</t>
  </si>
  <si>
    <t>Ray Silverman</t>
  </si>
  <si>
    <t>Janice Boswell</t>
  </si>
  <si>
    <t>Lawrence Haas</t>
  </si>
  <si>
    <t>Southworth Structures Collection™</t>
  </si>
  <si>
    <t>Jackie McCullough</t>
  </si>
  <si>
    <t>Micro Innovations 104 Keyboard</t>
  </si>
  <si>
    <t>Laurie Petty</t>
  </si>
  <si>
    <t>Marie Pittman</t>
  </si>
  <si>
    <t>Sidney Gilliam</t>
  </si>
  <si>
    <t>Jenny Hawkins</t>
  </si>
  <si>
    <t>Angela Rose</t>
  </si>
  <si>
    <t>Xerox 1961</t>
  </si>
  <si>
    <t>Rick Foster Hawkins</t>
  </si>
  <si>
    <t>Wallace Pugh</t>
  </si>
  <si>
    <t>Alvin Mullins</t>
  </si>
  <si>
    <t>Dana Rankin</t>
  </si>
  <si>
    <t>Elsie Floyd</t>
  </si>
  <si>
    <t>Jonathan Crabtree</t>
  </si>
  <si>
    <t>Sean Pugh</t>
  </si>
  <si>
    <t>Diane Lu</t>
  </si>
  <si>
    <t>Claudia White</t>
  </si>
  <si>
    <t>Novimex Fabric Task Chair</t>
  </si>
  <si>
    <t>Robyn Crawford</t>
  </si>
  <si>
    <t>1.7 Cubic Foot Compact "Cube" Office Refrigerators</t>
  </si>
  <si>
    <t>Arthur Gold</t>
  </si>
  <si>
    <t>Verbatim DVD-R, 3.95GB, SR, Mitsubishi Branded, Jewel</t>
  </si>
  <si>
    <t>Sharon Kessler</t>
  </si>
  <si>
    <t>Large Capacity Hanging Post Binders</t>
  </si>
  <si>
    <t>Monica Stuart</t>
  </si>
  <si>
    <t>Imation 3.5" DS/HD IBM Formatted Diskettes, 50/Pack</t>
  </si>
  <si>
    <t>Xerox 1916</t>
  </si>
  <si>
    <t>Kathleen P Bloom</t>
  </si>
  <si>
    <t>Marlene Phillips</t>
  </si>
  <si>
    <t>Imation 3.5" DS-HD Macintosh Formatted Diskettes, 10/Pack</t>
  </si>
  <si>
    <t>Wanda Harris</t>
  </si>
  <si>
    <t>Earl Donnelly</t>
  </si>
  <si>
    <t>Nicole Goldstein</t>
  </si>
  <si>
    <t>Wilson Jones Elliptical Ring 3 1/2" Capacity Binders, 800 sheets</t>
  </si>
  <si>
    <t>Peter Brooks</t>
  </si>
  <si>
    <t>Maureen Whitley</t>
  </si>
  <si>
    <t>Sharon Marcus</t>
  </si>
  <si>
    <t>Gretchen Best Wilkins</t>
  </si>
  <si>
    <t>Steven Long</t>
  </si>
  <si>
    <t>Becky Puckett</t>
  </si>
  <si>
    <t>Edgar Kumar</t>
  </si>
  <si>
    <t>Billie Stern</t>
  </si>
  <si>
    <t>Tamara Dickinson</t>
  </si>
  <si>
    <t>Canon PC940 Copier</t>
  </si>
  <si>
    <t>Ricky Allred</t>
  </si>
  <si>
    <t>Fellowes Officeware™ Wire Shelving</t>
  </si>
  <si>
    <t>William Woodard</t>
  </si>
  <si>
    <t>Michael Shaffer</t>
  </si>
  <si>
    <t>Ricky Garner</t>
  </si>
  <si>
    <t>Xerox 19</t>
  </si>
  <si>
    <t>Mary Norman</t>
  </si>
  <si>
    <t>Carole Creech</t>
  </si>
  <si>
    <t>Claire Warren</t>
  </si>
  <si>
    <t>Edwin Chung</t>
  </si>
  <si>
    <t>G.E. Longer-Life Indoor Recessed Floodlight Bulbs</t>
  </si>
  <si>
    <t>Tiffany Grossman Hardin</t>
  </si>
  <si>
    <t>Marlene Davidson</t>
  </si>
  <si>
    <t>Alicia Maynard</t>
  </si>
  <si>
    <t>Leslie Jacobson</t>
  </si>
  <si>
    <t>Diane Barr</t>
  </si>
  <si>
    <t>DIXON Ticonderoga® Erasable Checking Pencils</t>
  </si>
  <si>
    <t>Bob Gibson</t>
  </si>
  <si>
    <t>Hon Comfortask® Task/Swivel Chairs</t>
  </si>
  <si>
    <t>Elisabeth Shaw</t>
  </si>
  <si>
    <t>Constance Robertson</t>
  </si>
  <si>
    <t>Lester Copeland</t>
  </si>
  <si>
    <t>Phillip Blum</t>
  </si>
  <si>
    <t>i1000plus</t>
  </si>
  <si>
    <t>Paul Tate</t>
  </si>
  <si>
    <t>Jim Hinson</t>
  </si>
  <si>
    <t>Carrie McIntosh</t>
  </si>
  <si>
    <t>GBC VeloBinder Strips</t>
  </si>
  <si>
    <t>Amy York</t>
  </si>
  <si>
    <t>Nathan Wyatt</t>
  </si>
  <si>
    <t>Sara Faulkner</t>
  </si>
  <si>
    <t>Glenda Simon</t>
  </si>
  <si>
    <t>Richard Tan</t>
  </si>
  <si>
    <t>Jeffrey Cheng</t>
  </si>
  <si>
    <t>Daniel Huff</t>
  </si>
  <si>
    <t>Oscar Kenney</t>
  </si>
  <si>
    <t>Dana Boyle</t>
  </si>
  <si>
    <t>Renee McKenzie</t>
  </si>
  <si>
    <t>Avery 506</t>
  </si>
  <si>
    <t>Stacy Byrne</t>
  </si>
  <si>
    <t>Annette McIntyre</t>
  </si>
  <si>
    <t>Xerox 1936</t>
  </si>
  <si>
    <t>Eva Decker</t>
  </si>
  <si>
    <t>Christopher Norton Patterson</t>
  </si>
  <si>
    <t>Staples SlimLine Pencil Sharpener</t>
  </si>
  <si>
    <t>Daniel Richmond</t>
  </si>
  <si>
    <t>Premium Writing Pencils, Soft, #2 by Central Association for the Blind</t>
  </si>
  <si>
    <t>Carmen Elmore</t>
  </si>
  <si>
    <t>Aaron Shaffer</t>
  </si>
  <si>
    <t>Irene Murphy</t>
  </si>
  <si>
    <t>Andrea Shaw</t>
  </si>
  <si>
    <t>Crate-A-Files™</t>
  </si>
  <si>
    <t>Marvin Reid</t>
  </si>
  <si>
    <t>Florence Gold</t>
  </si>
  <si>
    <t>Eldon Expressions Punched Metal &amp; Wood Desk Accessories, Black &amp; Cherry</t>
  </si>
  <si>
    <t>Tammy Buckley</t>
  </si>
  <si>
    <t>Tenex 46" x 60" Computer Anti-Static Chairmat, Rectangular Shaped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</si>
</sst>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809]#,##0"/>
    <numFmt numFmtId="166" formatCode="[$£-809]#,##0.00"/>
    <numFmt numFmtId="167" formatCode="[$€]#,##0"/>
  </numFmts>
  <fonts count="14">
    <font>
      <sz val="10.0"/>
      <color rgb="FF000000"/>
      <name val="Arial"/>
      <scheme val="minor"/>
    </font>
    <font>
      <color theme="1"/>
      <name val="&quot;MS Sans Serif&quot;"/>
    </font>
    <font>
      <b/>
      <color rgb="FFFFFFFF"/>
      <name val="Arial"/>
      <scheme val="minor"/>
    </font>
    <font>
      <color theme="1"/>
      <name val="Arial"/>
    </font>
    <font>
      <color theme="1"/>
      <name val="Arial"/>
      <scheme val="minor"/>
    </font>
    <font>
      <b/>
      <color theme="1"/>
      <name val="&quot;MS Sans Serif&quot;"/>
    </font>
    <font>
      <color rgb="FFFFFFFF"/>
      <name val="Arial"/>
      <scheme val="minor"/>
    </font>
    <font>
      <color rgb="FFFFFFFF"/>
      <name val="Verdana"/>
    </font>
    <font>
      <color theme="1"/>
      <name val="Verdana"/>
    </font>
    <font>
      <sz val="11.0"/>
      <color theme="1"/>
      <name val="Verdana"/>
    </font>
    <font>
      <b/>
      <sz val="22.0"/>
      <color rgb="FF274E13"/>
      <name val="Verdana"/>
    </font>
    <font>
      <b/>
      <sz val="21.0"/>
      <color rgb="FF274E13"/>
      <name val="Verdana"/>
    </font>
    <font>
      <b/>
      <sz val="14.0"/>
      <color theme="1"/>
      <name val="Verdana"/>
    </font>
    <font>
      <b/>
      <sz val="40.0"/>
      <color rgb="FF38761D"/>
      <name val="Verdana"/>
    </font>
  </fonts>
  <fills count="7">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38761D"/>
        <bgColor rgb="FF38761D"/>
      </patternFill>
    </fill>
    <fill>
      <patternFill patternType="solid">
        <fgColor theme="0"/>
        <bgColor theme="0"/>
      </patternFill>
    </fill>
    <fill>
      <patternFill patternType="solid">
        <fgColor rgb="FFFFFFFF"/>
        <bgColor rgb="FFFFFFFF"/>
      </patternFill>
    </fill>
  </fills>
  <borders count="8">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1" fillId="0" fontId="2" numFmtId="0" xfId="0" applyAlignment="1" applyBorder="1" applyFont="1">
      <alignment horizontal="center" readingOrder="0"/>
    </xf>
    <xf borderId="2" fillId="0" fontId="2" numFmtId="0" xfId="0" applyAlignment="1" applyBorder="1" applyFont="1">
      <alignment horizontal="center" readingOrder="0"/>
    </xf>
    <xf borderId="2" fillId="0" fontId="2" numFmtId="49" xfId="0" applyAlignment="1" applyBorder="1" applyFont="1" applyNumberFormat="1">
      <alignment horizontal="center" readingOrder="0"/>
    </xf>
    <xf borderId="2" fillId="0" fontId="2" numFmtId="4" xfId="0" applyAlignment="1" applyBorder="1" applyFont="1" applyNumberFormat="1">
      <alignment horizontal="center" readingOrder="0"/>
    </xf>
    <xf borderId="0" fillId="0" fontId="3" numFmtId="0" xfId="0" applyAlignment="1" applyFont="1">
      <alignment shrinkToFit="0" vertical="bottom" wrapText="0"/>
    </xf>
    <xf borderId="3" fillId="0" fontId="2" numFmtId="0" xfId="0" applyAlignment="1" applyBorder="1" applyFont="1">
      <alignment horizontal="center" readingOrder="0"/>
    </xf>
    <xf borderId="0" fillId="0" fontId="3" numFmtId="49" xfId="0" applyAlignment="1" applyFont="1" applyNumberFormat="1">
      <alignment shrinkToFit="0" vertical="bottom" wrapText="0"/>
    </xf>
    <xf borderId="0" fillId="0" fontId="3" numFmtId="4" xfId="0" applyAlignment="1" applyFont="1" applyNumberFormat="1">
      <alignment readingOrder="0" shrinkToFit="0" vertical="bottom" wrapText="0"/>
    </xf>
    <xf borderId="4" fillId="0" fontId="4" numFmtId="0" xfId="0" applyAlignment="1" applyBorder="1" applyFont="1">
      <alignment readingOrder="0"/>
    </xf>
    <xf borderId="0" fillId="0" fontId="5" numFmtId="0" xfId="0" applyAlignment="1" applyFont="1">
      <alignment readingOrder="0" shrinkToFit="0" vertical="bottom" wrapText="0"/>
    </xf>
    <xf borderId="5" fillId="0" fontId="4" numFmtId="0" xfId="0" applyAlignment="1" applyBorder="1" applyFont="1">
      <alignment readingOrder="0"/>
    </xf>
    <xf borderId="0" fillId="0" fontId="3" numFmtId="0" xfId="0" applyAlignment="1" applyFont="1">
      <alignment readingOrder="0" shrinkToFit="0" vertical="bottom" wrapText="0"/>
    </xf>
    <xf borderId="0" fillId="0" fontId="1" numFmtId="0" xfId="0" applyAlignment="1" applyFont="1">
      <alignment shrinkToFit="0" vertical="bottom" wrapText="0"/>
    </xf>
    <xf borderId="5" fillId="0" fontId="4" numFmtId="49" xfId="0" applyAlignment="1" applyBorder="1" applyFont="1" applyNumberFormat="1">
      <alignment readingOrder="0"/>
    </xf>
    <xf borderId="5" fillId="0" fontId="4" numFmtId="4" xfId="0" applyAlignment="1" applyBorder="1" applyFont="1" applyNumberFormat="1">
      <alignment readingOrder="0"/>
    </xf>
    <xf borderId="6" fillId="0" fontId="4" numFmtId="164" xfId="0" applyAlignment="1" applyBorder="1" applyFont="1" applyNumberFormat="1">
      <alignment readingOrder="0"/>
    </xf>
    <xf borderId="0" fillId="0" fontId="1" numFmtId="0" xfId="0" applyAlignment="1" applyFont="1">
      <alignment shrinkToFit="0" vertical="bottom" wrapText="0"/>
    </xf>
    <xf borderId="0" fillId="0" fontId="1" numFmtId="49" xfId="0" applyAlignment="1" applyFont="1" applyNumberFormat="1">
      <alignment horizontal="right" shrinkToFit="0" vertical="bottom" wrapText="0"/>
    </xf>
    <xf borderId="0" fillId="0" fontId="1" numFmtId="4" xfId="0" applyAlignment="1" applyFont="1" applyNumberFormat="1">
      <alignment horizontal="right" shrinkToFit="0" vertical="bottom" wrapText="0"/>
    </xf>
    <xf borderId="0" fillId="0" fontId="1" numFmtId="164" xfId="0" applyAlignment="1" applyFont="1" applyNumberFormat="1">
      <alignment horizontal="right" readingOrder="0" shrinkToFit="0" vertical="bottom" wrapText="0"/>
    </xf>
    <xf borderId="0" fillId="0" fontId="4" numFmtId="165" xfId="0" applyFont="1" applyNumberFormat="1"/>
    <xf borderId="0" fillId="0" fontId="4" numFmtId="166" xfId="0" applyFont="1" applyNumberFormat="1"/>
    <xf borderId="0" fillId="0" fontId="4" numFmtId="0" xfId="0" applyFont="1"/>
    <xf borderId="0" fillId="0" fontId="4" numFmtId="4" xfId="0" applyFont="1" applyNumberFormat="1"/>
    <xf borderId="0" fillId="0" fontId="4" numFmtId="49" xfId="0" applyFont="1" applyNumberFormat="1"/>
    <xf borderId="0" fillId="2" fontId="4" numFmtId="0" xfId="0" applyFill="1" applyFont="1"/>
    <xf borderId="0" fillId="2" fontId="4" numFmtId="165" xfId="0" applyFill="1" applyFont="1" applyNumberFormat="1"/>
    <xf borderId="0" fillId="3" fontId="4" numFmtId="0" xfId="0" applyFill="1" applyFont="1"/>
    <xf borderId="0" fillId="3" fontId="6" numFmtId="0" xfId="0" applyFill="1" applyFont="1"/>
    <xf borderId="7" fillId="4" fontId="7" numFmtId="0" xfId="0" applyBorder="1" applyFill="1" applyFont="1"/>
    <xf borderId="7" fillId="4" fontId="7" numFmtId="49" xfId="0" applyBorder="1" applyFill="1" applyFont="1" applyNumberFormat="1"/>
    <xf borderId="7" fillId="2" fontId="8" numFmtId="0" xfId="0" applyBorder="1" applyFill="1" applyFont="1"/>
    <xf borderId="7" fillId="2" fontId="9" numFmtId="0" xfId="0" applyAlignment="1" applyBorder="1" applyFill="1" applyFont="1">
      <alignment readingOrder="0"/>
    </xf>
    <xf borderId="0" fillId="3" fontId="10" numFmtId="167" xfId="0" applyAlignment="1" applyFill="1" applyFont="1" applyNumberFormat="1">
      <alignment horizontal="center" vertical="center"/>
    </xf>
    <xf borderId="0" fillId="2" fontId="8" numFmtId="0" xfId="0" applyFill="1" applyFont="1"/>
    <xf borderId="0" fillId="0" fontId="4" numFmtId="0" xfId="0" applyAlignment="1" applyFont="1">
      <alignment readingOrder="0"/>
    </xf>
    <xf borderId="0" fillId="0" fontId="4" numFmtId="165" xfId="0" applyAlignment="1" applyFont="1" applyNumberFormat="1">
      <alignment readingOrder="0"/>
    </xf>
    <xf borderId="0" fillId="0" fontId="4" numFmtId="10" xfId="0" applyFont="1" applyNumberFormat="1"/>
    <xf borderId="0" fillId="5" fontId="4" numFmtId="0" xfId="0" applyAlignment="1" applyFill="1" applyFont="1">
      <alignment readingOrder="0"/>
    </xf>
    <xf borderId="0" fillId="6" fontId="4" numFmtId="0" xfId="0" applyAlignment="1" applyFill="1" applyFont="1">
      <alignment readingOrder="0"/>
    </xf>
    <xf borderId="0" fillId="6" fontId="4" numFmtId="0" xfId="0" applyFill="1" applyFont="1"/>
    <xf borderId="0" fillId="3" fontId="8" numFmtId="0" xfId="0" applyFill="1" applyFont="1"/>
    <xf borderId="0" fillId="3" fontId="11" numFmtId="167" xfId="0" applyAlignment="1" applyFill="1" applyFont="1" applyNumberFormat="1">
      <alignment horizontal="center" vertical="center"/>
    </xf>
    <xf borderId="0" fillId="3" fontId="12" numFmtId="165" xfId="0" applyAlignment="1" applyFill="1" applyFont="1" applyNumberFormat="1">
      <alignment horizontal="center" vertical="center"/>
    </xf>
    <xf borderId="0" fillId="3" fontId="8" numFmtId="0" xfId="0" applyFill="1" applyFont="1"/>
    <xf borderId="0" fillId="3" fontId="8" numFmtId="165" xfId="0" applyFill="1" applyFont="1" applyNumberFormat="1"/>
    <xf borderId="0" fillId="3" fontId="13" numFmtId="0" xfId="0" applyAlignment="1" applyFill="1" applyFont="1">
      <alignment horizontal="center" vertical="center"/>
    </xf>
    <xf borderId="0" fillId="3" fontId="13" numFmtId="10" xfId="0" applyAlignment="1" applyFill="1" applyFont="1" applyNumberFormat="1">
      <alignment horizontal="center" vertical="center"/>
    </xf>
    <xf borderId="0" fillId="0" fontId="1" numFmtId="49" xfId="0" applyAlignment="1" applyFont="1" applyNumberFormat="1">
      <alignment shrinkToFit="0" vertical="bottom" wrapText="0"/>
    </xf>
    <xf borderId="0" fillId="0" fontId="1" numFmtId="4" xfId="0" applyAlignment="1" applyFont="1" applyNumberFormat="1">
      <alignment shrinkToFit="0" vertical="bottom" wrapText="0"/>
    </xf>
  </cellXfs>
  <cellStyles count="1">
    <cellStyle xfId="0" name="Normal" builtinId="0"/>
  </cellStyles>
  <dxfs count="8">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274E13"/>
          <bgColor rgb="FF274E13"/>
        </patternFill>
      </fill>
      <border/>
    </dxf>
    <dxf>
      <font/>
      <fill>
        <patternFill patternType="solid">
          <fgColor rgb="FF38761D"/>
          <bgColor rgb="FF38761D"/>
        </patternFill>
      </fill>
      <border/>
    </dxf>
    <dxf>
      <font/>
      <fill>
        <patternFill patternType="solid">
          <fgColor rgb="FF6AA84F"/>
          <bgColor rgb="FF6AA84F"/>
        </patternFill>
      </fill>
      <border/>
    </dxf>
    <dxf>
      <font/>
      <fill>
        <patternFill patternType="solid">
          <fgColor rgb="FFAFE9CA"/>
          <bgColor rgb="FFAFE9CA"/>
        </patternFill>
      </fill>
      <border/>
    </dxf>
  </dxfs>
  <tableStyles count="2">
    <tableStyle count="3" pivot="0" name="Detail1-Lodz-1.00-Monday-style">
      <tableStyleElement dxfId="1" type="headerRow"/>
      <tableStyleElement dxfId="2" type="firstRowStripe"/>
      <tableStyleElement dxfId="3" type="secondRowStripe"/>
    </tableStyle>
    <tableStyle count="4" pivot="0" name="Dashboard-style">
      <tableStyleElement dxfId="4" type="headerRow"/>
      <tableStyleElement dxfId="5" type="firstRowStripe"/>
      <tableStyleElement dxfId="6" type="secondRowStripe"/>
      <tableStyleElement dxfId="7" type="totalRow"/>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Tables'!$S$5</c:f>
            </c:strRef>
          </c:tx>
          <c:dPt>
            <c:idx val="0"/>
            <c:spPr>
              <a:solidFill>
                <a:srgbClr val="38761D"/>
              </a:solidFill>
            </c:spPr>
          </c:dPt>
          <c:dPt>
            <c:idx val="1"/>
            <c:explosion val="0"/>
            <c:spPr>
              <a:solidFill>
                <a:srgbClr val="274E13"/>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'Pivot Tables'!$R$6:$R$9</c:f>
            </c:strRef>
          </c:cat>
          <c:val>
            <c:numRef>
              <c:f>'Pivot Tables'!$S$6:$S$9</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Tables'!$V$5</c:f>
            </c:strRef>
          </c:tx>
          <c:dPt>
            <c:idx val="0"/>
            <c:spPr>
              <a:solidFill>
                <a:srgbClr val="38761D"/>
              </a:solidFill>
            </c:spPr>
          </c:dPt>
          <c:dPt>
            <c:idx val="1"/>
            <c:explosion val="0"/>
            <c:spPr>
              <a:solidFill>
                <a:srgbClr val="274E13"/>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'Pivot Tables'!$U$6:$U$9</c:f>
            </c:strRef>
          </c:cat>
          <c:val>
            <c:numRef>
              <c:f>'Pivot Tables'!$V$6:$V$9</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Tables'!$Y$5</c:f>
            </c:strRef>
          </c:tx>
          <c:dPt>
            <c:idx val="0"/>
            <c:spPr>
              <a:solidFill>
                <a:srgbClr val="38761D"/>
              </a:solidFill>
            </c:spPr>
          </c:dPt>
          <c:dPt>
            <c:idx val="1"/>
            <c:explosion val="0"/>
            <c:spPr>
              <a:solidFill>
                <a:srgbClr val="274E13"/>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'Pivot Tables'!$X$6:$X$9</c:f>
            </c:strRef>
          </c:cat>
          <c:val>
            <c:numRef>
              <c:f>'Pivot Tables'!$Y$6:$Y$9</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663511902787239"/>
          <c:w val="1.0"/>
          <c:h val="0.6416876314430153"/>
        </c:manualLayout>
      </c:layout>
      <c:barChart>
        <c:barDir val="col"/>
        <c:ser>
          <c:idx val="0"/>
          <c:order val="0"/>
          <c:spPr>
            <a:solidFill>
              <a:schemeClr val="accent1"/>
            </a:solidFill>
            <a:ln cmpd="sng">
              <a:noFill/>
            </a:ln>
          </c:spPr>
          <c:dPt>
            <c:idx val="0"/>
            <c:spPr>
              <a:solidFill>
                <a:srgbClr val="274E13"/>
              </a:solidFill>
              <a:ln cmpd="sng">
                <a:noFill/>
              </a:ln>
            </c:spPr>
          </c:dPt>
          <c:dPt>
            <c:idx val="1"/>
            <c:spPr>
              <a:solidFill>
                <a:srgbClr val="38761D"/>
              </a:solidFill>
              <a:ln cmpd="sng">
                <a:noFill/>
              </a:ln>
            </c:spPr>
          </c:dPt>
          <c:dPt>
            <c:idx val="2"/>
            <c:spPr>
              <a:solidFill>
                <a:srgbClr val="6AA84F"/>
              </a:solidFill>
              <a:ln cmpd="sng">
                <a:noFill/>
              </a:ln>
            </c:spPr>
          </c:dPt>
          <c:dPt>
            <c:idx val="3"/>
            <c:spPr>
              <a:solidFill>
                <a:srgbClr val="93C47D"/>
              </a:solidFill>
              <a:ln cmpd="sng">
                <a:noFill/>
              </a:ln>
            </c:spPr>
          </c:dPt>
          <c:dPt>
            <c:idx val="4"/>
            <c:spPr>
              <a:solidFill>
                <a:srgbClr val="B6D7A8"/>
              </a:solidFill>
              <a:ln cmpd="sng">
                <a:noFill/>
              </a:ln>
            </c:spPr>
          </c:dPt>
          <c:cat>
            <c:strRef>
              <c:f>'Pivot Tables'!$AD$6:$AD$10</c:f>
            </c:strRef>
          </c:cat>
          <c:val>
            <c:numRef>
              <c:f>'Pivot Tables'!$AE$6:$AE$10</c:f>
              <c:numCache/>
            </c:numRef>
          </c:val>
        </c:ser>
        <c:axId val="898683865"/>
        <c:axId val="1960237715"/>
      </c:barChart>
      <c:catAx>
        <c:axId val="8986838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400">
                <a:solidFill>
                  <a:srgbClr val="274E13"/>
                </a:solidFill>
                <a:latin typeface="Verdana"/>
              </a:defRPr>
            </a:pPr>
          </a:p>
        </c:txPr>
        <c:crossAx val="1960237715"/>
      </c:catAx>
      <c:valAx>
        <c:axId val="196023771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8683865"/>
      </c:valAx>
    </c:plotArea>
    <c:legend>
      <c:legendPos val="r"/>
      <c:overlay val="0"/>
      <c:txPr>
        <a:bodyPr/>
        <a:lstStyle/>
        <a:p>
          <a:pPr lvl="0">
            <a:defRPr b="0" sz="1400">
              <a:solidFill>
                <a:srgbClr val="1A1A1A"/>
              </a:solidFill>
              <a:latin typeface="Verdana"/>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
          <c:w val="1.0"/>
          <c:h val="0.9981684981684982"/>
        </c:manualLayout>
      </c:layout>
      <c:bubbleChart>
        <c:ser>
          <c:idx val="0"/>
          <c:order val="0"/>
          <c:tx>
            <c:strRef>
              <c:f>'Pivot Tables'!$AN$6</c:f>
            </c:strRef>
          </c:tx>
          <c:dLbls>
            <c:dLblPos val="ctr"/>
            <c:showLegendKey val="0"/>
            <c:showVal val="0"/>
            <c:showCatName val="0"/>
            <c:showSerName val="1"/>
            <c:showPercent val="0"/>
            <c:showBubbleSize val="0"/>
          </c:dLbls>
          <c:xVal>
            <c:strRef>
              <c:f>'Pivot Tables'!$AO$6</c:f>
            </c:strRef>
          </c:xVal>
          <c:yVal>
            <c:numRef>
              <c:f>'Pivot Tables'!$AP$6</c:f>
              <c:numCache/>
            </c:numRef>
          </c:yVal>
          <c:bubbleSize>
            <c:numRef>
              <c:f>'Pivot Tables'!$AR$6</c:f>
            </c:numRef>
          </c:bubbleSize>
        </c:ser>
        <c:ser>
          <c:idx val="1"/>
          <c:order val="1"/>
          <c:tx>
            <c:strRef>
              <c:f>'Pivot Tables'!$AN$7</c:f>
            </c:strRef>
          </c:tx>
          <c:dLbls>
            <c:dLblPos val="ctr"/>
            <c:showLegendKey val="0"/>
            <c:showVal val="0"/>
            <c:showCatName val="0"/>
            <c:showSerName val="1"/>
            <c:showPercent val="0"/>
            <c:showBubbleSize val="0"/>
          </c:dLbls>
          <c:xVal>
            <c:strRef>
              <c:f>'Pivot Tables'!$AO$7</c:f>
            </c:strRef>
          </c:xVal>
          <c:yVal>
            <c:numRef>
              <c:f>'Pivot Tables'!$AP$7</c:f>
              <c:numCache/>
            </c:numRef>
          </c:yVal>
          <c:bubbleSize>
            <c:numRef>
              <c:f>'Pivot Tables'!$AR$7</c:f>
            </c:numRef>
          </c:bubbleSize>
        </c:ser>
        <c:ser>
          <c:idx val="2"/>
          <c:order val="2"/>
          <c:tx>
            <c:strRef>
              <c:f>'Pivot Tables'!$AN$8</c:f>
            </c:strRef>
          </c:tx>
          <c:dLbls>
            <c:dLblPos val="ctr"/>
            <c:showLegendKey val="0"/>
            <c:showVal val="0"/>
            <c:showCatName val="0"/>
            <c:showSerName val="1"/>
            <c:showPercent val="0"/>
            <c:showBubbleSize val="0"/>
          </c:dLbls>
          <c:xVal>
            <c:strRef>
              <c:f>'Pivot Tables'!$AO$8</c:f>
            </c:strRef>
          </c:xVal>
          <c:yVal>
            <c:numRef>
              <c:f>'Pivot Tables'!$AP$8</c:f>
              <c:numCache/>
            </c:numRef>
          </c:yVal>
          <c:bubbleSize>
            <c:numRef>
              <c:f>'Pivot Tables'!$AR$8</c:f>
            </c:numRef>
          </c:bubbleSize>
        </c:ser>
        <c:ser>
          <c:idx val="3"/>
          <c:order val="3"/>
          <c:tx>
            <c:strRef>
              <c:f>'Pivot Tables'!$AN$9</c:f>
            </c:strRef>
          </c:tx>
          <c:dLbls>
            <c:dLblPos val="ctr"/>
            <c:showLegendKey val="0"/>
            <c:showVal val="0"/>
            <c:showCatName val="0"/>
            <c:showSerName val="1"/>
            <c:showPercent val="0"/>
            <c:showBubbleSize val="0"/>
          </c:dLbls>
          <c:xVal>
            <c:strRef>
              <c:f>'Pivot Tables'!$AO$9</c:f>
            </c:strRef>
          </c:xVal>
          <c:yVal>
            <c:numRef>
              <c:f>'Pivot Tables'!$AP$9</c:f>
              <c:numCache/>
            </c:numRef>
          </c:yVal>
          <c:bubbleSize>
            <c:numRef>
              <c:f>'Pivot Tables'!$AR$9</c:f>
            </c:numRef>
          </c:bubbleSize>
        </c:ser>
        <c:ser>
          <c:idx val="4"/>
          <c:order val="4"/>
          <c:tx>
            <c:strRef>
              <c:f>'Pivot Tables'!$AN$10</c:f>
            </c:strRef>
          </c:tx>
          <c:dLbls>
            <c:dLblPos val="ctr"/>
            <c:showLegendKey val="0"/>
            <c:showVal val="0"/>
            <c:showCatName val="0"/>
            <c:showSerName val="1"/>
            <c:showPercent val="0"/>
            <c:showBubbleSize val="0"/>
          </c:dLbls>
          <c:xVal>
            <c:strRef>
              <c:f>'Pivot Tables'!$AO$10</c:f>
            </c:strRef>
          </c:xVal>
          <c:yVal>
            <c:numRef>
              <c:f>'Pivot Tables'!$AP$10</c:f>
              <c:numCache/>
            </c:numRef>
          </c:yVal>
          <c:bubbleSize>
            <c:numRef>
              <c:f>'Pivot Tables'!$AR$10</c:f>
            </c:numRef>
          </c:bubbleSize>
        </c:ser>
        <c:ser>
          <c:idx val="5"/>
          <c:order val="5"/>
          <c:tx>
            <c:strRef>
              <c:f>'Pivot Tables'!$AN$11</c:f>
            </c:strRef>
          </c:tx>
          <c:dLbls>
            <c:dLblPos val="ctr"/>
            <c:showLegendKey val="0"/>
            <c:showVal val="0"/>
            <c:showCatName val="0"/>
            <c:showSerName val="1"/>
            <c:showPercent val="0"/>
            <c:showBubbleSize val="0"/>
          </c:dLbls>
          <c:xVal>
            <c:strRef>
              <c:f>'Pivot Tables'!$AO$11</c:f>
            </c:strRef>
          </c:xVal>
          <c:yVal>
            <c:numRef>
              <c:f>'Pivot Tables'!$AP$11</c:f>
              <c:numCache/>
            </c:numRef>
          </c:yVal>
          <c:bubbleSize>
            <c:numRef>
              <c:f>'Pivot Tables'!$AR$11</c:f>
            </c:numRef>
          </c:bubbleSize>
        </c:ser>
        <c:axId val="2077746772"/>
        <c:axId val="167699961"/>
      </c:bubbleChart>
      <c:valAx>
        <c:axId val="2077746772"/>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699961"/>
      </c:valAx>
      <c:valAx>
        <c:axId val="16769996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7746772"/>
      </c:valAx>
    </c:plotArea>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 Tables'!$AU$5</c:f>
            </c:strRef>
          </c:tx>
          <c:spPr>
            <a:ln cmpd="sng">
              <a:solidFill>
                <a:srgbClr val="38761D">
                  <a:alpha val="100000"/>
                </a:srgbClr>
              </a:solidFill>
              <a:prstDash val="solid"/>
            </a:ln>
          </c:spPr>
          <c:marker>
            <c:symbol val="none"/>
          </c:marker>
          <c:cat>
            <c:strRef>
              <c:f>'Pivot Tables'!$AT$6:$AT$185</c:f>
            </c:strRef>
          </c:cat>
          <c:val>
            <c:numRef>
              <c:f>'Pivot Tables'!$AU$6:$AU$185</c:f>
              <c:numCache/>
            </c:numRef>
          </c:val>
          <c:smooth val="0"/>
        </c:ser>
        <c:ser>
          <c:idx val="1"/>
          <c:order val="1"/>
          <c:tx>
            <c:strRef>
              <c:f>'Pivot Tables'!$AV$5</c:f>
            </c:strRef>
          </c:tx>
          <c:spPr>
            <a:ln cmpd="sng">
              <a:solidFill>
                <a:srgbClr val="93C47D">
                  <a:alpha val="100000"/>
                </a:srgbClr>
              </a:solidFill>
              <a:prstDash val="solid"/>
            </a:ln>
          </c:spPr>
          <c:marker>
            <c:symbol val="none"/>
          </c:marker>
          <c:cat>
            <c:strRef>
              <c:f>'Pivot Tables'!$AT$6:$AT$185</c:f>
            </c:strRef>
          </c:cat>
          <c:val>
            <c:numRef>
              <c:f>'Pivot Tables'!$AV$6:$AV$185</c:f>
              <c:numCache/>
            </c:numRef>
          </c:val>
          <c:smooth val="0"/>
        </c:ser>
        <c:axId val="2102905620"/>
        <c:axId val="554084382"/>
      </c:lineChart>
      <c:catAx>
        <c:axId val="21029056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a:ln>
            <a:noFill/>
          </a:ln>
        </c:spPr>
        <c:txPr>
          <a:bodyPr/>
          <a:lstStyle/>
          <a:p>
            <a:pPr lvl="0">
              <a:defRPr b="1">
                <a:solidFill>
                  <a:srgbClr val="274E13"/>
                </a:solidFill>
                <a:latin typeface="Verdana"/>
              </a:defRPr>
            </a:pPr>
          </a:p>
        </c:txPr>
        <c:crossAx val="554084382"/>
      </c:catAx>
      <c:valAx>
        <c:axId val="554084382"/>
        <c:scaling>
          <c:orientation val="minMax"/>
          <c:max val="7500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Verdana"/>
              </a:defRPr>
            </a:pPr>
          </a:p>
        </c:txPr>
        <c:crossAx val="2102905620"/>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rgbClr val="38761D"/>
            </a:solidFill>
            <a:ln cmpd="sng">
              <a:noFill/>
            </a:ln>
          </c:spPr>
          <c:dPt>
            <c:idx val="0"/>
            <c:spPr>
              <a:solidFill>
                <a:srgbClr val="274E13"/>
              </a:solidFill>
              <a:ln cmpd="sng">
                <a:noFill/>
              </a:ln>
            </c:spPr>
          </c:dPt>
          <c:dPt>
            <c:idx val="1"/>
            <c:spPr>
              <a:solidFill>
                <a:srgbClr val="38761D"/>
              </a:solidFill>
              <a:ln cmpd="sng">
                <a:noFill/>
              </a:ln>
            </c:spPr>
          </c:dPt>
          <c:dPt>
            <c:idx val="2"/>
            <c:spPr>
              <a:solidFill>
                <a:srgbClr val="93C47D"/>
              </a:solidFill>
              <a:ln cmpd="sng">
                <a:noFill/>
              </a:ln>
            </c:spPr>
          </c:dPt>
          <c:dPt>
            <c:idx val="3"/>
            <c:spPr>
              <a:solidFill>
                <a:srgbClr val="D9EAD3"/>
              </a:solidFill>
              <a:ln cmpd="sng">
                <a:noFill/>
              </a:ln>
            </c:spPr>
          </c:dPt>
          <c:dPt>
            <c:idx val="4"/>
            <c:spPr>
              <a:solidFill>
                <a:srgbClr val="274E13"/>
              </a:solidFill>
              <a:ln cmpd="sng">
                <a:noFill/>
              </a:ln>
            </c:spPr>
          </c:dPt>
          <c:dPt>
            <c:idx val="6"/>
            <c:spPr>
              <a:solidFill>
                <a:srgbClr val="38761D"/>
              </a:solidFill>
              <a:ln cmpd="sng">
                <a:noFill/>
              </a:ln>
            </c:spPr>
          </c:dPt>
          <c:dPt>
            <c:idx val="7"/>
            <c:spPr>
              <a:solidFill>
                <a:srgbClr val="6AA84F"/>
              </a:solidFill>
              <a:ln cmpd="sng">
                <a:noFill/>
              </a:ln>
            </c:spPr>
          </c:dPt>
          <c:dPt>
            <c:idx val="8"/>
            <c:spPr>
              <a:solidFill>
                <a:srgbClr val="B6D7A8"/>
              </a:solidFill>
              <a:ln cmpd="sng">
                <a:noFill/>
              </a:ln>
            </c:spPr>
          </c:dPt>
          <c:dPt>
            <c:idx val="9"/>
            <c:spPr>
              <a:solidFill>
                <a:srgbClr val="274E13"/>
              </a:solidFill>
              <a:ln cmpd="sng">
                <a:noFill/>
              </a:ln>
            </c:spPr>
          </c:dPt>
          <c:dPt>
            <c:idx val="10"/>
            <c:spPr>
              <a:solidFill>
                <a:srgbClr val="6AA84F"/>
              </a:solidFill>
              <a:ln cmpd="sng">
                <a:noFill/>
              </a:ln>
            </c:spPr>
          </c:dPt>
          <c:dPt>
            <c:idx val="11"/>
            <c:spPr>
              <a:solidFill>
                <a:srgbClr val="93C47D"/>
              </a:solidFill>
              <a:ln cmpd="sng">
                <a:noFill/>
              </a:ln>
            </c:spPr>
          </c:dPt>
          <c:dPt>
            <c:idx val="12"/>
            <c:spPr>
              <a:solidFill>
                <a:srgbClr val="B6D7A8"/>
              </a:solidFill>
              <a:ln cmpd="sng">
                <a:noFill/>
              </a:ln>
            </c:spPr>
          </c:dPt>
          <c:dPt>
            <c:idx val="13"/>
            <c:spPr>
              <a:solidFill>
                <a:srgbClr val="D9EAD3"/>
              </a:solidFill>
              <a:ln cmpd="sng">
                <a:noFill/>
              </a:ln>
            </c:spPr>
          </c:dPt>
          <c:dPt>
            <c:idx val="14"/>
            <c:spPr>
              <a:solidFill>
                <a:srgbClr val="274E13"/>
              </a:solidFill>
              <a:ln cmpd="sng">
                <a:noFill/>
              </a:ln>
            </c:spPr>
          </c:dPt>
          <c:dPt>
            <c:idx val="15"/>
            <c:spPr>
              <a:solidFill>
                <a:srgbClr val="38761D"/>
              </a:solidFill>
              <a:ln cmpd="sng">
                <a:noFill/>
              </a:ln>
            </c:spPr>
          </c:dPt>
          <c:dPt>
            <c:idx val="16"/>
            <c:spPr>
              <a:solidFill>
                <a:srgbClr val="6AA84F"/>
              </a:solidFill>
              <a:ln cmpd="sng">
                <a:noFill/>
              </a:ln>
            </c:spPr>
          </c:dPt>
          <c:dLbls>
            <c:numFmt formatCode="General" sourceLinked="1"/>
            <c:txPr>
              <a:bodyPr/>
              <a:lstStyle/>
              <a:p>
                <a:pPr lvl="0">
                  <a:defRPr b="1">
                    <a:latin typeface="Verdana"/>
                  </a:defRPr>
                </a:pPr>
              </a:p>
            </c:txPr>
            <c:showLegendKey val="0"/>
            <c:showVal val="1"/>
            <c:showCatName val="0"/>
            <c:showSerName val="0"/>
            <c:showPercent val="0"/>
            <c:showBubbleSize val="0"/>
          </c:dLbls>
          <c:cat>
            <c:strRef>
              <c:f>'Pivot Tables'!$AX$6:$AX$22</c:f>
            </c:strRef>
          </c:cat>
          <c:val>
            <c:numRef>
              <c:f>'Pivot Tables'!$AY$6:$AY$22</c:f>
              <c:numCache/>
            </c:numRef>
          </c:val>
        </c:ser>
        <c:axId val="1880113747"/>
        <c:axId val="1218254444"/>
      </c:barChart>
      <c:catAx>
        <c:axId val="18801137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274E13"/>
                </a:solidFill>
                <a:latin typeface="Verdana"/>
              </a:defRPr>
            </a:pPr>
          </a:p>
        </c:txPr>
        <c:crossAx val="1218254444"/>
      </c:catAx>
      <c:valAx>
        <c:axId val="1218254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274E13"/>
                </a:solidFill>
                <a:latin typeface="Verdana"/>
              </a:defRPr>
            </a:pPr>
          </a:p>
        </c:txPr>
        <c:crossAx val="1880113747"/>
        <c:crosses val="max"/>
      </c:valAx>
    </c:plotArea>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Dashboard!$AT$20</c:f>
            </c:strRef>
          </c:tx>
          <c:dPt>
            <c:idx val="0"/>
            <c:spPr>
              <a:solidFill>
                <a:srgbClr val="38761D"/>
              </a:solidFill>
            </c:spPr>
          </c:dPt>
          <c:dPt>
            <c:idx val="1"/>
            <c:explosion val="0"/>
            <c:spPr>
              <a:solidFill>
                <a:srgbClr val="274E13"/>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Dashboard!$AS$21:$AS$24</c:f>
            </c:strRef>
          </c:cat>
          <c:val>
            <c:numRef>
              <c:f>Dashboard!$AT$21:$AT$24</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Dashboard!$AW$20</c:f>
            </c:strRef>
          </c:tx>
          <c:dPt>
            <c:idx val="0"/>
            <c:spPr>
              <a:solidFill>
                <a:srgbClr val="38761D"/>
              </a:solidFill>
            </c:spPr>
          </c:dPt>
          <c:dPt>
            <c:idx val="1"/>
            <c:explosion val="0"/>
            <c:spPr>
              <a:solidFill>
                <a:srgbClr val="274E13"/>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Dashboard!$AV$21:$AV$24</c:f>
            </c:strRef>
          </c:cat>
          <c:val>
            <c:numRef>
              <c:f>Dashboard!$AW$21:$AW$24</c:f>
              <c:numCache/>
            </c:numRef>
          </c:val>
        </c:ser>
        <c:dLbls>
          <c:showLegendKey val="0"/>
          <c:showVal val="0"/>
          <c:showCatName val="0"/>
          <c:showSerName val="0"/>
          <c:showPercent val="0"/>
          <c:showBubbleSize val="0"/>
        </c:dLbls>
        <c:holeSize val="50"/>
      </c:doughnutChart>
    </c:plotArea>
    <c:legend>
      <c:legendPos val="b"/>
      <c:overlay val="0"/>
      <c:txPr>
        <a:bodyPr/>
        <a:lstStyle/>
        <a:p>
          <a:pPr lvl="0">
            <a:defRPr b="1" sz="1400">
              <a:solidFill>
                <a:schemeClr val="dk1"/>
              </a:solidFill>
              <a:latin typeface="Verdana"/>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Dashboard!$AZ$20</c:f>
            </c:strRef>
          </c:tx>
          <c:dPt>
            <c:idx val="0"/>
            <c:spPr>
              <a:solidFill>
                <a:srgbClr val="38761D"/>
              </a:solidFill>
            </c:spPr>
          </c:dPt>
          <c:dPt>
            <c:idx val="1"/>
            <c:explosion val="0"/>
            <c:spPr>
              <a:solidFill>
                <a:srgbClr val="274E13"/>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Dashboard!$AY$21:$AY$24</c:f>
            </c:strRef>
          </c:cat>
          <c:val>
            <c:numRef>
              <c:f>Dashboard!$AZ$21:$AZ$24</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663511902787239"/>
          <c:w val="1.0"/>
          <c:h val="0.6416876314430153"/>
        </c:manualLayout>
      </c:layout>
      <c:barChart>
        <c:barDir val="col"/>
        <c:ser>
          <c:idx val="0"/>
          <c:order val="0"/>
          <c:spPr>
            <a:solidFill>
              <a:schemeClr val="accent1"/>
            </a:solidFill>
            <a:ln cmpd="sng">
              <a:noFill/>
            </a:ln>
          </c:spPr>
          <c:dPt>
            <c:idx val="0"/>
            <c:spPr>
              <a:solidFill>
                <a:srgbClr val="274E13"/>
              </a:solidFill>
              <a:ln cmpd="sng">
                <a:noFill/>
              </a:ln>
            </c:spPr>
          </c:dPt>
          <c:dPt>
            <c:idx val="1"/>
            <c:spPr>
              <a:solidFill>
                <a:srgbClr val="38761D"/>
              </a:solidFill>
              <a:ln cmpd="sng">
                <a:noFill/>
              </a:ln>
            </c:spPr>
          </c:dPt>
          <c:dPt>
            <c:idx val="2"/>
            <c:spPr>
              <a:solidFill>
                <a:srgbClr val="6AA84F"/>
              </a:solidFill>
              <a:ln cmpd="sng">
                <a:noFill/>
              </a:ln>
            </c:spPr>
          </c:dPt>
          <c:dPt>
            <c:idx val="3"/>
            <c:spPr>
              <a:solidFill>
                <a:srgbClr val="93C47D"/>
              </a:solidFill>
              <a:ln cmpd="sng">
                <a:noFill/>
              </a:ln>
            </c:spPr>
          </c:dPt>
          <c:dPt>
            <c:idx val="4"/>
            <c:spPr>
              <a:solidFill>
                <a:srgbClr val="B6D7A8"/>
              </a:solidFill>
              <a:ln cmpd="sng">
                <a:noFill/>
              </a:ln>
            </c:spPr>
          </c:dPt>
          <c:dLbls>
            <c:numFmt formatCode="General" sourceLinked="1"/>
            <c:txPr>
              <a:bodyPr/>
              <a:lstStyle/>
              <a:p>
                <a:pPr lvl="0">
                  <a:defRPr b="1" sz="1600">
                    <a:solidFill>
                      <a:srgbClr val="FFFFFF"/>
                    </a:solidFill>
                    <a:latin typeface="Verdana"/>
                  </a:defRPr>
                </a:pPr>
              </a:p>
            </c:txPr>
            <c:showLegendKey val="0"/>
            <c:showVal val="1"/>
            <c:showCatName val="0"/>
            <c:showSerName val="0"/>
            <c:showPercent val="0"/>
            <c:showBubbleSize val="0"/>
          </c:dLbls>
          <c:cat>
            <c:strRef>
              <c:f>Dashboard!$BE$21:$BE$25</c:f>
            </c:strRef>
          </c:cat>
          <c:val>
            <c:numRef>
              <c:f>Dashboard!$BF$21:$BF$25</c:f>
              <c:numCache/>
            </c:numRef>
          </c:val>
        </c:ser>
        <c:axId val="755580121"/>
        <c:axId val="1648898582"/>
      </c:barChart>
      <c:catAx>
        <c:axId val="7555801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400">
                <a:solidFill>
                  <a:srgbClr val="274E13"/>
                </a:solidFill>
                <a:latin typeface="Verdana"/>
              </a:defRPr>
            </a:pPr>
          </a:p>
        </c:txPr>
        <c:crossAx val="1648898582"/>
      </c:catAx>
      <c:valAx>
        <c:axId val="164889858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5580121"/>
      </c:valAx>
    </c:plotArea>
    <c:legend>
      <c:legendPos val="r"/>
      <c:overlay val="0"/>
      <c:txPr>
        <a:bodyPr/>
        <a:lstStyle/>
        <a:p>
          <a:pPr lvl="0">
            <a:defRPr b="0" sz="1400">
              <a:solidFill>
                <a:srgbClr val="1A1A1A"/>
              </a:solidFill>
              <a:latin typeface="Verdana"/>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
          <c:w val="1.0"/>
          <c:h val="0.9981684981684982"/>
        </c:manualLayout>
      </c:layout>
      <c:bubbleChart>
        <c:ser>
          <c:idx val="0"/>
          <c:order val="0"/>
          <c:tx>
            <c:strRef>
              <c:f>Dashboard!$BO$21</c:f>
            </c:strRef>
          </c:tx>
          <c:dLbls>
            <c:dLblPos val="ctr"/>
            <c:showLegendKey val="0"/>
            <c:showVal val="0"/>
            <c:showCatName val="0"/>
            <c:showSerName val="1"/>
            <c:showPercent val="0"/>
            <c:showBubbleSize val="0"/>
          </c:dLbls>
          <c:xVal>
            <c:strRef>
              <c:f>Dashboard!$BP$21</c:f>
            </c:strRef>
          </c:xVal>
          <c:yVal>
            <c:numRef>
              <c:f>Dashboard!$BQ$21</c:f>
              <c:numCache/>
            </c:numRef>
          </c:yVal>
          <c:bubbleSize>
            <c:numRef>
              <c:f>Dashboard!$BS$21</c:f>
            </c:numRef>
          </c:bubbleSize>
        </c:ser>
        <c:ser>
          <c:idx val="1"/>
          <c:order val="1"/>
          <c:tx>
            <c:strRef>
              <c:f>Dashboard!$BO$22</c:f>
            </c:strRef>
          </c:tx>
          <c:dLbls>
            <c:dLblPos val="ctr"/>
            <c:showLegendKey val="0"/>
            <c:showVal val="0"/>
            <c:showCatName val="0"/>
            <c:showSerName val="1"/>
            <c:showPercent val="0"/>
            <c:showBubbleSize val="0"/>
          </c:dLbls>
          <c:xVal>
            <c:strRef>
              <c:f>Dashboard!$BP$22</c:f>
            </c:strRef>
          </c:xVal>
          <c:yVal>
            <c:numRef>
              <c:f>Dashboard!$BQ$22</c:f>
              <c:numCache/>
            </c:numRef>
          </c:yVal>
          <c:bubbleSize>
            <c:numRef>
              <c:f>Dashboard!$BS$22</c:f>
            </c:numRef>
          </c:bubbleSize>
        </c:ser>
        <c:ser>
          <c:idx val="2"/>
          <c:order val="2"/>
          <c:tx>
            <c:strRef>
              <c:f>Dashboard!$BO$23</c:f>
            </c:strRef>
          </c:tx>
          <c:dLbls>
            <c:dLblPos val="ctr"/>
            <c:showLegendKey val="0"/>
            <c:showVal val="0"/>
            <c:showCatName val="0"/>
            <c:showSerName val="1"/>
            <c:showPercent val="0"/>
            <c:showBubbleSize val="0"/>
          </c:dLbls>
          <c:xVal>
            <c:strRef>
              <c:f>Dashboard!$BP$23</c:f>
            </c:strRef>
          </c:xVal>
          <c:yVal>
            <c:numRef>
              <c:f>Dashboard!$BQ$23</c:f>
              <c:numCache/>
            </c:numRef>
          </c:yVal>
          <c:bubbleSize>
            <c:numRef>
              <c:f>Dashboard!$BS$23</c:f>
            </c:numRef>
          </c:bubbleSize>
        </c:ser>
        <c:ser>
          <c:idx val="3"/>
          <c:order val="3"/>
          <c:tx>
            <c:strRef>
              <c:f>Dashboard!$BO$24</c:f>
            </c:strRef>
          </c:tx>
          <c:dLbls>
            <c:dLblPos val="ctr"/>
            <c:showLegendKey val="0"/>
            <c:showVal val="0"/>
            <c:showCatName val="0"/>
            <c:showSerName val="1"/>
            <c:showPercent val="0"/>
            <c:showBubbleSize val="0"/>
          </c:dLbls>
          <c:xVal>
            <c:strRef>
              <c:f>Dashboard!$BP$24</c:f>
            </c:strRef>
          </c:xVal>
          <c:yVal>
            <c:numRef>
              <c:f>Dashboard!$BQ$24</c:f>
              <c:numCache/>
            </c:numRef>
          </c:yVal>
          <c:bubbleSize>
            <c:numRef>
              <c:f>Dashboard!$BS$24</c:f>
            </c:numRef>
          </c:bubbleSize>
        </c:ser>
        <c:ser>
          <c:idx val="4"/>
          <c:order val="4"/>
          <c:tx>
            <c:strRef>
              <c:f>Dashboard!$BO$25</c:f>
            </c:strRef>
          </c:tx>
          <c:dLbls>
            <c:dLblPos val="ctr"/>
            <c:showLegendKey val="0"/>
            <c:showVal val="0"/>
            <c:showCatName val="0"/>
            <c:showSerName val="1"/>
            <c:showPercent val="0"/>
            <c:showBubbleSize val="0"/>
          </c:dLbls>
          <c:xVal>
            <c:strRef>
              <c:f>Dashboard!$BP$25</c:f>
            </c:strRef>
          </c:xVal>
          <c:yVal>
            <c:numRef>
              <c:f>Dashboard!$BQ$25</c:f>
              <c:numCache/>
            </c:numRef>
          </c:yVal>
          <c:bubbleSize>
            <c:numRef>
              <c:f>Dashboard!$BS$25</c:f>
            </c:numRef>
          </c:bubbleSize>
        </c:ser>
        <c:ser>
          <c:idx val="5"/>
          <c:order val="5"/>
          <c:tx>
            <c:strRef>
              <c:f>Dashboard!$BO$26</c:f>
            </c:strRef>
          </c:tx>
          <c:dLbls>
            <c:dLblPos val="ctr"/>
            <c:showLegendKey val="0"/>
            <c:showVal val="0"/>
            <c:showCatName val="0"/>
            <c:showSerName val="1"/>
            <c:showPercent val="0"/>
            <c:showBubbleSize val="0"/>
          </c:dLbls>
          <c:xVal>
            <c:strRef>
              <c:f>Dashboard!$BP$26</c:f>
            </c:strRef>
          </c:xVal>
          <c:yVal>
            <c:numRef>
              <c:f>Dashboard!$BQ$26</c:f>
              <c:numCache/>
            </c:numRef>
          </c:yVal>
          <c:bubbleSize>
            <c:numRef>
              <c:f>Dashboard!$BS$26</c:f>
            </c:numRef>
          </c:bubbleSize>
        </c:ser>
        <c:axId val="1224978500"/>
        <c:axId val="888546260"/>
      </c:bubbleChart>
      <c:valAx>
        <c:axId val="122497850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8546260"/>
      </c:valAx>
      <c:valAx>
        <c:axId val="88854626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4978500"/>
      </c:valAx>
    </c:plotArea>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Dashboard!$BV$20</c:f>
            </c:strRef>
          </c:tx>
          <c:spPr>
            <a:ln cmpd="sng">
              <a:solidFill>
                <a:srgbClr val="38761D">
                  <a:alpha val="100000"/>
                </a:srgbClr>
              </a:solidFill>
              <a:prstDash val="solid"/>
            </a:ln>
          </c:spPr>
          <c:marker>
            <c:symbol val="none"/>
          </c:marker>
          <c:cat>
            <c:strRef>
              <c:f>Dashboard!$BU$21:$BU$199</c:f>
            </c:strRef>
          </c:cat>
          <c:val>
            <c:numRef>
              <c:f>Dashboard!$BV$21:$BV$199</c:f>
              <c:numCache/>
            </c:numRef>
          </c:val>
          <c:smooth val="0"/>
        </c:ser>
        <c:ser>
          <c:idx val="1"/>
          <c:order val="1"/>
          <c:tx>
            <c:strRef>
              <c:f>Dashboard!$BW$20</c:f>
            </c:strRef>
          </c:tx>
          <c:spPr>
            <a:ln cmpd="sng">
              <a:solidFill>
                <a:srgbClr val="93C47D">
                  <a:alpha val="100000"/>
                </a:srgbClr>
              </a:solidFill>
              <a:prstDash val="solid"/>
            </a:ln>
          </c:spPr>
          <c:marker>
            <c:symbol val="none"/>
          </c:marker>
          <c:cat>
            <c:strRef>
              <c:f>Dashboard!$BU$21:$BU$199</c:f>
            </c:strRef>
          </c:cat>
          <c:val>
            <c:numRef>
              <c:f>Dashboard!$BW$21:$BW$199</c:f>
              <c:numCache/>
            </c:numRef>
          </c:val>
          <c:smooth val="0"/>
        </c:ser>
        <c:axId val="413697447"/>
        <c:axId val="2112144361"/>
      </c:lineChart>
      <c:catAx>
        <c:axId val="4136974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a:ln>
            <a:noFill/>
          </a:ln>
        </c:spPr>
        <c:txPr>
          <a:bodyPr/>
          <a:lstStyle/>
          <a:p>
            <a:pPr lvl="0">
              <a:defRPr b="1">
                <a:solidFill>
                  <a:srgbClr val="274E13"/>
                </a:solidFill>
                <a:latin typeface="Verdana"/>
              </a:defRPr>
            </a:pPr>
          </a:p>
        </c:txPr>
        <c:crossAx val="2112144361"/>
      </c:catAx>
      <c:valAx>
        <c:axId val="2112144361"/>
        <c:scaling>
          <c:orientation val="minMax"/>
          <c:max val="7500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Verdana"/>
              </a:defRPr>
            </a:pPr>
          </a:p>
        </c:txPr>
        <c:crossAx val="413697447"/>
      </c:valAx>
    </c:plotArea>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Dashboard!$BZ$20</c:f>
            </c:strRef>
          </c:tx>
          <c:spPr>
            <a:solidFill>
              <a:srgbClr val="38761D"/>
            </a:solidFill>
            <a:ln cmpd="sng">
              <a:noFill/>
            </a:ln>
          </c:spPr>
          <c:dPt>
            <c:idx val="0"/>
            <c:spPr>
              <a:solidFill>
                <a:srgbClr val="274E13"/>
              </a:solidFill>
              <a:ln cmpd="sng">
                <a:noFill/>
              </a:ln>
            </c:spPr>
          </c:dPt>
          <c:dPt>
            <c:idx val="1"/>
            <c:spPr>
              <a:solidFill>
                <a:srgbClr val="38761D"/>
              </a:solidFill>
              <a:ln cmpd="sng">
                <a:noFill/>
              </a:ln>
            </c:spPr>
          </c:dPt>
          <c:dPt>
            <c:idx val="2"/>
            <c:spPr>
              <a:solidFill>
                <a:srgbClr val="93C47D"/>
              </a:solidFill>
              <a:ln cmpd="sng">
                <a:noFill/>
              </a:ln>
            </c:spPr>
          </c:dPt>
          <c:dPt>
            <c:idx val="3"/>
            <c:spPr>
              <a:solidFill>
                <a:srgbClr val="D9EAD3"/>
              </a:solidFill>
              <a:ln cmpd="sng">
                <a:noFill/>
              </a:ln>
            </c:spPr>
          </c:dPt>
          <c:dPt>
            <c:idx val="4"/>
            <c:spPr>
              <a:solidFill>
                <a:srgbClr val="274E13"/>
              </a:solidFill>
              <a:ln cmpd="sng">
                <a:noFill/>
              </a:ln>
            </c:spPr>
          </c:dPt>
          <c:dPt>
            <c:idx val="6"/>
            <c:spPr>
              <a:solidFill>
                <a:srgbClr val="38761D"/>
              </a:solidFill>
              <a:ln cmpd="sng">
                <a:noFill/>
              </a:ln>
            </c:spPr>
          </c:dPt>
          <c:dPt>
            <c:idx val="7"/>
            <c:spPr>
              <a:solidFill>
                <a:srgbClr val="6AA84F"/>
              </a:solidFill>
              <a:ln cmpd="sng">
                <a:noFill/>
              </a:ln>
            </c:spPr>
          </c:dPt>
          <c:dPt>
            <c:idx val="8"/>
            <c:spPr>
              <a:solidFill>
                <a:srgbClr val="B6D7A8"/>
              </a:solidFill>
              <a:ln cmpd="sng">
                <a:noFill/>
              </a:ln>
            </c:spPr>
          </c:dPt>
          <c:dPt>
            <c:idx val="9"/>
            <c:spPr>
              <a:solidFill>
                <a:srgbClr val="274E13"/>
              </a:solidFill>
              <a:ln cmpd="sng">
                <a:noFill/>
              </a:ln>
            </c:spPr>
          </c:dPt>
          <c:dPt>
            <c:idx val="10"/>
            <c:spPr>
              <a:solidFill>
                <a:srgbClr val="6AA84F"/>
              </a:solidFill>
              <a:ln cmpd="sng">
                <a:noFill/>
              </a:ln>
            </c:spPr>
          </c:dPt>
          <c:dPt>
            <c:idx val="11"/>
            <c:spPr>
              <a:solidFill>
                <a:srgbClr val="93C47D"/>
              </a:solidFill>
              <a:ln cmpd="sng">
                <a:noFill/>
              </a:ln>
            </c:spPr>
          </c:dPt>
          <c:dPt>
            <c:idx val="12"/>
            <c:spPr>
              <a:solidFill>
                <a:srgbClr val="B6D7A8"/>
              </a:solidFill>
              <a:ln cmpd="sng">
                <a:noFill/>
              </a:ln>
            </c:spPr>
          </c:dPt>
          <c:dPt>
            <c:idx val="13"/>
            <c:spPr>
              <a:solidFill>
                <a:srgbClr val="D9EAD3"/>
              </a:solidFill>
              <a:ln cmpd="sng">
                <a:noFill/>
              </a:ln>
            </c:spPr>
          </c:dPt>
          <c:dPt>
            <c:idx val="14"/>
            <c:spPr>
              <a:solidFill>
                <a:srgbClr val="274E13"/>
              </a:solidFill>
              <a:ln cmpd="sng">
                <a:noFill/>
              </a:ln>
            </c:spPr>
          </c:dPt>
          <c:dPt>
            <c:idx val="15"/>
            <c:spPr>
              <a:solidFill>
                <a:srgbClr val="38761D"/>
              </a:solidFill>
              <a:ln cmpd="sng">
                <a:noFill/>
              </a:ln>
            </c:spPr>
          </c:dPt>
          <c:dPt>
            <c:idx val="16"/>
            <c:spPr>
              <a:solidFill>
                <a:srgbClr val="6AA84F"/>
              </a:solidFill>
              <a:ln cmpd="sng">
                <a:noFill/>
              </a:ln>
            </c:spPr>
          </c:dPt>
          <c:dLbls>
            <c:numFmt formatCode="General" sourceLinked="1"/>
            <c:txPr>
              <a:bodyPr/>
              <a:lstStyle/>
              <a:p>
                <a:pPr lvl="0">
                  <a:defRPr b="1">
                    <a:latin typeface="Verdana"/>
                  </a:defRPr>
                </a:pPr>
              </a:p>
            </c:txPr>
            <c:showLegendKey val="0"/>
            <c:showVal val="1"/>
            <c:showCatName val="0"/>
            <c:showSerName val="0"/>
            <c:showPercent val="0"/>
            <c:showBubbleSize val="0"/>
          </c:dLbls>
          <c:cat>
            <c:strRef>
              <c:f>Dashboard!$BY$21:$BY$37</c:f>
            </c:strRef>
          </c:cat>
          <c:val>
            <c:numRef>
              <c:f>Dashboard!$BZ$21:$BZ$37</c:f>
              <c:numCache/>
            </c:numRef>
          </c:val>
        </c:ser>
        <c:axId val="1821587931"/>
        <c:axId val="1250077878"/>
      </c:barChart>
      <c:catAx>
        <c:axId val="18215879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274E13"/>
                </a:solidFill>
                <a:latin typeface="Verdana"/>
              </a:defRPr>
            </a:pPr>
          </a:p>
        </c:txPr>
        <c:crossAx val="1250077878"/>
      </c:catAx>
      <c:valAx>
        <c:axId val="12500778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00)" sourceLinked="0"/>
        <c:majorTickMark val="none"/>
        <c:minorTickMark val="none"/>
        <c:tickLblPos val="nextTo"/>
        <c:spPr>
          <a:ln>
            <a:noFill/>
          </a:ln>
        </c:spPr>
        <c:txPr>
          <a:bodyPr rot="0"/>
          <a:lstStyle/>
          <a:p>
            <a:pPr lvl="0">
              <a:defRPr b="1">
                <a:solidFill>
                  <a:srgbClr val="D9D9D9"/>
                </a:solidFill>
                <a:latin typeface="Verdana"/>
              </a:defRPr>
            </a:pPr>
          </a:p>
        </c:txPr>
        <c:crossAx val="1821587931"/>
        <c:crosses val="max"/>
      </c:valAx>
    </c:plotArea>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1" Type="http://schemas.openxmlformats.org/officeDocument/2006/relationships/image" Target="../media/image1.png"/><Relationship Id="rId10" Type="http://schemas.openxmlformats.org/officeDocument/2006/relationships/image" Target="../media/image7.png"/><Relationship Id="rId13" Type="http://schemas.openxmlformats.org/officeDocument/2006/relationships/image" Target="../media/image3.png"/><Relationship Id="rId12" Type="http://schemas.openxmlformats.org/officeDocument/2006/relationships/image" Target="../media/image4.png"/><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image" Target="../media/image5.png"/><Relationship Id="rId5" Type="http://schemas.openxmlformats.org/officeDocument/2006/relationships/chart" Target="../charts/chart12.xml"/><Relationship Id="rId6" Type="http://schemas.openxmlformats.org/officeDocument/2006/relationships/chart" Target="../charts/chart13.xml"/><Relationship Id="rId7" Type="http://schemas.openxmlformats.org/officeDocument/2006/relationships/chart" Target="../charts/chart14.xml"/><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9</xdr:row>
      <xdr:rowOff>200025</xdr:rowOff>
    </xdr:from>
    <xdr:ext cx="4248150" cy="3533775"/>
    <xdr:graphicFrame>
      <xdr:nvGraphicFramePr>
        <xdr:cNvPr id="1" name="Chart 1" title="Diaq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914400</xdr:colOff>
      <xdr:row>12</xdr:row>
      <xdr:rowOff>161925</xdr:rowOff>
    </xdr:from>
    <xdr:ext cx="3781425" cy="3143250"/>
    <xdr:graphicFrame>
      <xdr:nvGraphicFramePr>
        <xdr:cNvPr id="2" name="Chart 2" title="Diaq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638175</xdr:colOff>
      <xdr:row>12</xdr:row>
      <xdr:rowOff>161925</xdr:rowOff>
    </xdr:from>
    <xdr:ext cx="3781425" cy="3143250"/>
    <xdr:graphicFrame>
      <xdr:nvGraphicFramePr>
        <xdr:cNvPr id="3" name="Chart 3" title="Diaq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24</xdr:col>
      <xdr:colOff>790575</xdr:colOff>
      <xdr:row>24</xdr:row>
      <xdr:rowOff>161925</xdr:rowOff>
    </xdr:from>
    <xdr:ext cx="5715000" cy="3533775"/>
    <xdr:graphicFrame>
      <xdr:nvGraphicFramePr>
        <xdr:cNvPr id="4" name="Chart 4" title="Diaq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30</xdr:col>
      <xdr:colOff>952500</xdr:colOff>
      <xdr:row>12</xdr:row>
      <xdr:rowOff>0</xdr:rowOff>
    </xdr:from>
    <xdr:ext cx="5715000" cy="3467100"/>
    <xdr:graphicFrame>
      <xdr:nvGraphicFramePr>
        <xdr:cNvPr id="8" name="Chart 8" title="Diaqra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36</xdr:col>
      <xdr:colOff>457200</xdr:colOff>
      <xdr:row>169</xdr:row>
      <xdr:rowOff>114300</xdr:rowOff>
    </xdr:from>
    <xdr:ext cx="5715000" cy="3533775"/>
    <xdr:graphicFrame>
      <xdr:nvGraphicFramePr>
        <xdr:cNvPr id="10" name="Chart 10" title="Diaqram"/>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51</xdr:col>
      <xdr:colOff>342900</xdr:colOff>
      <xdr:row>6</xdr:row>
      <xdr:rowOff>66675</xdr:rowOff>
    </xdr:from>
    <xdr:ext cx="5419725" cy="3533775"/>
    <xdr:graphicFrame>
      <xdr:nvGraphicFramePr>
        <xdr:cNvPr id="13" name="Chart 13" title="Diaqram"/>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32</xdr:col>
      <xdr:colOff>914400</xdr:colOff>
      <xdr:row>32</xdr:row>
      <xdr:rowOff>76200</xdr:rowOff>
    </xdr:from>
    <xdr:ext cx="2857500" cy="2857500"/>
    <mc:AlternateContent>
      <mc:Choice Requires="sle15">
        <xdr:graphicFrame>
          <xdr:nvGraphicFramePr>
            <xdr:cNvPr id="1" name="City_1"/>
            <xdr:cNvGraphicFramePr/>
          </xdr:nvGraphicFramePr>
          <xdr:xfrm>
            <a:off x="0" y="0"/>
            <a:ext cx="0" cy="0"/>
          </xdr:xfrm>
          <a:graphic>
            <a:graphicData uri="http://schemas.microsoft.com/office/drawing/2010/slicer">
              <x3Unk:slicer name="Cit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17</xdr:row>
      <xdr:rowOff>133350</xdr:rowOff>
    </xdr:from>
    <xdr:ext cx="2705100" cy="2247900"/>
    <xdr:graphicFrame>
      <xdr:nvGraphicFramePr>
        <xdr:cNvPr id="5" name="Chart 5" title="Diaq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190500</xdr:colOff>
      <xdr:row>17</xdr:row>
      <xdr:rowOff>95250</xdr:rowOff>
    </xdr:from>
    <xdr:ext cx="5238750" cy="2524125"/>
    <xdr:graphicFrame>
      <xdr:nvGraphicFramePr>
        <xdr:cNvPr id="6" name="Chart 6" title="Diaq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190500</xdr:colOff>
      <xdr:row>17</xdr:row>
      <xdr:rowOff>95250</xdr:rowOff>
    </xdr:from>
    <xdr:ext cx="2762250" cy="2333625"/>
    <xdr:graphicFrame>
      <xdr:nvGraphicFramePr>
        <xdr:cNvPr id="7" name="Chart 7" title="Diaq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990600</xdr:colOff>
      <xdr:row>31</xdr:row>
      <xdr:rowOff>123825</xdr:rowOff>
    </xdr:from>
    <xdr:ext cx="8467725" cy="3686175"/>
    <xdr:graphicFrame>
      <xdr:nvGraphicFramePr>
        <xdr:cNvPr id="9" name="Chart 9" title="Diaq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209550</xdr:colOff>
      <xdr:row>8</xdr:row>
      <xdr:rowOff>200025</xdr:rowOff>
    </xdr:from>
    <xdr:ext cx="10125075" cy="6696075"/>
    <xdr:graphicFrame>
      <xdr:nvGraphicFramePr>
        <xdr:cNvPr id="11" name="Chart 11" title="Diaqra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152400</xdr:colOff>
      <xdr:row>43</xdr:row>
      <xdr:rowOff>180975</xdr:rowOff>
    </xdr:from>
    <xdr:ext cx="12773025" cy="2390775"/>
    <xdr:graphicFrame>
      <xdr:nvGraphicFramePr>
        <xdr:cNvPr id="12" name="Chart 12" title="Diaqram"/>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1076325</xdr:colOff>
      <xdr:row>7</xdr:row>
      <xdr:rowOff>133350</xdr:rowOff>
    </xdr:from>
    <xdr:ext cx="4562475" cy="6696075"/>
    <xdr:graphicFrame>
      <xdr:nvGraphicFramePr>
        <xdr:cNvPr id="14" name="Chart 14" title="Diaqram"/>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57150</xdr:colOff>
      <xdr:row>16</xdr:row>
      <xdr:rowOff>171450</xdr:rowOff>
    </xdr:from>
    <xdr:ext cx="2857500" cy="2857500"/>
    <mc:AlternateContent>
      <mc:Choice Requires="sle15">
        <xdr:graphicFrame>
          <xdr:nvGraphicFramePr>
            <xdr:cNvPr id="2" name="City_2"/>
            <xdr:cNvGraphicFramePr/>
          </xdr:nvGraphicFramePr>
          <xdr:xfrm>
            <a:off x="0" y="0"/>
            <a:ext cx="0" cy="0"/>
          </xdr:xfrm>
          <a:graphic>
            <a:graphicData uri="http://schemas.microsoft.com/office/drawing/2010/slicer">
              <x3Unk:slicer name="Cit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57150</xdr:colOff>
      <xdr:row>22</xdr:row>
      <xdr:rowOff>200025</xdr:rowOff>
    </xdr:from>
    <xdr:ext cx="2857500" cy="2857500"/>
    <mc:AlternateContent>
      <mc:Choice Requires="sle15">
        <xdr:graphicFrame>
          <xdr:nvGraphicFramePr>
            <xdr:cNvPr id="3" name="Product Sub-Category_3"/>
            <xdr:cNvGraphicFramePr/>
          </xdr:nvGraphicFramePr>
          <xdr:xfrm>
            <a:off x="0" y="0"/>
            <a:ext cx="0" cy="0"/>
          </xdr:xfrm>
          <a:graphic>
            <a:graphicData uri="http://schemas.microsoft.com/office/drawing/2010/slicer">
              <x3Unk:slicer name="Product Sub-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19</xdr:row>
      <xdr:rowOff>180975</xdr:rowOff>
    </xdr:from>
    <xdr:ext cx="2857500" cy="2857500"/>
    <mc:AlternateContent>
      <mc:Choice Requires="sle15">
        <xdr:graphicFrame>
          <xdr:nvGraphicFramePr>
            <xdr:cNvPr id="4" name="Product Category_4"/>
            <xdr:cNvGraphicFramePr/>
          </xdr:nvGraphicFramePr>
          <xdr:xfrm>
            <a:off x="0" y="0"/>
            <a:ext cx="0" cy="0"/>
          </xdr:xfrm>
          <a:graphic>
            <a:graphicData uri="http://schemas.microsoft.com/office/drawing/2010/slicer">
              <x3Unk:slicer name="Product Catego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25</xdr:row>
      <xdr:rowOff>219075</xdr:rowOff>
    </xdr:from>
    <xdr:ext cx="2857500" cy="2857500"/>
    <mc:AlternateContent>
      <mc:Choice Requires="sle15">
        <xdr:graphicFrame>
          <xdr:nvGraphicFramePr>
            <xdr:cNvPr id="5" name="Customer Segment_5"/>
            <xdr:cNvGraphicFramePr/>
          </xdr:nvGraphicFramePr>
          <xdr:xfrm>
            <a:off x="0" y="0"/>
            <a:ext cx="0" cy="0"/>
          </xdr:xfrm>
          <a:graphic>
            <a:graphicData uri="http://schemas.microsoft.com/office/drawing/2010/slicer">
              <x3Unk:slicer name="Customer Segment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285750</xdr:colOff>
      <xdr:row>5</xdr:row>
      <xdr:rowOff>152400</xdr:rowOff>
    </xdr:from>
    <xdr:ext cx="3457575" cy="466725"/>
    <xdr:sp>
      <xdr:nvSpPr>
        <xdr:cNvPr id="3" name="Shape 3"/>
        <xdr:cNvSpPr txBox="1"/>
      </xdr:nvSpPr>
      <xdr:spPr>
        <a:xfrm>
          <a:off x="400275" y="540375"/>
          <a:ext cx="3442500" cy="45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800">
              <a:solidFill>
                <a:srgbClr val="274E13"/>
              </a:solidFill>
              <a:latin typeface="Verdana"/>
              <a:ea typeface="Verdana"/>
              <a:cs typeface="Verdana"/>
              <a:sym typeface="Verdana"/>
            </a:rPr>
            <a:t>CITY ORDER HEATMAP</a:t>
          </a:r>
          <a:endParaRPr b="1" sz="1800">
            <a:solidFill>
              <a:srgbClr val="274E13"/>
            </a:solidFill>
            <a:latin typeface="Verdana"/>
            <a:ea typeface="Verdana"/>
            <a:cs typeface="Verdana"/>
            <a:sym typeface="Verdana"/>
          </a:endParaRPr>
        </a:p>
      </xdr:txBody>
    </xdr:sp>
    <xdr:clientData fLocksWithSheet="0"/>
  </xdr:oneCellAnchor>
  <xdr:oneCellAnchor>
    <xdr:from>
      <xdr:col>4</xdr:col>
      <xdr:colOff>676275</xdr:colOff>
      <xdr:row>22</xdr:row>
      <xdr:rowOff>47625</xdr:rowOff>
    </xdr:from>
    <xdr:ext cx="1095375" cy="352425"/>
    <xdr:sp>
      <xdr:nvSpPr>
        <xdr:cNvPr id="4" name="Shape 4"/>
        <xdr:cNvSpPr txBox="1"/>
      </xdr:nvSpPr>
      <xdr:spPr>
        <a:xfrm>
          <a:off x="410300" y="740525"/>
          <a:ext cx="1341000" cy="46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solidFill>
                <a:srgbClr val="274E13"/>
              </a:solidFill>
            </a:rPr>
            <a:t>FURNİTURE</a:t>
          </a:r>
          <a:endParaRPr b="1" sz="1400">
            <a:solidFill>
              <a:srgbClr val="274E13"/>
            </a:solidFill>
          </a:endParaRPr>
        </a:p>
      </xdr:txBody>
    </xdr:sp>
    <xdr:clientData fLocksWithSheet="0"/>
  </xdr:oneCellAnchor>
  <xdr:oneCellAnchor>
    <xdr:from>
      <xdr:col>7</xdr:col>
      <xdr:colOff>381000</xdr:colOff>
      <xdr:row>22</xdr:row>
      <xdr:rowOff>19050</xdr:rowOff>
    </xdr:from>
    <xdr:ext cx="1285875" cy="409575"/>
    <xdr:sp>
      <xdr:nvSpPr>
        <xdr:cNvPr id="5" name="Shape 5"/>
        <xdr:cNvSpPr txBox="1"/>
      </xdr:nvSpPr>
      <xdr:spPr>
        <a:xfrm>
          <a:off x="460325" y="760550"/>
          <a:ext cx="2191500" cy="48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solidFill>
                <a:srgbClr val="274E13"/>
              </a:solidFill>
            </a:rPr>
            <a:t>OFFICE SUPPLIES</a:t>
          </a:r>
          <a:endParaRPr b="1" sz="1400">
            <a:solidFill>
              <a:srgbClr val="274E13"/>
            </a:solidFill>
          </a:endParaRPr>
        </a:p>
      </xdr:txBody>
    </xdr:sp>
    <xdr:clientData fLocksWithSheet="0"/>
  </xdr:oneCellAnchor>
  <xdr:oneCellAnchor>
    <xdr:from>
      <xdr:col>10</xdr:col>
      <xdr:colOff>38100</xdr:colOff>
      <xdr:row>22</xdr:row>
      <xdr:rowOff>19050</xdr:rowOff>
    </xdr:from>
    <xdr:ext cx="1533525" cy="409575"/>
    <xdr:sp>
      <xdr:nvSpPr>
        <xdr:cNvPr id="6" name="Shape 6"/>
        <xdr:cNvSpPr txBox="1"/>
      </xdr:nvSpPr>
      <xdr:spPr>
        <a:xfrm>
          <a:off x="580425" y="760550"/>
          <a:ext cx="1941300" cy="47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solidFill>
                <a:srgbClr val="274E13"/>
              </a:solidFill>
            </a:rPr>
            <a:t>TECHNOLOGY</a:t>
          </a:r>
          <a:endParaRPr b="1" sz="1400">
            <a:solidFill>
              <a:srgbClr val="274E13"/>
            </a:solidFill>
          </a:endParaRPr>
        </a:p>
      </xdr:txBody>
    </xdr:sp>
    <xdr:clientData fLocksWithSheet="0"/>
  </xdr:oneCellAnchor>
  <xdr:oneCellAnchor>
    <xdr:from>
      <xdr:col>5</xdr:col>
      <xdr:colOff>295275</xdr:colOff>
      <xdr:row>15</xdr:row>
      <xdr:rowOff>133350</xdr:rowOff>
    </xdr:from>
    <xdr:ext cx="5581650" cy="628650"/>
    <xdr:sp>
      <xdr:nvSpPr>
        <xdr:cNvPr id="7" name="Shape 7"/>
        <xdr:cNvSpPr txBox="1"/>
      </xdr:nvSpPr>
      <xdr:spPr>
        <a:xfrm>
          <a:off x="400275" y="710500"/>
          <a:ext cx="5564100" cy="610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800">
              <a:solidFill>
                <a:srgbClr val="274E13"/>
              </a:solidFill>
            </a:rPr>
            <a:t>CUSTOMER SEGMENT SALE DISTRIBUTION</a:t>
          </a:r>
          <a:endParaRPr b="1" sz="1800">
            <a:solidFill>
              <a:srgbClr val="274E13"/>
            </a:solidFill>
          </a:endParaRPr>
        </a:p>
      </xdr:txBody>
    </xdr:sp>
    <xdr:clientData fLocksWithSheet="0"/>
  </xdr:oneCellAnchor>
  <xdr:oneCellAnchor>
    <xdr:from>
      <xdr:col>5</xdr:col>
      <xdr:colOff>609600</xdr:colOff>
      <xdr:row>30</xdr:row>
      <xdr:rowOff>200025</xdr:rowOff>
    </xdr:from>
    <xdr:ext cx="3800475" cy="723900"/>
    <xdr:sp>
      <xdr:nvSpPr>
        <xdr:cNvPr id="8" name="Shape 8"/>
        <xdr:cNvSpPr txBox="1"/>
      </xdr:nvSpPr>
      <xdr:spPr>
        <a:xfrm>
          <a:off x="990700" y="1200850"/>
          <a:ext cx="3782700" cy="700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latin typeface="Verdana"/>
              <a:ea typeface="Verdana"/>
              <a:cs typeface="Verdana"/>
              <a:sym typeface="Verdana"/>
            </a:rPr>
            <a:t>TOP 5 PRODUCT CATEGORIES</a:t>
          </a:r>
          <a:endParaRPr b="1" sz="1600">
            <a:solidFill>
              <a:srgbClr val="274E13"/>
            </a:solidFill>
            <a:latin typeface="Verdana"/>
            <a:ea typeface="Verdana"/>
            <a:cs typeface="Verdana"/>
            <a:sym typeface="Verdana"/>
          </a:endParaRPr>
        </a:p>
      </xdr:txBody>
    </xdr:sp>
    <xdr:clientData fLocksWithSheet="0"/>
  </xdr:oneCellAnchor>
  <xdr:oneCellAnchor>
    <xdr:from>
      <xdr:col>4</xdr:col>
      <xdr:colOff>76200</xdr:colOff>
      <xdr:row>48</xdr:row>
      <xdr:rowOff>114300</xdr:rowOff>
    </xdr:from>
    <xdr:ext cx="2047875" cy="533400"/>
    <xdr:sp>
      <xdr:nvSpPr>
        <xdr:cNvPr id="9" name="Shape 9"/>
        <xdr:cNvSpPr txBox="1"/>
      </xdr:nvSpPr>
      <xdr:spPr>
        <a:xfrm>
          <a:off x="1260900" y="770550"/>
          <a:ext cx="2031300" cy="51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latin typeface="Verdana"/>
              <a:ea typeface="Verdana"/>
              <a:cs typeface="Verdana"/>
              <a:sym typeface="Verdana"/>
            </a:rPr>
            <a:t>TOTAL ORDERS</a:t>
          </a:r>
          <a:endParaRPr b="1" sz="1600">
            <a:solidFill>
              <a:srgbClr val="274E13"/>
            </a:solidFill>
            <a:latin typeface="Verdana"/>
            <a:ea typeface="Verdana"/>
            <a:cs typeface="Verdana"/>
            <a:sym typeface="Verdana"/>
          </a:endParaRPr>
        </a:p>
      </xdr:txBody>
    </xdr:sp>
    <xdr:clientData fLocksWithSheet="0"/>
  </xdr:oneCellAnchor>
  <xdr:oneCellAnchor>
    <xdr:from>
      <xdr:col>6</xdr:col>
      <xdr:colOff>752475</xdr:colOff>
      <xdr:row>48</xdr:row>
      <xdr:rowOff>123825</xdr:rowOff>
    </xdr:from>
    <xdr:ext cx="2533650" cy="438150"/>
    <xdr:sp>
      <xdr:nvSpPr>
        <xdr:cNvPr id="10" name="Shape 10"/>
        <xdr:cNvSpPr txBox="1"/>
      </xdr:nvSpPr>
      <xdr:spPr>
        <a:xfrm>
          <a:off x="1511075" y="760550"/>
          <a:ext cx="2511900" cy="42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latin typeface="Verdana"/>
              <a:ea typeface="Verdana"/>
              <a:cs typeface="Verdana"/>
              <a:sym typeface="Verdana"/>
            </a:rPr>
            <a:t>RETURNED ORDERS</a:t>
          </a:r>
          <a:endParaRPr b="1" sz="1600">
            <a:solidFill>
              <a:srgbClr val="274E13"/>
            </a:solidFill>
            <a:latin typeface="Verdana"/>
            <a:ea typeface="Verdana"/>
            <a:cs typeface="Verdana"/>
            <a:sym typeface="Verdana"/>
          </a:endParaRPr>
        </a:p>
      </xdr:txBody>
    </xdr:sp>
    <xdr:clientData fLocksWithSheet="0"/>
  </xdr:oneCellAnchor>
  <xdr:oneCellAnchor>
    <xdr:from>
      <xdr:col>9</xdr:col>
      <xdr:colOff>447675</xdr:colOff>
      <xdr:row>48</xdr:row>
      <xdr:rowOff>76200</xdr:rowOff>
    </xdr:from>
    <xdr:ext cx="2933700" cy="533400"/>
    <xdr:sp>
      <xdr:nvSpPr>
        <xdr:cNvPr id="11" name="Shape 11"/>
        <xdr:cNvSpPr txBox="1"/>
      </xdr:nvSpPr>
      <xdr:spPr>
        <a:xfrm>
          <a:off x="720500" y="700500"/>
          <a:ext cx="3572700" cy="48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700">
              <a:solidFill>
                <a:srgbClr val="274E13"/>
              </a:solidFill>
              <a:latin typeface="Verdana"/>
              <a:ea typeface="Verdana"/>
              <a:cs typeface="Verdana"/>
              <a:sym typeface="Verdana"/>
            </a:rPr>
            <a:t>% OF ORDERS RETURNED</a:t>
          </a:r>
          <a:endParaRPr b="1" sz="1700">
            <a:solidFill>
              <a:srgbClr val="274E13"/>
            </a:solidFill>
            <a:latin typeface="Verdana"/>
            <a:ea typeface="Verdana"/>
            <a:cs typeface="Verdana"/>
            <a:sym typeface="Verdana"/>
          </a:endParaRPr>
        </a:p>
      </xdr:txBody>
    </xdr:sp>
    <xdr:clientData fLocksWithSheet="0"/>
  </xdr:oneCellAnchor>
  <xdr:oneCellAnchor>
    <xdr:from>
      <xdr:col>17</xdr:col>
      <xdr:colOff>76200</xdr:colOff>
      <xdr:row>5</xdr:row>
      <xdr:rowOff>200025</xdr:rowOff>
    </xdr:from>
    <xdr:ext cx="2133600" cy="381000"/>
    <xdr:sp>
      <xdr:nvSpPr>
        <xdr:cNvPr id="12" name="Shape 12"/>
        <xdr:cNvSpPr txBox="1"/>
      </xdr:nvSpPr>
      <xdr:spPr>
        <a:xfrm>
          <a:off x="860600" y="1090775"/>
          <a:ext cx="1841400" cy="36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latin typeface="Verdana"/>
              <a:ea typeface="Verdana"/>
              <a:cs typeface="Verdana"/>
              <a:sym typeface="Verdana"/>
            </a:rPr>
            <a:t>CITY PROFITS</a:t>
          </a:r>
          <a:endParaRPr b="1" sz="1600">
            <a:solidFill>
              <a:srgbClr val="274E13"/>
            </a:solidFill>
            <a:latin typeface="Verdana"/>
            <a:ea typeface="Verdana"/>
            <a:cs typeface="Verdana"/>
            <a:sym typeface="Verdana"/>
          </a:endParaRPr>
        </a:p>
      </xdr:txBody>
    </xdr:sp>
    <xdr:clientData fLocksWithSheet="0"/>
  </xdr:oneCellAnchor>
  <xdr:oneCellAnchor>
    <xdr:from>
      <xdr:col>18</xdr:col>
      <xdr:colOff>695325</xdr:colOff>
      <xdr:row>41</xdr:row>
      <xdr:rowOff>200025</xdr:rowOff>
    </xdr:from>
    <xdr:ext cx="3190875" cy="381000"/>
    <xdr:sp>
      <xdr:nvSpPr>
        <xdr:cNvPr id="13" name="Shape 13"/>
        <xdr:cNvSpPr txBox="1"/>
      </xdr:nvSpPr>
      <xdr:spPr>
        <a:xfrm>
          <a:off x="1621150" y="850600"/>
          <a:ext cx="2922000" cy="45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rPr>
            <a:t>SALES / PROFIT TIMELINE</a:t>
          </a:r>
          <a:endParaRPr b="1" sz="1600">
            <a:solidFill>
              <a:srgbClr val="274E13"/>
            </a:solidFill>
          </a:endParaRPr>
        </a:p>
      </xdr:txBody>
    </xdr:sp>
    <xdr:clientData fLocksWithSheet="0"/>
  </xdr:oneCellAnchor>
  <xdr:oneCellAnchor>
    <xdr:from>
      <xdr:col>23</xdr:col>
      <xdr:colOff>914400</xdr:colOff>
      <xdr:row>5</xdr:row>
      <xdr:rowOff>152400</xdr:rowOff>
    </xdr:from>
    <xdr:ext cx="2638425" cy="495300"/>
    <xdr:sp>
      <xdr:nvSpPr>
        <xdr:cNvPr id="14" name="Shape 14"/>
        <xdr:cNvSpPr txBox="1"/>
      </xdr:nvSpPr>
      <xdr:spPr>
        <a:xfrm>
          <a:off x="810600" y="390300"/>
          <a:ext cx="2622000" cy="48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rPr>
            <a:t>PRODUCT PROFITS</a:t>
          </a:r>
          <a:endParaRPr b="1" sz="1600">
            <a:solidFill>
              <a:srgbClr val="274E13"/>
            </a:solidFill>
          </a:endParaRPr>
        </a:p>
      </xdr:txBody>
    </xdr:sp>
    <xdr:clientData fLocksWithSheet="0"/>
  </xdr:oneCellAnchor>
  <xdr:oneCellAnchor>
    <xdr:from>
      <xdr:col>25</xdr:col>
      <xdr:colOff>276225</xdr:colOff>
      <xdr:row>25</xdr:row>
      <xdr:rowOff>190500</xdr:rowOff>
    </xdr:from>
    <xdr:ext cx="1885950" cy="352425"/>
    <xdr:sp>
      <xdr:nvSpPr>
        <xdr:cNvPr id="15" name="Shape 15"/>
        <xdr:cNvSpPr txBox="1"/>
      </xdr:nvSpPr>
      <xdr:spPr>
        <a:xfrm>
          <a:off x="1601150" y="1210850"/>
          <a:ext cx="1871400" cy="320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latin typeface="Verdana"/>
              <a:ea typeface="Verdana"/>
              <a:cs typeface="Verdana"/>
              <a:sym typeface="Verdana"/>
            </a:rPr>
            <a:t>TOTAL SALES</a:t>
          </a:r>
          <a:endParaRPr b="1" sz="1600">
            <a:solidFill>
              <a:srgbClr val="274E13"/>
            </a:solidFill>
            <a:latin typeface="Verdana"/>
            <a:ea typeface="Verdana"/>
            <a:cs typeface="Verdana"/>
            <a:sym typeface="Verdana"/>
          </a:endParaRPr>
        </a:p>
      </xdr:txBody>
    </xdr:sp>
    <xdr:clientData fLocksWithSheet="0"/>
  </xdr:oneCellAnchor>
  <xdr:oneCellAnchor>
    <xdr:from>
      <xdr:col>25</xdr:col>
      <xdr:colOff>200025</xdr:colOff>
      <xdr:row>17</xdr:row>
      <xdr:rowOff>200025</xdr:rowOff>
    </xdr:from>
    <xdr:ext cx="2171700" cy="400050"/>
    <xdr:sp>
      <xdr:nvSpPr>
        <xdr:cNvPr id="16" name="Shape 16"/>
        <xdr:cNvSpPr txBox="1"/>
      </xdr:nvSpPr>
      <xdr:spPr>
        <a:xfrm>
          <a:off x="1360975" y="990700"/>
          <a:ext cx="2151600" cy="38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600">
              <a:solidFill>
                <a:srgbClr val="274E13"/>
              </a:solidFill>
              <a:latin typeface="Verdana"/>
              <a:ea typeface="Verdana"/>
              <a:cs typeface="Verdana"/>
              <a:sym typeface="Verdana"/>
            </a:rPr>
            <a:t>TOTAL PROFIT</a:t>
          </a:r>
          <a:endParaRPr b="1" sz="1800">
            <a:solidFill>
              <a:srgbClr val="274E13"/>
            </a:solidFill>
            <a:latin typeface="Verdana"/>
            <a:ea typeface="Verdana"/>
            <a:cs typeface="Verdana"/>
            <a:sym typeface="Verdana"/>
          </a:endParaRPr>
        </a:p>
      </xdr:txBody>
    </xdr:sp>
    <xdr:clientData fLocksWithSheet="0"/>
  </xdr:oneCellAnchor>
  <xdr:oneCellAnchor>
    <xdr:from>
      <xdr:col>9</xdr:col>
      <xdr:colOff>685800</xdr:colOff>
      <xdr:row>1</xdr:row>
      <xdr:rowOff>95250</xdr:rowOff>
    </xdr:from>
    <xdr:ext cx="7372350" cy="571500"/>
    <xdr:sp>
      <xdr:nvSpPr>
        <xdr:cNvPr id="17" name="Shape 17"/>
        <xdr:cNvSpPr txBox="1"/>
      </xdr:nvSpPr>
      <xdr:spPr>
        <a:xfrm>
          <a:off x="960675" y="980700"/>
          <a:ext cx="6284400" cy="51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3000">
              <a:solidFill>
                <a:srgbClr val="274E13"/>
              </a:solidFill>
              <a:latin typeface="Verdana"/>
              <a:ea typeface="Verdana"/>
              <a:cs typeface="Verdana"/>
              <a:sym typeface="Verdana"/>
            </a:rPr>
            <a:t>COMPANY SALES DATA</a:t>
          </a:r>
          <a:endParaRPr b="1" sz="3000">
            <a:solidFill>
              <a:srgbClr val="274E13"/>
            </a:solidFill>
            <a:latin typeface="Verdana"/>
            <a:ea typeface="Verdana"/>
            <a:cs typeface="Verdana"/>
            <a:sym typeface="Verdana"/>
          </a:endParaRPr>
        </a:p>
      </xdr:txBody>
    </xdr:sp>
    <xdr:clientData fLocksWithSheet="0"/>
  </xdr:oneCellAnchor>
  <xdr:oneCellAnchor>
    <xdr:from>
      <xdr:col>11</xdr:col>
      <xdr:colOff>400050</xdr:colOff>
      <xdr:row>15</xdr:row>
      <xdr:rowOff>142875</xdr:rowOff>
    </xdr:from>
    <xdr:ext cx="762000" cy="723900"/>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885825</xdr:colOff>
      <xdr:row>41</xdr:row>
      <xdr:rowOff>200025</xdr:rowOff>
    </xdr:from>
    <xdr:ext cx="1095375" cy="1076325"/>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25</xdr:col>
      <xdr:colOff>1123950</xdr:colOff>
      <xdr:row>5</xdr:row>
      <xdr:rowOff>200025</xdr:rowOff>
    </xdr:from>
    <xdr:ext cx="857250" cy="628650"/>
    <xdr:pic>
      <xdr:nvPicPr>
        <xdr:cNvPr id="0" name="image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200025</xdr:colOff>
      <xdr:row>7</xdr:row>
      <xdr:rowOff>123825</xdr:rowOff>
    </xdr:from>
    <xdr:ext cx="8105775" cy="6696075"/>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20</xdr:col>
      <xdr:colOff>1028700</xdr:colOff>
      <xdr:row>5</xdr:row>
      <xdr:rowOff>152400</xdr:rowOff>
    </xdr:from>
    <xdr:ext cx="1009650" cy="971550"/>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152400</xdr:colOff>
      <xdr:row>30</xdr:row>
      <xdr:rowOff>152400</xdr:rowOff>
    </xdr:from>
    <xdr:ext cx="857250" cy="847725"/>
    <xdr:pic>
      <xdr:nvPicPr>
        <xdr:cNvPr id="0" name="image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600075</xdr:colOff>
      <xdr:row>5</xdr:row>
      <xdr:rowOff>152400</xdr:rowOff>
    </xdr:from>
    <xdr:ext cx="561975" cy="438150"/>
    <xdr:pic>
      <xdr:nvPicPr>
        <xdr:cNvPr id="0" name="image5.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S1953" sheet="Dataset"/>
  </cacheSource>
  <cacheFields>
    <cacheField name="Unit Price" numFmtId="0">
      <sharedItems containsSemiMixedTypes="0" containsString="0" containsNumber="1">
        <n v="2.84"/>
        <n v="500.98"/>
        <n v="9.48"/>
        <n v="78.69"/>
        <n v="3.28"/>
        <n v="3.58"/>
        <n v="4.42"/>
        <n v="35.94"/>
        <n v="2.98"/>
        <n v="115.99"/>
        <n v="26.48"/>
        <n v="12.99"/>
        <n v="5.0"/>
        <n v="55.48"/>
        <n v="1.68"/>
        <n v="4.14"/>
        <n v="34.99"/>
        <n v="17.98"/>
        <n v="125.99"/>
        <n v="205.99"/>
        <n v="4.24"/>
        <n v="2.94"/>
        <n v="99.99"/>
        <n v="3502.14"/>
        <n v="5.98"/>
        <n v="3.8"/>
        <n v="1.76"/>
        <n v="29.14"/>
        <n v="3.69"/>
        <n v="175.99"/>
        <n v="155.06"/>
        <n v="291.73"/>
        <n v="100.98"/>
        <n v="122.99"/>
        <n v="296.18"/>
        <n v="8.09"/>
        <n v="896.99"/>
        <n v="161.55"/>
        <n v="4.91"/>
        <n v="19.84"/>
        <n v="5.18"/>
        <n v="8.34"/>
        <n v="4.98"/>
        <n v="12.98"/>
        <n v="160.98"/>
        <n v="19.98"/>
        <n v="300.98"/>
        <n v="2.88"/>
        <n v="4.26"/>
        <n v="4.0"/>
        <n v="2.12"/>
        <n v="6.3"/>
        <n v="8.57"/>
        <n v="1.74"/>
        <n v="15.74"/>
        <n v="18.97"/>
        <n v="10.98"/>
        <n v="22.84"/>
        <n v="7.04"/>
        <n v="154.13"/>
        <n v="45.98"/>
        <n v="180.98"/>
        <n v="32.98"/>
        <n v="79.52"/>
        <n v="65.99"/>
        <n v="39.98"/>
        <n v="95.99"/>
        <n v="10.89"/>
        <n v="399.98"/>
        <n v="43.22"/>
        <n v="574.74"/>
        <n v="10.14"/>
        <n v="1.88"/>
        <n v="49.99"/>
        <n v="10.06"/>
        <n v="58.1"/>
        <n v="80.48"/>
        <n v="30.73"/>
        <n v="213.45"/>
        <n v="6.54"/>
        <n v="6.48"/>
        <n v="3.29"/>
        <n v="12.28"/>
        <n v="7.37"/>
        <n v="1.86"/>
        <n v="5.4"/>
        <n v="20.28"/>
        <n v="11.55"/>
        <n v="2.08"/>
        <n v="119.99"/>
        <n v="60.89"/>
        <n v="5.81"/>
        <n v="9.65"/>
        <n v="279.81"/>
        <n v="28.53"/>
        <n v="15.28"/>
        <n v="3.34"/>
        <n v="442.14"/>
        <n v="259.71"/>
        <n v="5.94"/>
        <n v="146.05"/>
        <n v="2.58"/>
        <n v="280.98"/>
        <n v="17.48"/>
        <n v="31.76"/>
        <n v="73.98"/>
        <n v="20.34"/>
        <n v="5.58"/>
        <n v="40.89"/>
        <n v="170.98"/>
        <n v="80.97"/>
        <n v="1.98"/>
        <n v="55.99"/>
        <n v="4.13"/>
        <n v="130.98"/>
        <n v="28.48"/>
        <n v="8.33"/>
        <n v="85.99"/>
        <n v="1637.53"/>
        <n v="7.38"/>
        <n v="15.42"/>
        <n v="7.99"/>
        <n v="29.1"/>
        <n v="276.2"/>
        <n v="6.28"/>
        <n v="7.77"/>
        <n v="7.59"/>
        <n v="3.26"/>
        <n v="15.23"/>
        <n v="99.23"/>
        <n v="4.89"/>
        <n v="6.68"/>
        <n v="124.49"/>
        <n v="328.14"/>
        <n v="19.23"/>
        <n v="20.99"/>
        <n v="200.98"/>
        <n v="4.28"/>
        <n v="25.98"/>
        <n v="415.88"/>
        <n v="5.34"/>
        <n v="8.88"/>
        <n v="5.28"/>
        <n v="110.99"/>
        <n v="34.98"/>
        <n v="19.99"/>
        <n v="9.71"/>
        <n v="15.98"/>
        <n v="63.94"/>
        <n v="29.17"/>
        <n v="178.47"/>
        <n v="999.99"/>
        <n v="48.04"/>
        <n v="2.78"/>
        <n v="200.99"/>
        <n v="15.99"/>
        <n v="37.7"/>
        <n v="29.34"/>
        <n v="16.91"/>
        <n v="165.2"/>
        <n v="297.64"/>
        <n v="14.42"/>
        <n v="11.34"/>
        <n v="179.99"/>
        <n v="11.97"/>
        <n v="3.36"/>
        <n v="699.99"/>
        <n v="1360.14"/>
        <n v="9.06"/>
        <n v="17.15"/>
        <n v="8.32"/>
        <n v="152.48"/>
        <n v="55.98"/>
        <n v="20.98"/>
        <n v="128.24"/>
        <n v="6.37"/>
        <n v="12.64"/>
        <n v="150.98"/>
        <n v="5.43"/>
        <n v="179.29"/>
        <n v="1270.99"/>
        <n v="2036.48"/>
        <n v="5.78"/>
        <n v="59.78"/>
        <n v="204.1"/>
        <n v="13.73"/>
        <n v="7.1"/>
        <n v="218.75"/>
        <n v="549.99"/>
        <n v="15.04"/>
        <n v="6.88"/>
        <n v="32.48"/>
        <n v="70.97"/>
        <n v="67.28"/>
        <n v="4.48"/>
        <n v="162.93"/>
        <n v="11.58"/>
        <n v="15.51"/>
        <n v="13.9"/>
        <n v="30.53"/>
        <n v="13.79"/>
        <n v="39.48"/>
        <n v="3.7"/>
        <n v="7.98"/>
        <n v="417.4"/>
        <n v="35.99"/>
        <n v="15.57"/>
        <n v="20.89"/>
        <n v="5.38"/>
        <n v="7.35"/>
        <n v="14.2"/>
        <n v="195.99"/>
        <n v="419.19"/>
        <n v="370.98"/>
        <n v="236.97"/>
        <n v="51.75"/>
        <n v="25.38"/>
        <n v="3.78"/>
        <n v="880.98"/>
        <n v="13.4"/>
        <n v="14.58"/>
        <n v="22.72"/>
        <n v="4.57"/>
        <n v="2.89"/>
        <n v="48.91"/>
        <n v="3.95"/>
        <n v="367.99"/>
        <n v="17.67"/>
        <n v="279.48"/>
        <n v="4.18"/>
        <n v="1.7"/>
        <n v="140.98"/>
        <n v="230.98"/>
        <n v="8.12"/>
        <n v="51.65"/>
        <n v="40.48"/>
        <n v="14.81"/>
        <n v="6.47"/>
        <n v="7.89"/>
        <n v="3.68"/>
        <n v="5.02"/>
        <n v="8.5"/>
        <n v="95.43"/>
        <n v="10.64"/>
        <n v="7.28"/>
        <n v="101.41"/>
        <n v="350.98"/>
        <n v="70.98"/>
        <n v="27.48"/>
        <n v="59.98"/>
        <n v="115.79"/>
        <n v="27.75"/>
        <n v="2.61"/>
        <n v="6.35"/>
        <n v="37.94"/>
        <n v="31.78"/>
        <n v="14.56"/>
        <n v="299.99"/>
        <n v="4.06"/>
        <n v="9.49"/>
        <n v="34.76"/>
        <n v="8.6"/>
        <n v="9.11"/>
        <n v="64.65"/>
        <n v="28.28"/>
        <n v="50.98"/>
        <n v="5.84"/>
        <n v="6.24"/>
        <n v="260.98"/>
        <n v="6.98"/>
        <n v="11.66"/>
        <n v="6.08"/>
        <n v="19.9"/>
        <n v="1.26"/>
        <n v="24.98"/>
        <n v="29.18"/>
        <n v="80.98"/>
        <n v="349.45"/>
        <n v="4.37"/>
        <n v="155.99"/>
        <n v="5.68"/>
        <n v="1.81"/>
        <n v="1.14"/>
        <n v="47.98"/>
        <n v="90.97"/>
        <n v="12.53"/>
        <n v="2.6"/>
        <n v="7.64"/>
        <n v="59.76"/>
        <n v="35.51"/>
        <n v="58.14"/>
        <n v="8.04"/>
        <n v="2.18"/>
        <n v="6.04"/>
        <n v="31.74"/>
        <n v="90.98"/>
        <n v="40.98"/>
        <n v="1500.97"/>
        <n v="7.31"/>
        <n v="6.7"/>
        <n v="145.45"/>
        <n v="284.98"/>
        <n v="2.22"/>
        <n v="37.76"/>
        <n v="300.97"/>
        <n v="400.98"/>
        <n v="67.84"/>
        <n v="45.19"/>
        <n v="33.98"/>
        <n v="40.99"/>
        <n v="3.15"/>
        <n v="550.98"/>
        <n v="45.99"/>
        <n v="10.91"/>
        <n v="43.98"/>
        <n v="35.89"/>
        <n v="11.48"/>
        <n v="517.48"/>
        <n v="39.06"/>
        <n v="51.98"/>
        <n v="7.08"/>
        <n v="83.1"/>
        <n v="55.94"/>
        <n v="209.84"/>
        <n v="194.3"/>
        <n v="5.44"/>
        <n v="26.38"/>
        <n v="138.75"/>
        <n v="22.38"/>
        <n v="17.78"/>
        <n v="15.94"/>
        <n v="150.89"/>
        <n v="30.42"/>
        <n v="14.27"/>
        <n v="15.14"/>
        <n v="9.31"/>
        <n v="140.81"/>
        <n v="8.37"/>
        <n v="2550.14"/>
        <n v="7.3"/>
        <n v="4.71"/>
        <n v="4.2"/>
        <n v="30.98"/>
        <n v="270.97"/>
        <n v="363.25"/>
        <n v="9.78"/>
        <n v="350.99"/>
        <n v="6783.02"/>
        <n v="11.7"/>
        <n v="400.97"/>
        <n v="7.96"/>
        <n v="52.4"/>
        <n v="36.55"/>
        <n v="355.98"/>
        <n v="3.08"/>
        <n v="3499.99"/>
        <n v="29.89"/>
        <n v="120.98"/>
        <n v="387.99"/>
        <n v="200.97"/>
        <n v="256.99"/>
        <n v="3.89"/>
        <n v="46.89"/>
        <n v="212.6"/>
        <n v="2.52"/>
        <n v="13.99"/>
        <n v="34.23"/>
        <n v="238.4"/>
        <n v="199.99"/>
        <n v="176.19"/>
        <n v="62.18"/>
        <n v="3.98"/>
        <n v="2.62"/>
        <n v="12.2"/>
        <n v="14.34"/>
        <n v="12.97"/>
        <n v="4.55"/>
        <n v="44.01"/>
        <n v="2.23"/>
        <n v="11.29"/>
        <n v="8.17"/>
        <n v="3.38"/>
        <n v="16.48"/>
        <n v="4.84"/>
        <n v="8.74"/>
        <n v="177.98"/>
        <n v="46.94"/>
        <n v="218.08"/>
        <n v="12.95"/>
        <n v="105.29"/>
        <n v="420.98"/>
        <n v="20.27"/>
        <n v="8.95"/>
        <n v="193.17"/>
        <n v="11.5"/>
        <n v="15.7"/>
        <n v="225.02"/>
        <n v="2.16"/>
        <n v="525.98"/>
        <n v="599.99"/>
        <n v="17.7"/>
        <n v="348.21"/>
        <n v="60.98"/>
        <n v="226.67"/>
        <n v="20.95"/>
        <n v="19.04"/>
        <n v="5.53"/>
        <n v="9.77"/>
        <n v="15.16"/>
        <n v="40.97"/>
        <n v="12.88"/>
        <n v="15.01"/>
        <n v="16.06"/>
        <n v="209.37"/>
        <n v="43.57"/>
        <n v="25.99"/>
        <n v="100.97"/>
        <n v="136.98"/>
        <n v="107.53"/>
        <n v="48.58"/>
        <n v="3.6"/>
        <n v="35.41"/>
        <n v="142.86"/>
        <n v="223.98"/>
        <n v="49.34"/>
        <n v="6.84"/>
        <n v="15.67"/>
        <n v="13.43"/>
        <n v="14.28"/>
        <n v="23.99"/>
        <n v="12.44"/>
        <n v="14.98"/>
        <n v="30.93"/>
        <n v="35.44"/>
        <n v="60.65"/>
        <n v="5.77"/>
        <n v="5.08"/>
        <n v="77.51"/>
        <n v="10.48"/>
        <n v="9.99"/>
        <n v="18.65"/>
        <n v="52.99"/>
        <n v="9.27"/>
        <n v="3.52"/>
        <n v="90.48"/>
        <n v="535.64"/>
        <n v="78.8"/>
        <n v="320.64"/>
        <n v="26.17"/>
        <n v="172.99"/>
        <n v="11.99"/>
        <n v="18.7"/>
        <n v="22.23"/>
        <n v="10.44"/>
        <n v="1889.99"/>
        <n v="42.98"/>
        <n v="3.25"/>
        <n v="110.98"/>
        <n v="78.65"/>
        <n v="424.21"/>
        <n v="20.48"/>
        <n v="15.31"/>
        <n v="1.6"/>
        <n v="47.9"/>
        <n v="24.92"/>
        <n v="120.97"/>
        <n v="1.89"/>
        <n v="376.13"/>
        <n v="9.85"/>
        <n v="240.98"/>
        <n v="10.31"/>
        <n v="10.52"/>
        <n v="1.48"/>
        <n v="38.06"/>
        <n v="39.89"/>
        <n v="95.95"/>
        <n v="320.98"/>
        <n v="28.99"/>
        <n v="22.01"/>
        <n v="243.98"/>
        <n v="5.74"/>
        <n v="55.5"/>
        <n v="297.48"/>
        <n v="159.31"/>
        <n v="16.98"/>
        <n v="140.85"/>
        <n v="14.89"/>
        <n v="33.94"/>
        <n v="100.89"/>
        <n v="60.97"/>
        <n v="207.48"/>
        <n v="7.45"/>
        <n v="11.33"/>
        <n v="15.73"/>
        <n v="54.1"/>
        <n v="21.78"/>
        <n v="270.98"/>
        <n v="146.34"/>
        <n v="68.81"/>
        <n v="21.38"/>
        <n v="3.74"/>
        <n v="6.75"/>
        <n v="71.37"/>
        <n v="4.77"/>
        <n v="27.18"/>
        <n v="2.1"/>
        <n v="225.04"/>
        <n v="7.84"/>
        <n v="140.99"/>
        <n v="8.85"/>
        <n v="2.28"/>
        <n v="92.23"/>
        <n v="15.22"/>
        <n v="9.93"/>
        <n v="227.55"/>
        <n v="53.98"/>
        <n v="111.03"/>
        <n v="28.15"/>
        <n v="10.01"/>
        <n v="15.68"/>
        <n v="22.99"/>
        <n v="12.22"/>
        <n v="12.58"/>
        <n v="7.7"/>
        <n v="105.49"/>
        <n v="510.14"/>
        <n v="4.76"/>
        <n v="41.94"/>
        <n v="89.99"/>
        <n v="138.14"/>
        <n v="90.24"/>
        <n v="10.4"/>
        <n v="3.93"/>
        <n v="17.99"/>
        <n v="41.32"/>
        <n v="4.97"/>
        <n v="3.75"/>
        <n v="13.48"/>
        <n v="6.74"/>
        <n v="220.98"/>
        <n v="9.98"/>
        <n v="29.74"/>
        <n v="5.85"/>
        <n v="808.49"/>
        <n v="3.57"/>
        <n v="30.44"/>
        <n v="17.52"/>
        <n v="30.56"/>
        <n v="21.98"/>
        <n v="38.76"/>
        <n v="105.34"/>
        <n v="33.29"/>
        <n v="217.85"/>
        <n v="304.99"/>
        <n v="10.68"/>
        <n v="70.89"/>
        <n v="3.14"/>
        <n v="8.01"/>
        <n v="9.68"/>
        <n v="30.97"/>
        <n v="300.65"/>
        <n v="104.85"/>
        <n v="14.48"/>
        <n v="499.99"/>
        <n v="6.45"/>
        <n v="1.82"/>
        <n v="137.48"/>
        <n v="2.21"/>
        <n v="39.99"/>
        <n v="49.43"/>
        <n v="262.11"/>
        <n v="33.89"/>
        <n v="34.54"/>
        <n v="34.58"/>
        <n v="315.98"/>
        <n v="62.05"/>
        <n v="8.46"/>
        <n v="3.71"/>
        <n v="145.98"/>
        <n v="17.24"/>
        <n v="60.22"/>
        <n v="159.99"/>
        <n v="10.97"/>
        <n v="208.16"/>
        <n v="22.24"/>
        <n v="24.95"/>
        <n v="48.94"/>
        <n v="42.8"/>
        <n v="449.99"/>
        <n v="89.83"/>
        <n v="16.74"/>
        <n v="6.64"/>
        <n v="113.98"/>
        <n v="7.68"/>
        <n v="10.9"/>
        <n v="9.38"/>
        <n v="105.98"/>
      </sharedItems>
    </cacheField>
    <cacheField name="Customer ID" numFmtId="0">
      <sharedItems containsSemiMixedTypes="0" containsString="0" containsNumber="1" containsInteger="1">
        <n v="3.0"/>
        <n v="5.0"/>
        <n v="11.0"/>
        <n v="14.0"/>
        <n v="15.0"/>
        <n v="16.0"/>
        <n v="18.0"/>
        <n v="19.0"/>
        <n v="21.0"/>
        <n v="24.0"/>
        <n v="27.0"/>
        <n v="32.0"/>
        <n v="33.0"/>
        <n v="43.0"/>
        <n v="52.0"/>
        <n v="53.0"/>
        <n v="56.0"/>
        <n v="62.0"/>
        <n v="64.0"/>
        <n v="67.0"/>
        <n v="68.0"/>
        <n v="70.0"/>
        <n v="83.0"/>
        <n v="84.0"/>
        <n v="87.0"/>
        <n v="91.0"/>
        <n v="92.0"/>
        <n v="94.0"/>
        <n v="97.0"/>
        <n v="101.0"/>
        <n v="102.0"/>
        <n v="107.0"/>
        <n v="109.0"/>
        <n v="114.0"/>
        <n v="115.0"/>
        <n v="117.0"/>
        <n v="120.0"/>
        <n v="123.0"/>
        <n v="129.0"/>
        <n v="136.0"/>
        <n v="142.0"/>
        <n v="144.0"/>
        <n v="145.0"/>
        <n v="146.0"/>
        <n v="151.0"/>
        <n v="152.0"/>
        <n v="156.0"/>
        <n v="164.0"/>
        <n v="166.0"/>
        <n v="169.0"/>
        <n v="171.0"/>
        <n v="181.0"/>
        <n v="184.0"/>
        <n v="188.0"/>
        <n v="190.0"/>
        <n v="191.0"/>
        <n v="193.0"/>
        <n v="194.0"/>
        <n v="197.0"/>
        <n v="198.0"/>
        <n v="202.0"/>
        <n v="210.0"/>
        <n v="211.0"/>
        <n v="218.0"/>
        <n v="228.0"/>
        <n v="233.0"/>
        <n v="234.0"/>
        <n v="236.0"/>
        <n v="240.0"/>
        <n v="241.0"/>
        <n v="247.0"/>
        <n v="250.0"/>
        <n v="254.0"/>
        <n v="256.0"/>
        <n v="258.0"/>
        <n v="259.0"/>
        <n v="263.0"/>
        <n v="266.0"/>
        <n v="268.0"/>
        <n v="269.0"/>
        <n v="271.0"/>
        <n v="272.0"/>
        <n v="275.0"/>
        <n v="276.0"/>
        <n v="282.0"/>
        <n v="283.0"/>
        <n v="286.0"/>
        <n v="288.0"/>
        <n v="290.0"/>
        <n v="306.0"/>
        <n v="308.0"/>
        <n v="314.0"/>
        <n v="315.0"/>
        <n v="317.0"/>
        <n v="321.0"/>
        <n v="326.0"/>
        <n v="329.0"/>
        <n v="331.0"/>
        <n v="335.0"/>
        <n v="339.0"/>
        <n v="342.0"/>
        <n v="343.0"/>
        <n v="344.0"/>
        <n v="349.0"/>
        <n v="351.0"/>
        <n v="353.0"/>
        <n v="357.0"/>
        <n v="358.0"/>
        <n v="366.0"/>
        <n v="369.0"/>
        <n v="370.0"/>
        <n v="371.0"/>
        <n v="373.0"/>
        <n v="375.0"/>
        <n v="377.0"/>
        <n v="381.0"/>
        <n v="383.0"/>
        <n v="387.0"/>
        <n v="388.0"/>
        <n v="389.0"/>
        <n v="392.0"/>
        <n v="393.0"/>
        <n v="395.0"/>
        <n v="397.0"/>
        <n v="398.0"/>
        <n v="406.0"/>
        <n v="408.0"/>
        <n v="411.0"/>
        <n v="421.0"/>
        <n v="428.0"/>
        <n v="437.0"/>
        <n v="444.0"/>
        <n v="445.0"/>
        <n v="447.0"/>
        <n v="451.0"/>
        <n v="452.0"/>
        <n v="453.0"/>
        <n v="460.0"/>
        <n v="463.0"/>
        <n v="466.0"/>
        <n v="467.0"/>
        <n v="468.0"/>
        <n v="469.0"/>
        <n v="470.0"/>
        <n v="471.0"/>
        <n v="472.0"/>
        <n v="483.0"/>
        <n v="485.0"/>
        <n v="487.0"/>
        <n v="488.0"/>
        <n v="489.0"/>
        <n v="491.0"/>
        <n v="493.0"/>
        <n v="494.0"/>
        <n v="497.0"/>
        <n v="507.0"/>
        <n v="508.0"/>
        <n v="510.0"/>
        <n v="518.0"/>
        <n v="522.0"/>
        <n v="524.0"/>
        <n v="526.0"/>
        <n v="535.0"/>
        <n v="539.0"/>
        <n v="540.0"/>
        <n v="547.0"/>
        <n v="549.0"/>
        <n v="550.0"/>
        <n v="551.0"/>
        <n v="553.0"/>
        <n v="555.0"/>
        <n v="556.0"/>
        <n v="568.0"/>
        <n v="570.0"/>
        <n v="573.0"/>
        <n v="576.0"/>
        <n v="578.0"/>
        <n v="579.0"/>
        <n v="580.0"/>
        <n v="584.0"/>
        <n v="585.0"/>
        <n v="592.0"/>
        <n v="593.0"/>
        <n v="594.0"/>
        <n v="596.0"/>
        <n v="597.0"/>
        <n v="600.0"/>
        <n v="603.0"/>
        <n v="604.0"/>
        <n v="605.0"/>
        <n v="617.0"/>
        <n v="618.0"/>
        <n v="619.0"/>
        <n v="621.0"/>
        <n v="622.0"/>
        <n v="623.0"/>
        <n v="624.0"/>
        <n v="627.0"/>
        <n v="635.0"/>
        <n v="637.0"/>
        <n v="638.0"/>
        <n v="639.0"/>
        <n v="640.0"/>
        <n v="646.0"/>
        <n v="648.0"/>
        <n v="649.0"/>
        <n v="651.0"/>
        <n v="653.0"/>
        <n v="657.0"/>
        <n v="659.0"/>
        <n v="663.0"/>
        <n v="665.0"/>
        <n v="666.0"/>
        <n v="667.0"/>
        <n v="669.0"/>
        <n v="670.0"/>
        <n v="672.0"/>
        <n v="674.0"/>
        <n v="678.0"/>
        <n v="679.0"/>
        <n v="680.0"/>
        <n v="683.0"/>
        <n v="688.0"/>
        <n v="689.0"/>
        <n v="691.0"/>
        <n v="693.0"/>
        <n v="696.0"/>
        <n v="697.0"/>
        <n v="698.0"/>
        <n v="699.0"/>
        <n v="700.0"/>
        <n v="702.0"/>
        <n v="711.0"/>
        <n v="719.0"/>
        <n v="721.0"/>
        <n v="724.0"/>
        <n v="727.0"/>
        <n v="731.0"/>
        <n v="736.0"/>
        <n v="737.0"/>
        <n v="738.0"/>
        <n v="741.0"/>
        <n v="744.0"/>
        <n v="745.0"/>
        <n v="750.0"/>
        <n v="751.0"/>
        <n v="753.0"/>
        <n v="754.0"/>
        <n v="757.0"/>
        <n v="759.0"/>
        <n v="762.0"/>
        <n v="767.0"/>
        <n v="770.0"/>
        <n v="771.0"/>
        <n v="772.0"/>
        <n v="782.0"/>
        <n v="783.0"/>
        <n v="786.0"/>
        <n v="792.0"/>
        <n v="796.0"/>
        <n v="797.0"/>
        <n v="799.0"/>
        <n v="800.0"/>
        <n v="803.0"/>
        <n v="806.0"/>
        <n v="820.0"/>
        <n v="823.0"/>
        <n v="824.0"/>
        <n v="825.0"/>
        <n v="827.0"/>
        <n v="829.0"/>
        <n v="830.0"/>
        <n v="833.0"/>
        <n v="850.0"/>
        <n v="851.0"/>
        <n v="853.0"/>
        <n v="854.0"/>
        <n v="855.0"/>
        <n v="858.0"/>
        <n v="865.0"/>
        <n v="868.0"/>
        <n v="871.0"/>
        <n v="875.0"/>
        <n v="880.0"/>
        <n v="885.0"/>
        <n v="890.0"/>
        <n v="894.0"/>
        <n v="896.0"/>
        <n v="898.0"/>
        <n v="899.0"/>
        <n v="903.0"/>
        <n v="907.0"/>
        <n v="910.0"/>
        <n v="911.0"/>
        <n v="915.0"/>
        <n v="916.0"/>
        <n v="918.0"/>
        <n v="919.0"/>
        <n v="920.0"/>
        <n v="922.0"/>
        <n v="925.0"/>
        <n v="929.0"/>
        <n v="936.0"/>
        <n v="937.0"/>
        <n v="940.0"/>
        <n v="945.0"/>
        <n v="946.0"/>
        <n v="947.0"/>
        <n v="949.0"/>
        <n v="950.0"/>
        <n v="954.0"/>
        <n v="959.0"/>
        <n v="960.0"/>
        <n v="961.0"/>
        <n v="962.0"/>
        <n v="970.0"/>
        <n v="972.0"/>
        <n v="975.0"/>
        <n v="980.0"/>
        <n v="983.0"/>
        <n v="993.0"/>
        <n v="994.0"/>
        <n v="995.0"/>
        <n v="997.0"/>
        <n v="999.0"/>
        <n v="1000.0"/>
        <n v="1005.0"/>
        <n v="1008.0"/>
        <n v="1009.0"/>
        <n v="1014.0"/>
        <n v="1015.0"/>
        <n v="1016.0"/>
        <n v="1018.0"/>
        <n v="1020.0"/>
        <n v="1023.0"/>
        <n v="1026.0"/>
        <n v="1027.0"/>
        <n v="1028.0"/>
        <n v="1035.0"/>
        <n v="1036.0"/>
        <n v="1038.0"/>
        <n v="1041.0"/>
        <n v="1042.0"/>
        <n v="1044.0"/>
        <n v="1047.0"/>
        <n v="1054.0"/>
        <n v="1060.0"/>
        <n v="1062.0"/>
        <n v="1065.0"/>
        <n v="1068.0"/>
        <n v="1069.0"/>
        <n v="1072.0"/>
        <n v="1075.0"/>
        <n v="1080.0"/>
        <n v="1083.0"/>
        <n v="1085.0"/>
        <n v="1086.0"/>
        <n v="1101.0"/>
        <n v="1103.0"/>
        <n v="1104.0"/>
        <n v="1106.0"/>
        <n v="1107.0"/>
        <n v="1108.0"/>
        <n v="1109.0"/>
        <n v="1112.0"/>
        <n v="1113.0"/>
        <n v="1117.0"/>
        <n v="1121.0"/>
        <n v="1123.0"/>
        <n v="1124.0"/>
        <n v="1127.0"/>
        <n v="1128.0"/>
        <n v="1129.0"/>
        <n v="1131.0"/>
        <n v="1132.0"/>
        <n v="1133.0"/>
        <n v="1136.0"/>
        <n v="1138.0"/>
        <n v="1142.0"/>
        <n v="1151.0"/>
        <n v="1155.0"/>
        <n v="1156.0"/>
        <n v="1159.0"/>
        <n v="1170.0"/>
        <n v="1178.0"/>
        <n v="1182.0"/>
        <n v="1183.0"/>
        <n v="1185.0"/>
        <n v="1186.0"/>
        <n v="1189.0"/>
        <n v="1191.0"/>
        <n v="1193.0"/>
        <n v="1194.0"/>
        <n v="1197.0"/>
        <n v="1199.0"/>
        <n v="1200.0"/>
        <n v="1202.0"/>
        <n v="1203.0"/>
        <n v="1211.0"/>
        <n v="1212.0"/>
        <n v="1213.0"/>
        <n v="1217.0"/>
        <n v="1226.0"/>
        <n v="1227.0"/>
        <n v="1228.0"/>
        <n v="1229.0"/>
        <n v="1233.0"/>
        <n v="1237.0"/>
        <n v="1238.0"/>
        <n v="1241.0"/>
        <n v="1246.0"/>
        <n v="1247.0"/>
        <n v="1250.0"/>
        <n v="1253.0"/>
        <n v="1254.0"/>
        <n v="1257.0"/>
        <n v="1259.0"/>
        <n v="1261.0"/>
        <n v="1265.0"/>
        <n v="1267.0"/>
        <n v="1271.0"/>
        <n v="1279.0"/>
        <n v="1280.0"/>
        <n v="1281.0"/>
        <n v="1282.0"/>
        <n v="1298.0"/>
        <n v="1303.0"/>
        <n v="1304.0"/>
        <n v="1305.0"/>
        <n v="1307.0"/>
        <n v="1314.0"/>
        <n v="1315.0"/>
        <n v="1316.0"/>
        <n v="1338.0"/>
        <n v="1340.0"/>
        <n v="1341.0"/>
        <n v="1347.0"/>
        <n v="1350.0"/>
        <n v="1351.0"/>
        <n v="1352.0"/>
        <n v="1354.0"/>
        <n v="1357.0"/>
        <n v="1360.0"/>
        <n v="1361.0"/>
        <n v="1363.0"/>
        <n v="1364.0"/>
        <n v="1367.0"/>
        <n v="1368.0"/>
        <n v="1369.0"/>
        <n v="1374.0"/>
        <n v="1380.0"/>
        <n v="1383.0"/>
        <n v="1384.0"/>
        <n v="1389.0"/>
        <n v="1390.0"/>
        <n v="1391.0"/>
        <n v="1402.0"/>
        <n v="1405.0"/>
        <n v="1410.0"/>
        <n v="1412.0"/>
        <n v="1413.0"/>
        <n v="1416.0"/>
        <n v="1418.0"/>
        <n v="1419.0"/>
        <n v="1424.0"/>
        <n v="1425.0"/>
        <n v="1427.0"/>
        <n v="1432.0"/>
        <n v="1433.0"/>
        <n v="1438.0"/>
        <n v="1439.0"/>
        <n v="1442.0"/>
        <n v="1450.0"/>
        <n v="1459.0"/>
        <n v="1461.0"/>
        <n v="1466.0"/>
        <n v="1469.0"/>
        <n v="1471.0"/>
        <n v="1472.0"/>
        <n v="1473.0"/>
        <n v="1481.0"/>
        <n v="1482.0"/>
        <n v="1484.0"/>
        <n v="1485.0"/>
        <n v="1492.0"/>
        <n v="1494.0"/>
        <n v="1497.0"/>
        <n v="1499.0"/>
        <n v="1502.0"/>
        <n v="1505.0"/>
        <n v="1511.0"/>
        <n v="1519.0"/>
        <n v="1522.0"/>
        <n v="1526.0"/>
        <n v="1527.0"/>
        <n v="1528.0"/>
        <n v="1531.0"/>
        <n v="1533.0"/>
        <n v="1548.0"/>
        <n v="1551.0"/>
        <n v="1552.0"/>
        <n v="1553.0"/>
        <n v="1554.0"/>
        <n v="1556.0"/>
        <n v="1557.0"/>
        <n v="1559.0"/>
        <n v="1561.0"/>
        <n v="1574.0"/>
        <n v="1580.0"/>
        <n v="1590.0"/>
        <n v="1593.0"/>
        <n v="1595.0"/>
        <n v="1602.0"/>
        <n v="1603.0"/>
        <n v="1606.0"/>
        <n v="1607.0"/>
        <n v="1609.0"/>
        <n v="1614.0"/>
        <n v="1618.0"/>
        <n v="1620.0"/>
        <n v="1623.0"/>
        <n v="1625.0"/>
        <n v="1627.0"/>
        <n v="1632.0"/>
        <n v="1633.0"/>
        <n v="1634.0"/>
        <n v="1636.0"/>
        <n v="1639.0"/>
        <n v="1644.0"/>
        <n v="1646.0"/>
        <n v="1648.0"/>
        <n v="1649.0"/>
        <n v="1650.0"/>
        <n v="1653.0"/>
        <n v="1665.0"/>
        <n v="1670.0"/>
        <n v="1671.0"/>
        <n v="1672.0"/>
        <n v="1679.0"/>
        <n v="1680.0"/>
        <n v="1682.0"/>
        <n v="1683.0"/>
        <n v="1686.0"/>
        <n v="1689.0"/>
        <n v="1690.0"/>
        <n v="1692.0"/>
        <n v="1693.0"/>
        <n v="1697.0"/>
        <n v="1699.0"/>
        <n v="1702.0"/>
        <n v="1708.0"/>
        <n v="1709.0"/>
        <n v="1711.0"/>
        <n v="1712.0"/>
        <n v="1713.0"/>
        <n v="1718.0"/>
        <n v="1719.0"/>
        <n v="1721.0"/>
        <n v="1723.0"/>
        <n v="1725.0"/>
        <n v="1727.0"/>
        <n v="1728.0"/>
        <n v="1730.0"/>
        <n v="1733.0"/>
        <n v="1734.0"/>
        <n v="1735.0"/>
        <n v="1737.0"/>
        <n v="1738.0"/>
        <n v="1739.0"/>
        <n v="1743.0"/>
        <n v="1745.0"/>
        <n v="1748.0"/>
        <n v="1749.0"/>
        <n v="1754.0"/>
        <n v="1764.0"/>
        <n v="1765.0"/>
        <n v="1767.0"/>
        <n v="1771.0"/>
        <n v="1775.0"/>
        <n v="1776.0"/>
        <n v="1777.0"/>
        <n v="1778.0"/>
        <n v="1781.0"/>
        <n v="1782.0"/>
        <n v="1788.0"/>
        <n v="1793.0"/>
        <n v="1802.0"/>
        <n v="1808.0"/>
        <n v="1814.0"/>
        <n v="1815.0"/>
        <n v="1816.0"/>
        <n v="1818.0"/>
        <n v="1821.0"/>
        <n v="1826.0"/>
        <n v="1827.0"/>
        <n v="1828.0"/>
        <n v="1829.0"/>
        <n v="1836.0"/>
        <n v="1837.0"/>
        <n v="1840.0"/>
        <n v="1849.0"/>
        <n v="1852.0"/>
        <n v="1854.0"/>
        <n v="1860.0"/>
        <n v="1869.0"/>
        <n v="1873.0"/>
        <n v="1875.0"/>
        <n v="1882.0"/>
        <n v="1885.0"/>
        <n v="1889.0"/>
        <n v="1891.0"/>
        <n v="1893.0"/>
        <n v="1894.0"/>
        <n v="1906.0"/>
        <n v="1907.0"/>
        <n v="1910.0"/>
        <n v="1916.0"/>
        <n v="1917.0"/>
        <n v="1918.0"/>
        <n v="1919.0"/>
        <n v="1927.0"/>
        <n v="1928.0"/>
        <n v="1933.0"/>
        <n v="1934.0"/>
        <n v="1935.0"/>
        <n v="1938.0"/>
        <n v="1940.0"/>
        <n v="1946.0"/>
        <n v="1949.0"/>
        <n v="1950.0"/>
        <n v="1956.0"/>
        <n v="1957.0"/>
        <n v="1958.0"/>
        <n v="1959.0"/>
        <n v="1962.0"/>
        <n v="1967.0"/>
        <n v="1971.0"/>
        <n v="1972.0"/>
        <n v="1974.0"/>
        <n v="1976.0"/>
        <n v="1979.0"/>
        <n v="1984.0"/>
        <n v="1986.0"/>
        <n v="1988.0"/>
        <n v="1989.0"/>
        <n v="1991.0"/>
        <n v="1997.0"/>
        <n v="1998.0"/>
        <n v="2004.0"/>
        <n v="2006.0"/>
        <n v="2016.0"/>
        <n v="2014.0"/>
        <n v="2020.0"/>
        <n v="2030.0"/>
        <n v="2035.0"/>
        <n v="2037.0"/>
        <n v="2038.0"/>
        <n v="2044.0"/>
        <n v="2046.0"/>
        <n v="2049.0"/>
        <n v="2052.0"/>
        <n v="2058.0"/>
        <n v="2059.0"/>
        <n v="2061.0"/>
        <n v="2062.0"/>
        <n v="2063.0"/>
        <n v="2066.0"/>
        <n v="2069.0"/>
        <n v="2070.0"/>
        <n v="2071.0"/>
        <n v="2072.0"/>
        <n v="2073.0"/>
        <n v="2081.0"/>
        <n v="2089.0"/>
        <n v="2094.0"/>
        <n v="2097.0"/>
        <n v="2098.0"/>
        <n v="2099.0"/>
        <n v="2107.0"/>
        <n v="2108.0"/>
        <n v="2114.0"/>
        <n v="2115.0"/>
        <n v="2117.0"/>
        <n v="2122.0"/>
        <n v="2124.0"/>
        <n v="2127.0"/>
        <n v="2131.0"/>
        <n v="2132.0"/>
        <n v="2135.0"/>
        <n v="2137.0"/>
        <n v="2139.0"/>
        <n v="2141.0"/>
        <n v="2143.0"/>
        <n v="2145.0"/>
        <n v="2146.0"/>
        <n v="2151.0"/>
        <n v="2157.0"/>
        <n v="2159.0"/>
        <n v="2162.0"/>
        <n v="2164.0"/>
        <n v="2165.0"/>
        <n v="2178.0"/>
        <n v="2183.0"/>
        <n v="2187.0"/>
        <n v="2189.0"/>
        <n v="2190.0"/>
        <n v="2193.0"/>
        <n v="2196.0"/>
        <n v="2197.0"/>
        <n v="2198.0"/>
        <n v="2201.0"/>
        <n v="2202.0"/>
        <n v="2203.0"/>
        <n v="2204.0"/>
        <n v="2206.0"/>
        <n v="2209.0"/>
        <n v="2211.0"/>
        <n v="2212.0"/>
        <n v="2215.0"/>
        <n v="2216.0"/>
        <n v="2220.0"/>
        <n v="2225.0"/>
        <n v="2240.0"/>
        <n v="2250.0"/>
        <n v="2254.0"/>
        <n v="2256.0"/>
        <n v="2257.0"/>
        <n v="2258.0"/>
        <n v="2260.0"/>
        <n v="2264.0"/>
        <n v="2265.0"/>
        <n v="2266.0"/>
        <n v="2268.0"/>
        <n v="2270.0"/>
        <n v="2272.0"/>
        <n v="2273.0"/>
        <n v="2274.0"/>
        <n v="2276.0"/>
        <n v="2279.0"/>
        <n v="2281.0"/>
        <n v="2282.0"/>
        <n v="2283.0"/>
        <n v="2285.0"/>
        <n v="2286.0"/>
        <n v="2287.0"/>
        <n v="2289.0"/>
        <n v="2290.0"/>
        <n v="2302.0"/>
        <n v="2303.0"/>
        <n v="2305.0"/>
        <n v="2308.0"/>
        <n v="2323.0"/>
        <n v="2330.0"/>
        <n v="2333.0"/>
        <n v="2334.0"/>
        <n v="2338.0"/>
        <n v="2339.0"/>
        <n v="2345.0"/>
        <n v="2346.0"/>
        <n v="2351.0"/>
        <n v="2352.0"/>
        <n v="2353.0"/>
        <n v="2355.0"/>
        <n v="2356.0"/>
        <n v="2358.0"/>
        <n v="2359.0"/>
        <n v="2361.0"/>
        <n v="2363.0"/>
        <n v="2369.0"/>
        <n v="2372.0"/>
        <n v="2376.0"/>
        <n v="2379.0"/>
        <n v="2380.0"/>
        <n v="2382.0"/>
        <n v="2385.0"/>
        <n v="2391.0"/>
        <n v="2393.0"/>
        <n v="2394.0"/>
        <n v="2395.0"/>
        <n v="2398.0"/>
        <n v="2417.0"/>
        <n v="2418.0"/>
        <n v="2419.0"/>
        <n v="2420.0"/>
        <n v="2422.0"/>
        <n v="2423.0"/>
        <n v="2426.0"/>
        <n v="2427.0"/>
        <n v="2430.0"/>
        <n v="2431.0"/>
        <n v="2432.0"/>
        <n v="2433.0"/>
        <n v="2437.0"/>
        <n v="2441.0"/>
        <n v="2442.0"/>
        <n v="2443.0"/>
        <n v="2448.0"/>
        <n v="2450.0"/>
        <n v="2454.0"/>
        <n v="2456.0"/>
        <n v="2457.0"/>
        <n v="2458.0"/>
        <n v="2460.0"/>
        <n v="2464.0"/>
        <n v="2466.0"/>
        <n v="2468.0"/>
        <n v="2472.0"/>
        <n v="2481.0"/>
        <n v="2484.0"/>
        <n v="2486.0"/>
        <n v="2487.0"/>
        <n v="2488.0"/>
        <n v="2489.0"/>
        <n v="2490.0"/>
        <n v="2491.0"/>
        <n v="2495.0"/>
        <n v="2498.0"/>
        <n v="2499.0"/>
        <n v="2500.0"/>
        <n v="2502.0"/>
        <n v="2506.0"/>
        <n v="2507.0"/>
        <n v="2508.0"/>
        <n v="2509.0"/>
        <n v="2512.0"/>
        <n v="2516.0"/>
        <n v="2520.0"/>
        <n v="2521.0"/>
        <n v="2522.0"/>
        <n v="2526.0"/>
        <n v="2527.0"/>
        <n v="2530.0"/>
        <n v="2531.0"/>
        <n v="2534.0"/>
        <n v="2539.0"/>
        <n v="2540.0"/>
        <n v="2543.0"/>
        <n v="2545.0"/>
        <n v="2547.0"/>
        <n v="2548.0"/>
        <n v="2549.0"/>
        <n v="2551.0"/>
        <n v="2553.0"/>
        <n v="2555.0"/>
        <n v="2561.0"/>
        <n v="2563.0"/>
        <n v="2570.0"/>
        <n v="2571.0"/>
        <n v="2578.0"/>
        <n v="2579.0"/>
        <n v="2583.0"/>
        <n v="2584.0"/>
        <n v="2587.0"/>
        <n v="2593.0"/>
        <n v="2601.0"/>
        <n v="2603.0"/>
        <n v="2604.0"/>
        <n v="2610.0"/>
        <n v="2613.0"/>
        <n v="2616.0"/>
        <n v="2617.0"/>
        <n v="2618.0"/>
        <n v="2619.0"/>
        <n v="2620.0"/>
        <n v="2621.0"/>
        <n v="2626.0"/>
        <n v="2628.0"/>
        <n v="2630.0"/>
        <n v="2638.0"/>
        <n v="2639.0"/>
        <n v="2647.0"/>
        <n v="2649.0"/>
        <n v="2650.0"/>
        <n v="2652.0"/>
        <n v="2653.0"/>
        <n v="2655.0"/>
        <n v="2660.0"/>
        <n v="2667.0"/>
        <n v="2668.0"/>
        <n v="2670.0"/>
        <n v="2671.0"/>
        <n v="2677.0"/>
        <n v="2684.0"/>
        <n v="2685.0"/>
        <n v="2689.0"/>
        <n v="2693.0"/>
        <n v="2696.0"/>
        <n v="2697.0"/>
        <n v="2699.0"/>
        <n v="2704.0"/>
        <n v="2709.0"/>
        <n v="2713.0"/>
        <n v="2715.0"/>
        <n v="2718.0"/>
        <n v="2720.0"/>
        <n v="2724.0"/>
        <n v="2725.0"/>
        <n v="2729.0"/>
        <n v="2737.0"/>
        <n v="2738.0"/>
        <n v="2741.0"/>
        <n v="2745.0"/>
        <n v="2747.0"/>
        <n v="2750.0"/>
        <n v="2760.0"/>
        <n v="2764.0"/>
        <n v="2765.0"/>
        <n v="2770.0"/>
        <n v="2771.0"/>
        <n v="2773.0"/>
        <n v="2775.0"/>
        <n v="2776.0"/>
        <n v="2778.0"/>
        <n v="2779.0"/>
        <n v="2781.0"/>
        <n v="2787.0"/>
        <n v="2791.0"/>
        <n v="2794.0"/>
        <n v="2795.0"/>
        <n v="2796.0"/>
        <n v="2797.0"/>
        <n v="2801.0"/>
        <n v="2803.0"/>
        <n v="2813.0"/>
        <n v="2817.0"/>
        <n v="2820.0"/>
        <n v="2823.0"/>
        <n v="2825.0"/>
        <n v="2828.0"/>
        <n v="2833.0"/>
        <n v="2837.0"/>
        <n v="2840.0"/>
        <n v="2847.0"/>
        <n v="2848.0"/>
        <n v="2851.0"/>
        <n v="2855.0"/>
        <n v="2858.0"/>
        <n v="2859.0"/>
        <n v="2861.0"/>
        <n v="2862.0"/>
        <n v="2865.0"/>
        <n v="2867.0"/>
        <n v="2868.0"/>
        <n v="2873.0"/>
        <n v="2874.0"/>
        <n v="2877.0"/>
        <n v="2878.0"/>
        <n v="2880.0"/>
        <n v="2882.0"/>
        <n v="2883.0"/>
        <n v="2884.0"/>
        <n v="2885.0"/>
        <n v="2886.0"/>
        <n v="2892.0"/>
        <n v="2893.0"/>
        <n v="2896.0"/>
        <n v="2897.0"/>
        <n v="2903.0"/>
        <n v="2908.0"/>
        <n v="2912.0"/>
        <n v="2920.0"/>
        <n v="2923.0"/>
        <n v="2924.0"/>
        <n v="2928.0"/>
        <n v="2931.0"/>
        <n v="2932.0"/>
        <n v="2935.0"/>
        <n v="2938.0"/>
        <n v="2941.0"/>
        <n v="2944.0"/>
        <n v="2947.0"/>
        <n v="2951.0"/>
        <n v="2952.0"/>
        <n v="2954.0"/>
        <n v="2957.0"/>
        <n v="2958.0"/>
        <n v="2960.0"/>
        <n v="2962.0"/>
        <n v="2963.0"/>
        <n v="2964.0"/>
        <n v="2968.0"/>
        <n v="2973.0"/>
        <n v="2976.0"/>
        <n v="2979.0"/>
        <n v="2980.0"/>
        <n v="2987.0"/>
        <n v="2991.0"/>
        <n v="2992.0"/>
        <n v="2999.0"/>
        <n v="3000.0"/>
        <n v="3001.0"/>
        <n v="3003.0"/>
        <n v="3004.0"/>
        <n v="3005.0"/>
        <n v="3006.0"/>
        <n v="3008.0"/>
        <n v="3011.0"/>
        <n v="3012.0"/>
        <n v="3017.0"/>
        <n v="3035.0"/>
        <n v="3036.0"/>
        <n v="3041.0"/>
        <n v="3042.0"/>
        <n v="3045.0"/>
        <n v="3046.0"/>
        <n v="3048.0"/>
        <n v="3053.0"/>
        <n v="3063.0"/>
        <n v="3064.0"/>
        <n v="3067.0"/>
        <n v="3069.0"/>
        <n v="3075.0"/>
        <n v="3076.0"/>
        <n v="3077.0"/>
        <n v="3078.0"/>
        <n v="3079.0"/>
        <n v="3084.0"/>
        <n v="3086.0"/>
        <n v="3089.0"/>
        <n v="3095.0"/>
        <n v="3096.0"/>
        <n v="3098.0"/>
        <n v="3100.0"/>
        <n v="3105.0"/>
        <n v="3106.0"/>
        <n v="3113.0"/>
        <n v="3119.0"/>
        <n v="3120.0"/>
        <n v="3123.0"/>
        <n v="3124.0"/>
        <n v="3125.0"/>
        <n v="3128.0"/>
        <n v="3132.0"/>
        <n v="3133.0"/>
        <n v="3136.0"/>
        <n v="3137.0"/>
        <n v="3138.0"/>
        <n v="3139.0"/>
        <n v="3141.0"/>
        <n v="3143.0"/>
        <n v="3146.0"/>
        <n v="3148.0"/>
        <n v="3149.0"/>
        <n v="3151.0"/>
        <n v="3154.0"/>
        <n v="3155.0"/>
        <n v="3167.0"/>
        <n v="3169.0"/>
        <n v="3170.0"/>
        <n v="3176.0"/>
        <n v="3177.0"/>
        <n v="3179.0"/>
        <n v="3187.0"/>
        <n v="3191.0"/>
        <n v="3194.0"/>
        <n v="3196.0"/>
        <n v="3197.0"/>
        <n v="3205.0"/>
        <n v="3206.0"/>
        <n v="3209.0"/>
        <n v="3211.0"/>
        <n v="3221.0"/>
        <n v="3222.0"/>
        <n v="3224.0"/>
        <n v="3225.0"/>
        <n v="3226.0"/>
        <n v="3229.0"/>
        <n v="3230.0"/>
        <n v="3238.0"/>
        <n v="3243.0"/>
        <n v="3246.0"/>
        <n v="3248.0"/>
        <n v="3249.0"/>
        <n v="3251.0"/>
        <n v="3252.0"/>
        <n v="3255.0"/>
        <n v="3257.0"/>
        <n v="3258.0"/>
        <n v="3261.0"/>
        <n v="3264.0"/>
        <n v="3266.0"/>
        <n v="3269.0"/>
        <n v="3275.0"/>
        <n v="3279.0"/>
        <n v="3283.0"/>
        <n v="3284.0"/>
        <n v="3285.0"/>
        <n v="3287.0"/>
        <n v="3303.0"/>
        <n v="3306.0"/>
        <n v="3307.0"/>
        <n v="3309.0"/>
        <n v="3310.0"/>
        <n v="3311.0"/>
        <n v="3314.0"/>
        <n v="3319.0"/>
        <n v="3320.0"/>
        <n v="3324.0"/>
        <n v="3325.0"/>
        <n v="3327.0"/>
        <n v="3331.0"/>
        <n v="3338.0"/>
        <n v="3339.0"/>
        <n v="3340.0"/>
        <n v="3342.0"/>
        <n v="3344.0"/>
        <n v="3347.0"/>
        <n v="3350.0"/>
        <n v="3351.0"/>
        <n v="3354.0"/>
        <n v="3355.0"/>
        <n v="3356.0"/>
        <n v="3359.0"/>
        <n v="3360.0"/>
        <n v="3361.0"/>
        <n v="3366.0"/>
        <n v="3367.0"/>
        <n v="3369.0"/>
        <n v="3374.0"/>
        <n v="3379.0"/>
        <n v="3380.0"/>
        <n v="3381.0"/>
        <n v="3385.0"/>
        <n v="3386.0"/>
        <n v="3388.0"/>
        <n v="3393.0"/>
        <n v="3397.0"/>
        <n v="3399.0"/>
        <n v="3400.0"/>
        <n v="3403.0"/>
      </sharedItems>
    </cacheField>
    <cacheField name="Customer Name" numFmtId="0">
      <sharedItems>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Customer Segment" numFmtId="0">
      <sharedItems>
        <s v="Corporate"/>
        <s v="Home Office"/>
        <s v="Small Business"/>
        <s v="Consumer"/>
      </sharedItems>
    </cacheField>
    <cacheField name="Product Category" numFmtId="0">
      <sharedItems>
        <s v="Office Supplies"/>
        <s v="Furniture"/>
        <s v="Technology"/>
      </sharedItems>
    </cacheField>
    <cacheField name="Product Sub-Category" numFmtId="0">
      <sharedItems>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Name">
      <sharedItems containsMixedTypes="1" containsNumber="1" containsInteger="1">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n v="6160.0"/>
        <s v="Okidata Pacemark 4410N Wide Format Dot Matrix Printer"/>
        <s v="Xerox 1903"/>
        <s v="Durable Pressboard Binders"/>
        <s v="Newell 310"/>
        <s v="Xerox 193"/>
        <s v="Snap-A-Way® Black Print Carbonless Speed Message, No Reply Area, Duplicate"/>
        <s v="Avery 501"/>
        <n v="5165.0"/>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n v="2180.0"/>
        <s v="REDIFORM Incoming/Outgoing Call Register, 11&quot; X 8 1/2&quot;, 100 Messages"/>
        <s v="Xerox 1897"/>
        <s v="Acme® 8&quot; Straight Scissors"/>
        <s v="Office Star - Mid Back Dual function Ergonomic High Back Chair with 2-Way Adjustable Arms"/>
        <s v="Belkin 107-key enhanced keyboard, USB/PS/2 interface"/>
        <n v="5185.0"/>
        <s v="Belkin 105-Key Black Keyboard"/>
        <s v="Atlantic Metals Mobile 5-Shelf Bookcases, Custom Colors"/>
        <s v="Avery Durable Binders"/>
        <s v="Dixon Prang® Watercolor Pencils, 10-Color Set with Brush"/>
        <s v="EcoTones® Memo Sheets"/>
        <s v="Fuji Slim Jewel Case CD-R"/>
        <s v="Avery 51"/>
        <n v="6185.0"/>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n v="252.0"/>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n v="8860.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n v="2160.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n v="6120.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n v="232.0"/>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n v="5180.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n v="5125.0"/>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n v="3390.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n v="636.0"/>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n v="8890.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n v="688.0"/>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n v="282.0"/>
        <s v="Fellowes Strictly Business® Drawer File, Letter/Legal Size"/>
        <s v="Gyration Ultra Cordless Optical Suite"/>
        <s v="Boston 1799 Powerhouse™ Electric Pencil Sharpener"/>
        <s v="Tensor Computer Mounted Lamp"/>
        <n v="3285.0"/>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n v="7160.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n v="6162.0"/>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n v="2190.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City" numFmtId="0">
      <sharedItems>
        <s v="Warsaw"/>
        <s v="Lodz"/>
        <s v="Krakow"/>
        <s v="Wroclaw"/>
      </sharedItems>
    </cacheField>
    <cacheField name="Order Weekday" numFmtId="49">
      <sharedItems>
        <s v="Wednesday"/>
        <s v="Saturday"/>
        <s v="Sunday"/>
        <s v="Tuesday"/>
        <s v="Thursday"/>
        <s v="Friday"/>
        <s v="Monday"/>
      </sharedItems>
    </cacheField>
    <cacheField name="Weekday helper" numFmtId="4">
      <sharedItems containsSemiMixedTypes="0" containsString="0" containsNumber="1" containsInteger="1">
        <n v="3.0"/>
        <n v="6.0"/>
        <n v="7.0"/>
        <n v="2.0"/>
        <n v="4.0"/>
        <n v="5.0"/>
        <n v="1.0"/>
      </sharedItems>
    </cacheField>
    <cacheField name="Profit" numFmtId="0">
      <sharedItems containsSemiMixedTypes="0" containsString="0" containsNumber="1">
        <n v="4.56"/>
        <n v="4390.3665"/>
        <n v="-53.8096"/>
        <n v="803.4705"/>
        <n v="-24.03"/>
        <n v="-37.03"/>
        <n v="-0.71"/>
        <n v="-59.82"/>
        <n v="261.8757"/>
        <n v="2.63"/>
        <n v="652.7331"/>
        <n v="314.4813"/>
        <n v="-114.6399"/>
        <n v="384.38"/>
        <n v="-17.49"/>
        <n v="-28.2968"/>
        <n v="-5.3072"/>
        <n v="8.894"/>
        <n v="144.69"/>
        <n v="-35.8788"/>
        <n v="209.997"/>
        <n v="3568.096"/>
        <n v="-84.4376"/>
        <n v="24.312"/>
        <n v="25.91382"/>
        <n v="162.666"/>
        <n v="-6923.5992"/>
        <n v="-67.49"/>
        <n v="19.6282"/>
        <n v="-1.6524"/>
        <n v="2.14"/>
        <n v="349.4091"/>
        <n v="-37.5291"/>
        <n v="101.49"/>
        <n v="845.664"/>
        <n v="-308.928"/>
        <n v="-1679.76"/>
        <n v="575.396"/>
        <n v="-2426.55"/>
        <n v="-715.778206"/>
        <n v="-144.56"/>
        <n v="7402.32"/>
        <n v="1892.424"/>
        <n v="28.8558"/>
        <n v="173.48"/>
        <n v="117.852"/>
        <n v="34.0104"/>
        <n v="2031.507"/>
        <n v="-190.68"/>
        <n v="325.398"/>
        <n v="22.818"/>
        <n v="116.1"/>
        <n v="-87.96"/>
        <n v="255.42"/>
        <n v="685.6146"/>
        <n v="-16.2"/>
        <n v="2023.75"/>
        <n v="-20.25"/>
        <n v="-3.381"/>
        <n v="1684.4763"/>
        <n v="-2.7048"/>
        <n v="18.658"/>
        <n v="40.2477"/>
        <n v="14.0898"/>
        <n v="-55.84"/>
        <n v="9.82"/>
        <n v="112.06"/>
        <n v="16.79"/>
        <n v="41.2965"/>
        <n v="1179.0237"/>
        <n v="105.678"/>
        <n v="-37.39"/>
        <n v="149.8887"/>
        <n v="3.04"/>
        <n v="2.706"/>
        <n v="91.956"/>
        <n v="-2.544"/>
        <n v="2.4852"/>
        <n v="-634.7341"/>
        <n v="133.5771"/>
        <n v="251.4084"/>
        <n v="-20.258"/>
        <n v="13.896"/>
        <n v="-172.718"/>
        <n v="-40.684"/>
        <n v="97.86"/>
        <n v="360.24"/>
        <n v="713.88"/>
        <n v="-18.64"/>
        <n v="-111.4"/>
        <n v="-77.03"/>
        <n v="28.5141"/>
        <n v="280.27458"/>
        <n v="-112.4263"/>
        <n v="24.924"/>
        <n v="-2.9095"/>
        <n v="-76.89"/>
        <n v="-35.75"/>
        <n v="152.6556"/>
        <n v="7.15"/>
        <n v="113.6499"/>
        <n v="-35.4744"/>
        <n v="14.467"/>
        <n v="-99.9864"/>
        <n v="1348.59672"/>
        <n v="-560.81418"/>
        <n v="-66.0445"/>
        <n v="-105.6852"/>
        <n v="15.66"/>
        <n v="1167.158"/>
        <n v="1014.92"/>
        <n v="1.73"/>
        <n v="-133.7"/>
        <n v="-66.62"/>
        <n v="-21.48775"/>
        <n v="44.6775"/>
        <n v="23.595"/>
        <n v="7.59"/>
        <n v="-107.987"/>
        <n v="-36.25"/>
        <n v="-102.5121"/>
        <n v="36.354"/>
        <n v="-243.2365"/>
        <n v="-53.62"/>
        <n v="1103.9724"/>
        <n v="136.3371"/>
        <n v="-12.46"/>
        <n v="-175.86"/>
        <n v="3294.8259"/>
        <n v="35.09"/>
        <n v="785.63"/>
        <n v="-256.519"/>
        <n v="398.358"/>
        <n v="-101.192"/>
        <n v="-3.332"/>
        <n v="-145.082"/>
        <n v="1.108"/>
        <n v="1061.379"/>
        <n v="-53.745"/>
        <n v="0.684"/>
        <n v="-127.008"/>
        <n v="5.7532"/>
        <n v="-2177.986096"/>
        <n v="326.25"/>
        <n v="8.932"/>
        <n v="229.638"/>
        <n v="-22.48"/>
        <n v="78.98"/>
        <n v="144.2928"/>
        <n v="888.1473"/>
        <n v="-46.005"/>
        <n v="128.0253"/>
        <n v="-29.8984"/>
        <n v="52.9166"/>
        <n v="72.1858"/>
        <n v="-122.3733"/>
        <n v="-51.75"/>
        <n v="-1.0"/>
        <n v="-221.254"/>
        <n v="-11.57"/>
        <n v="-61.87"/>
        <n v="-530.24"/>
        <n v="132.687"/>
        <n v="496.89"/>
        <n v="-135.16"/>
        <n v="15.8952"/>
        <n v="855.9933"/>
        <n v="10.74"/>
        <n v="-1759.58"/>
        <n v="-72.23"/>
        <n v="-27.16"/>
        <n v="-52.344"/>
        <n v="-119.936"/>
        <n v="9.9268"/>
        <n v="-29.172"/>
        <n v="-22.82"/>
        <n v="2639.4708"/>
        <n v="-5.2"/>
        <n v="-83.65"/>
        <n v="24.39"/>
        <n v="-4.6683"/>
        <n v="11.65095"/>
        <n v="0.702"/>
        <n v="5.8625"/>
        <n v="1916.6757"/>
        <n v="10.5"/>
        <n v="993.8346"/>
        <n v="-165.45"/>
        <n v="-141.12"/>
        <n v="1074.44"/>
        <n v="-627.82192"/>
        <n v="411.5172"/>
        <n v="211.232"/>
        <n v="49.788"/>
        <n v="-132.6295"/>
        <n v="-163.63"/>
        <n v="-63.87"/>
        <n v="-175.175"/>
        <n v="-224.9478"/>
        <n v="196.8"/>
        <n v="250.0376"/>
        <n v="-539.59"/>
        <n v="-82.823"/>
        <n v="107.082"/>
        <n v="-27.28375"/>
        <n v="-51.5592"/>
        <n v="-263.56572"/>
        <n v="1273.2087"/>
        <n v="-159.68"/>
        <n v="27.91"/>
        <n v="-81.77"/>
        <n v="-19.208"/>
        <n v="7.44"/>
        <n v="-372.485971"/>
        <n v="1372.6308"/>
        <n v="50.2044"/>
        <n v="236.2371"/>
        <n v="943.0"/>
        <n v="-2531.4825"/>
        <n v="163.1574"/>
        <n v="-302.225"/>
        <n v="90.62"/>
        <n v="427.1184"/>
        <n v="86.438"/>
        <n v="-4.46"/>
        <n v="-512.872"/>
        <n v="-3.784"/>
        <n v="-82.904"/>
        <n v="1268.8065"/>
        <n v="-53.2962"/>
        <n v="299.6739"/>
        <n v="-15.456"/>
        <n v="16.0494"/>
        <n v="-235.895"/>
        <n v="-41.32"/>
        <n v="7.9"/>
        <n v="521.69"/>
        <n v="496.7968"/>
        <n v="-556.8096"/>
        <n v="-27.7388"/>
        <n v="-128.6872"/>
        <n v="23.2028"/>
        <n v="-568.5351"/>
        <n v="-427.47"/>
        <n v="-18.19"/>
        <n v="-24.05754"/>
        <n v="2583.56148"/>
        <n v="6.0513"/>
        <n v="-67.0565"/>
        <n v="-7.94"/>
        <n v="122.292"/>
        <n v="-2.12"/>
        <n v="-69.07"/>
        <n v="2028.12"/>
        <n v="-63.51"/>
        <n v="-92.05"/>
        <n v="6.11"/>
        <n v="-36.63"/>
        <n v="-35.9164"/>
        <n v="3042.18"/>
        <n v="-31.755"/>
        <n v="171.8388"/>
        <n v="32.9409"/>
        <n v="131.334"/>
        <n v="-282.0818"/>
        <n v="140.1354"/>
        <n v="105.2526"/>
        <n v="-29.0927"/>
        <n v="113.415"/>
        <n v="26.1"/>
        <n v="-2.58"/>
        <n v="2800.12"/>
        <n v="363.552"/>
        <n v="-11.536"/>
        <n v="-6.612"/>
        <n v="-15.5595"/>
        <n v="-108.19"/>
        <n v="46.488"/>
        <n v="159.5297"/>
        <n v="15.3714"/>
        <n v="5924.1123"/>
        <n v="39.5853"/>
        <n v="-66.378"/>
        <n v="-33.34"/>
        <n v="-201.276"/>
        <n v="4637.4072"/>
        <n v="-239.5415"/>
        <n v="21.5142"/>
        <n v="34.068"/>
        <n v="4073.25"/>
        <n v="-179.592"/>
        <n v="-500.38"/>
        <n v="6028.41"/>
        <n v="-161.6328"/>
        <n v="-250.19"/>
        <n v="46.1472"/>
        <n v="-1116.3348"/>
        <n v="1141.794"/>
        <n v="-99.568"/>
        <n v="224.8506"/>
        <n v="-122.133"/>
        <n v="-12.1555"/>
        <n v="-269.0844"/>
        <n v="-566.0"/>
        <n v="293.14"/>
        <n v="-6.61"/>
        <n v="-57.541"/>
        <n v="-266.22"/>
        <n v="-67.59"/>
        <n v="-239.8656"/>
        <n v="-53.444"/>
        <n v="-22.12"/>
        <n v="484.8492"/>
        <n v="18.0"/>
        <n v="15.2745"/>
        <n v="26.5857"/>
        <n v="-575.352"/>
        <n v="-51.635"/>
        <n v="-75.44"/>
        <n v="-120.934"/>
        <n v="-1763.7477"/>
        <n v="-15.0995"/>
        <n v="23.5428"/>
        <n v="-276.1128"/>
        <n v="-78.13"/>
        <n v="-64.67094"/>
        <n v="-11.1132"/>
        <n v="107.02"/>
        <n v="18.42"/>
        <n v="349.47"/>
        <n v="-226.3464"/>
        <n v="-281.17584"/>
        <n v="6610.2"/>
        <n v="-103.7124"/>
        <n v="-124.2864"/>
        <n v="-229.68"/>
        <n v="288.09"/>
        <n v="719.4768"/>
        <n v="1192.04"/>
        <n v="1030.509"/>
        <n v="261.444"/>
        <n v="-10.36"/>
        <n v="106.7499"/>
        <n v="-246.92616"/>
        <n v="4233.2588"/>
        <n v="102.7686"/>
        <n v="-36.671544"/>
        <n v="20.6448"/>
        <n v="-24.2048"/>
        <n v="-126.05778"/>
        <n v="10.802"/>
        <n v="-678.496"/>
        <n v="90.762"/>
        <n v="-352.814"/>
        <n v="70.028"/>
        <n v="-124.2805"/>
        <n v="40.4823"/>
        <n v="32.86"/>
        <n v="-187.222"/>
        <n v="9.59"/>
        <n v="-655.424"/>
        <n v="-7.58"/>
        <n v="-109.704"/>
        <n v="-19.93"/>
        <n v="4568.6073"/>
        <n v="-258.225"/>
        <n v="38.06"/>
        <n v="-207.28"/>
        <n v="-12.719"/>
        <n v="-51.42"/>
        <n v="-88.6"/>
        <n v="2568.4629"/>
        <n v="9.486"/>
        <n v="-263.65"/>
        <n v="890.181"/>
        <n v="6095.8602"/>
        <n v="-82.83"/>
        <n v="25.04"/>
        <n v="-580.32"/>
        <n v="928.9608"/>
        <n v="-131.6172"/>
        <n v="930.987"/>
        <n v="-253.11"/>
        <n v="-16.67"/>
        <n v="40.2"/>
        <n v="3.21"/>
        <n v="38.7"/>
        <n v="-21.91"/>
        <n v="-119.77"/>
        <n v="-168.72"/>
        <n v="-439.62"/>
        <n v="15.42"/>
        <n v="33.924"/>
        <n v="46.44"/>
        <n v="-17.528"/>
        <n v="-95.816"/>
        <n v="3.852"/>
        <n v="71.7356"/>
        <n v="-79.3208"/>
        <n v="24.096"/>
        <n v="6.972"/>
        <n v="-24.246"/>
        <n v="-605.374"/>
        <n v="-99.55"/>
        <n v="-801.1548"/>
        <n v="797.856"/>
        <n v="422.4525"/>
        <n v="-178.216"/>
        <n v="-26.656"/>
        <n v="-54.622"/>
        <n v="-126.81418"/>
        <n v="1400.1"/>
        <n v="916.6806"/>
        <n v="67.6"/>
        <n v="-224.644"/>
        <n v="14.76"/>
        <n v="10.85"/>
        <n v="97.6626"/>
        <n v="-453.2"/>
        <n v="-207.679788"/>
        <n v="-7.5244"/>
        <n v="-92.961"/>
        <n v="613.89576"/>
        <n v="232.2816"/>
        <n v="-45.07"/>
        <n v="-8.53"/>
        <n v="285.95"/>
        <n v="-209.25"/>
        <n v="-9.1636"/>
        <n v="12.706"/>
        <n v="7.71516"/>
        <n v="192.5169"/>
        <n v="-134.912"/>
        <n v="-5.05"/>
        <n v="-204.16"/>
        <n v="-46.115"/>
        <n v="-20.104"/>
        <n v="-3.496"/>
        <n v="-717.072"/>
        <n v="-62.23"/>
        <n v="131.382"/>
        <n v="-89.292"/>
        <n v="-211.036"/>
        <n v="-13.28"/>
        <n v="-48.68"/>
        <n v="-184.548"/>
        <n v="1220.03784"/>
        <n v="-2.87"/>
        <n v="4.3809"/>
        <n v="-100.744"/>
        <n v="3.384"/>
        <n v="0.346"/>
        <n v="-17.654"/>
        <n v="-13.826"/>
        <n v="-203.67"/>
        <n v="19.57"/>
        <n v="98.12"/>
        <n v="107.11"/>
        <n v="-216.154"/>
        <n v="-6.6096"/>
        <n v="-89.217"/>
        <n v="1.2236"/>
        <n v="4.3148"/>
        <n v="-125.83296"/>
        <n v="122.21"/>
        <n v="-11.1332"/>
        <n v="201.7353"/>
        <n v="-684.78"/>
        <n v="-237.47"/>
        <n v="-2946.051"/>
        <n v="21.5556"/>
        <n v="-239.315"/>
        <n v="-33.31"/>
        <n v="-74.4796"/>
        <n v="-232.22056"/>
        <n v="18.6438"/>
        <n v="-31.24"/>
        <n v="55.888"/>
        <n v="1.3224"/>
        <n v="455.4207"/>
        <n v="29.332"/>
        <n v="-86.0"/>
        <n v="-0.49"/>
        <n v="34.3482"/>
        <n v="-66.65"/>
        <n v="35.955"/>
        <n v="-173.0952"/>
        <n v="-96.16"/>
        <n v="263.4"/>
        <n v="37.31"/>
        <n v="104.7213"/>
        <n v="80.6748"/>
        <n v="114.3165"/>
        <n v="1107.408"/>
        <n v="-149.212"/>
        <n v="-21.018"/>
        <n v="-655.529875"/>
        <n v="354.3288"/>
        <n v="-489.4156"/>
        <n v="35.31"/>
        <n v="187.412"/>
        <n v="-6.34"/>
        <n v="92.7222"/>
        <n v="-160.2755"/>
        <n v="396.972"/>
        <n v="-7.04"/>
        <n v="538.52"/>
        <n v="-4.14"/>
        <n v="-31.885"/>
        <n v="-95.2105"/>
        <n v="-193.58"/>
        <n v="-4.301"/>
        <n v="-1570.32"/>
        <n v="27.23"/>
        <n v="-19.0992"/>
        <n v="373.67"/>
        <n v="-14.80188"/>
        <n v="-2561.3235"/>
        <n v="168.9189"/>
        <n v="-6.2"/>
        <n v="19.0647"/>
        <n v="10.56"/>
        <n v="837.6807"/>
        <n v="-4.2"/>
        <n v="-44.1636"/>
        <n v="-102.662"/>
        <n v="-116.584"/>
        <n v="12.8961"/>
        <n v="-21.3192"/>
        <n v="93.8468"/>
        <n v="17.772"/>
        <n v="-104.57"/>
        <n v="-969.048366"/>
        <n v="4.032"/>
        <n v="-23.6344"/>
        <n v="-71.83"/>
        <n v="-0.74"/>
        <n v="-3.88"/>
        <n v="551.0928"/>
        <n v="17.5053"/>
        <n v="818.546175"/>
        <n v="-17.15"/>
        <n v="-29.54"/>
        <n v="-329.784"/>
        <n v="-2.1"/>
        <n v="829.467"/>
        <n v="111.222"/>
        <n v="22.866"/>
        <n v="115.728"/>
        <n v="909.36"/>
        <n v="-76.4244"/>
        <n v="8.732"/>
        <n v="442.0899"/>
        <n v="455.124"/>
        <n v="624.40164"/>
        <n v="18.922"/>
        <n v="39.3507"/>
        <n v="-229.87"/>
        <n v="329.9787"/>
        <n v="30.49"/>
        <n v="1152.5277"/>
        <n v="-604.406"/>
        <n v="293.66"/>
        <n v="-403.1874"/>
        <n v="-13.77"/>
        <n v="44.9121"/>
        <n v="9.33"/>
        <n v="2593.14"/>
        <n v="1162.76"/>
        <n v="-76.94"/>
        <n v="-40.0088"/>
        <n v="-51.704"/>
        <n v="144.7482"/>
        <n v="-112.189"/>
        <n v="-445.9717763"/>
        <n v="4.1674"/>
        <n v="-335.317125"/>
        <n v="16.0218"/>
        <n v="38.0673"/>
        <n v="-99.43544"/>
        <n v="-97.28"/>
        <n v="139.612"/>
        <n v="-505.76"/>
        <n v="152.4348"/>
        <n v="9.862"/>
        <n v="-232.991"/>
        <n v="-40.2752"/>
        <n v="-53.25"/>
        <n v="-159.25"/>
        <n v="206.517"/>
        <n v="2.125"/>
        <n v="5.884"/>
        <n v="772.04"/>
        <n v="81.91"/>
        <n v="-10.9"/>
        <n v="1232.79"/>
        <n v="2.18"/>
        <n v="67.1075"/>
        <n v="54.9378"/>
        <n v="168.237"/>
        <n v="-169.232"/>
        <n v="1272.5808"/>
        <n v="-5390.738892"/>
        <n v="29.7252"/>
        <n v="-187.11"/>
        <n v="-139.2872"/>
        <n v="108.0"/>
        <n v="377.154"/>
        <n v="-127.052"/>
        <n v="2169.7464"/>
        <n v="-229.93"/>
        <n v="-93.7352"/>
        <n v="4.53"/>
        <n v="9.78"/>
        <n v="-63.8135"/>
        <n v="325.29"/>
        <n v="-116.05"/>
        <n v="117.38"/>
        <n v="-144.2"/>
        <n v="-46.92"/>
        <n v="70.1937"/>
        <n v="-48.2195"/>
        <n v="-115.36"/>
        <n v="2660.1432"/>
        <n v="-51.116"/>
        <n v="1766.7795"/>
        <n v="85.875"/>
        <n v="6.0927"/>
        <n v="20.2996"/>
        <n v="108.5163"/>
        <n v="48.47148"/>
        <n v="-152.76"/>
        <n v="125.2074"/>
        <n v="281.5344"/>
        <n v="64.266"/>
        <n v="-302.6156"/>
        <n v="5.6916"/>
        <n v="-369.11"/>
        <n v="27.0135"/>
        <n v="184.1955"/>
        <n v="4.11"/>
        <n v="28.566"/>
        <n v="2581.5591"/>
        <n v="-25.112"/>
        <n v="17.376"/>
        <n v="24.2604"/>
        <n v="59.4405"/>
        <n v="14.48"/>
        <n v="22.25"/>
        <n v="592.5265"/>
        <n v="232.8"/>
        <n v="38.08"/>
        <n v="-17.03"/>
        <n v="39.627"/>
        <n v="20.496"/>
        <n v="103.83"/>
        <n v="-24.8976"/>
        <n v="776.7744"/>
        <n v="344.544"/>
        <n v="-8.515"/>
        <n v="9.0045"/>
        <n v="-99.7625"/>
        <n v="-3061.82"/>
        <n v="258.6189"/>
        <n v="-6.71"/>
        <n v="-0.01"/>
        <n v="-421.76"/>
        <n v="6.79"/>
        <n v="-60.145"/>
        <n v="-111.72"/>
        <n v="33.01"/>
        <n v="297.45716"/>
        <n v="-564.6024"/>
        <n v="-161.475"/>
        <n v="-0.814"/>
        <n v="790.464"/>
        <n v="7.74"/>
        <n v="3985.3089"/>
        <n v="13.9568"/>
        <n v="788.79"/>
        <n v="-70.14"/>
        <n v="531.618"/>
        <n v="-107.5135"/>
        <n v="46.01"/>
        <n v="1489.8"/>
        <n v="24.8193"/>
        <n v="-255.1689"/>
        <n v="74.0048"/>
        <n v="109.4248"/>
        <n v="421.3485"/>
        <n v="-373.09"/>
        <n v="-3465.072"/>
        <n v="-11.2815"/>
        <n v="-218.77"/>
        <n v="-9.68"/>
        <n v="-164.3952"/>
        <n v="-8.208"/>
        <n v="-2196.684"/>
        <n v="43.538"/>
        <n v="-11.376"/>
        <n v="533.742"/>
        <n v="-379.344"/>
        <n v="-1522.304"/>
        <n v="588.2457"/>
        <n v="151.5654"/>
        <n v="54.9015"/>
        <n v="501.51"/>
        <n v="875.2844"/>
        <n v="727.7361"/>
        <n v="460.676"/>
        <n v="393.42"/>
        <n v="606.0546"/>
        <n v="320.1"/>
        <n v="317.0895"/>
        <n v="250.36272"/>
        <n v="6.0306"/>
        <n v="125.8077"/>
        <n v="44.892"/>
        <n v="3.451"/>
        <n v="-275.253"/>
        <n v="-746.44"/>
        <n v="-274.95"/>
        <n v="-95.0475"/>
        <n v="525.2004"/>
        <n v="-52.647"/>
        <n v="-24.44"/>
        <n v="366.507"/>
        <n v="27.38"/>
        <n v="-12.7088"/>
        <n v="-5.295"/>
        <n v="41.07"/>
        <n v="-94.4909"/>
        <n v="-172.298"/>
        <n v="3285.48"/>
        <n v="46.0368"/>
        <n v="-1.0712"/>
        <n v="4.4104"/>
        <n v="500.958"/>
        <n v="1206.5961"/>
        <n v="82.3101"/>
        <n v="-15.6312"/>
        <n v="790.5468"/>
        <n v="5.466"/>
        <n v="-149.1182"/>
        <n v="-90.26"/>
        <n v="-326.2316"/>
        <n v="16.898"/>
        <n v="20.14"/>
        <n v="-21.232"/>
        <n v="18.0642"/>
        <n v="-93.25"/>
        <n v="-163.03"/>
        <n v="23.616"/>
        <n v="-11.0732"/>
        <n v="21.7695"/>
        <n v="29.3802"/>
        <n v="100.2984"/>
        <n v="2495.3988"/>
        <n v="-0.11"/>
        <n v="15.236"/>
        <n v="-42.8536"/>
        <n v="-20.79"/>
        <n v="-33.21154"/>
        <n v="369.9987"/>
        <n v="20.4536"/>
        <n v="542.25"/>
        <n v="69.61"/>
        <n v="-634.8654"/>
        <n v="87.12"/>
        <n v="25.2402"/>
        <n v="-94.674645"/>
        <n v="451.2804"/>
        <n v="44.988"/>
        <n v="-20.7328"/>
        <n v="-164.3948"/>
        <n v="-4793.004"/>
        <n v="1258.7877"/>
        <n v="74.2785"/>
        <n v="52.92"/>
        <n v="-66.35"/>
        <n v="1399.64"/>
        <n v="232.642"/>
        <n v="-409.3736"/>
        <n v="-29.07"/>
        <n v="1909.8855"/>
        <n v="-76.9925"/>
        <n v="297.9696"/>
        <n v="1318.83"/>
        <n v="36.216"/>
        <n v="134.16825"/>
        <n v="253.3032"/>
        <n v="-723.784"/>
        <n v="589.188"/>
        <n v="-1314.992"/>
        <n v="3043.0311"/>
        <n v="-44.624"/>
        <n v="309.254"/>
        <n v="61.2927"/>
        <n v="91.73"/>
        <n v="53.0679"/>
        <n v="-14.6432"/>
        <n v="-127.56"/>
        <n v="282.18"/>
        <n v="-96.338"/>
        <n v="-23.35788"/>
        <n v="-18.2416"/>
        <n v="1428.9104"/>
        <n v="509.9583"/>
        <n v="-255.65"/>
        <n v="-76.54"/>
        <n v="-10.09"/>
        <n v="-92.87"/>
        <n v="-298.886"/>
        <n v="-145.852"/>
        <n v="-27.951"/>
        <n v="-3.6547"/>
        <n v="731.922"/>
        <n v="186.558"/>
        <n v="-138.0368"/>
        <n v="199.1823"/>
        <n v="711.0519"/>
        <n v="-899.675"/>
        <n v="-189.224"/>
        <n v="0.51"/>
        <n v="-52.248"/>
        <n v="70.176"/>
        <n v="-161.924"/>
        <n v="-157.696"/>
        <n v="-56.446"/>
        <n v="33.189"/>
        <n v="-367.165"/>
        <n v="-243.544"/>
        <n v="-337.092"/>
        <n v="68.676"/>
        <n v="481.032"/>
        <n v="-4.018"/>
        <n v="-2.0097"/>
        <n v="-477.372"/>
        <n v="-954.758"/>
        <n v="219.4734"/>
        <n v="-390.768"/>
        <n v="-155.21"/>
        <n v="-6.642"/>
        <n v="27.234"/>
        <n v="-8.398"/>
        <n v="83.7936"/>
        <n v="-77.82372"/>
        <n v="5078.538"/>
        <n v="23.276"/>
        <n v="17.754"/>
        <n v="-3.9312"/>
        <n v="2.4548"/>
        <n v="-537.2797773"/>
        <n v="-14.35982"/>
        <n v="-2870.2776"/>
        <n v="77.9836"/>
        <n v="-200.859"/>
        <n v="-33.2956"/>
        <n v="-90.5855"/>
        <n v="-36.9"/>
        <n v="341.1981"/>
        <n v="-175.13"/>
        <n v="3.96"/>
        <n v="1.6169"/>
        <n v="65.394"/>
        <n v="1.336"/>
        <n v="1674.7542"/>
        <n v="300.0465"/>
        <n v="-28.09"/>
        <n v="-263.1119291"/>
        <n v="-38.808"/>
        <n v="15.984"/>
        <n v="-88.158"/>
        <n v="-76.1068"/>
        <n v="-73.49412"/>
        <n v="-272.860884"/>
        <n v="10.5792"/>
        <n v="1127.5497"/>
        <n v="147.7566"/>
        <n v="69.5451"/>
        <n v="8.53"/>
        <n v="507.633"/>
        <n v="38.23"/>
        <n v="100.1328"/>
        <n v="15.096"/>
        <n v="14.9124"/>
        <n v="-135.226"/>
        <n v="-457.73"/>
        <n v="-268.664"/>
        <n v="-8.28"/>
        <n v="1912.422"/>
        <n v="-739.326"/>
        <n v="-40.53"/>
        <n v="0.696"/>
        <n v="15.528"/>
        <n v="-225.5638"/>
        <n v="-22.72"/>
        <n v="-163.53"/>
        <n v="554.77"/>
        <n v="-38.38"/>
        <n v="-56.35"/>
        <n v="-19.9576"/>
        <n v="-129.01"/>
        <n v="-628.38"/>
        <n v="616.5357"/>
        <n v="-143.235"/>
        <n v="-123.1816"/>
        <n v="-28.798"/>
        <n v="-273.98"/>
        <n v="-253.778"/>
        <n v="-152.5245"/>
        <n v="-18.85"/>
        <n v="-220.052"/>
        <n v="20.39337"/>
        <n v="38.2812"/>
        <n v="3670.3515"/>
        <n v="21.0035"/>
        <n v="13.536"/>
        <n v="-167.048"/>
        <n v="-31.094"/>
        <n v="-6.202"/>
        <n v="-48.874"/>
        <n v="-144.592"/>
        <n v="-258.566"/>
        <n v="13.508"/>
        <n v="-66.48"/>
        <n v="-52.33"/>
        <n v="-59.06"/>
        <n v="149.166"/>
        <n v="-76.9"/>
        <n v="376.8849"/>
        <n v="-88.6248"/>
        <n v="-662.52"/>
        <n v="9228.2256"/>
        <n v="-32.28"/>
        <n v="-596.268"/>
        <n v="7889.6877"/>
        <n v="1545.80976"/>
        <n v="-16.14"/>
        <n v="-130.424"/>
        <n v="-106.421"/>
        <n v="-16476.838"/>
        <n v="-108.2725"/>
        <n v="-90.748"/>
        <n v="-121.05808"/>
        <n v="-51.737"/>
        <n v="116.5063"/>
        <n v="-247.55157"/>
        <n v="-277.20924"/>
        <n v="-93.0645"/>
        <n v="-48.236"/>
        <n v="44.2911"/>
        <n v="43.2752"/>
        <n v="-36.21462"/>
        <n v="7.03296"/>
        <n v="-16.772"/>
        <n v="514.1772"/>
        <n v="235.656"/>
        <n v="3.5581"/>
        <n v="5.3397"/>
        <n v="-807.89"/>
        <n v="123.89175"/>
        <n v="-53.898"/>
        <n v="26.5029"/>
        <n v="90.6246"/>
        <n v="-20.8764"/>
        <n v="6.48324"/>
        <n v="2.332"/>
        <n v="454.4478"/>
        <n v="15.1524"/>
        <n v="-90.7556"/>
        <n v="960.984"/>
        <n v="-13706.464"/>
        <n v="300.9258"/>
        <n v="-40.76"/>
        <n v="-986.524"/>
        <n v="-141.666"/>
        <n v="47.334"/>
        <n v="60.5616"/>
        <n v="-47.243088"/>
        <n v="9.154"/>
        <n v="40.92"/>
        <n v="149.72"/>
        <n v="-52.49232"/>
        <n v="7.96"/>
        <n v="-459.0828"/>
        <n v="-517.17"/>
        <n v="-7.61"/>
        <n v="38.0397"/>
        <n v="-429.86"/>
        <n v="264.1665"/>
        <n v="-47.12"/>
        <n v="-101.246"/>
        <n v="-1.88"/>
        <n v="-11.69"/>
        <n v="250.9806"/>
        <n v="-57.753"/>
        <n v="-47.97"/>
        <n v="-219.07908"/>
        <n v="-18.8784"/>
        <n v="369.2052"/>
        <n v="19.35"/>
        <n v="-967.834"/>
        <n v="-28.45"/>
        <n v="72.78"/>
        <n v="13.2294"/>
        <n v="-88.82"/>
        <n v="15.354"/>
        <n v="-357.924"/>
        <n v="34.302"/>
        <n v="-7.96"/>
        <n v="4407.44"/>
        <n v="-1025.0172"/>
        <n v="429.754356"/>
        <n v="588.54"/>
        <n v="2653.2915"/>
        <n v="-1.84"/>
        <n v="237.0426"/>
        <n v="2502.6852"/>
        <n v="0.688"/>
        <n v="36.906"/>
        <n v="-216.0298"/>
        <n v="-45.472"/>
        <n v="16.1364"/>
        <n v="-29.61"/>
        <n v="125.724"/>
        <n v="114.882"/>
        <n v="-14.448"/>
        <n v="-42.546"/>
        <n v="14.0"/>
        <n v="52.988"/>
        <n v="285.4737"/>
        <n v="10.508"/>
        <n v="1448.7309"/>
        <n v="1.004"/>
        <n v="-521.09"/>
        <n v="-29.49"/>
        <n v="386.0067"/>
        <n v="-1867.97"/>
        <n v="-1920.9336"/>
        <n v="-37.1752"/>
        <n v="-213.4028"/>
        <n v="-15.48"/>
        <n v="-50.245"/>
        <n v="-387.1044"/>
        <n v="-55.97"/>
        <n v="-66.2473"/>
        <n v="-171.1577"/>
        <n v="624.239"/>
        <n v="-14.3241"/>
        <n v="604.0191"/>
        <n v="-11.6316"/>
        <n v="442.3659"/>
        <n v="-259.756"/>
        <n v="1469.7276"/>
        <n v="-83.55306"/>
        <n v="-16.89"/>
        <n v="25.51"/>
        <n v="-850.6524"/>
        <n v="98.5251"/>
        <n v="214.23"/>
        <n v="21.8834"/>
        <n v="290.202"/>
        <n v="12.146"/>
        <n v="5.687"/>
        <n v="-181.102"/>
        <n v="882.93"/>
        <n v="6.6804"/>
        <n v="46.29"/>
        <n v="177.79"/>
        <n v="-14.9904"/>
        <n v="638.3811"/>
        <n v="17.652"/>
        <n v="739.674"/>
        <n v="-23.156"/>
        <n v="-10.435"/>
        <n v="-78.91668"/>
        <n v="-13562.63741"/>
        <n v="-63.35"/>
        <n v="-8.904"/>
        <n v="88.72"/>
        <n v="7.2519"/>
        <n v="-191.49"/>
        <n v="-1330.5"/>
        <n v="1320.5496"/>
        <n v="1585.503"/>
        <n v="526.0422"/>
        <n v="-40.432"/>
        <n v="-88.61"/>
        <n v="109.16"/>
        <n v="-136.122"/>
        <n v="-27.375"/>
        <n v="-435.7575"/>
        <n v="682.53"/>
        <n v="-277.222"/>
        <n v="-266.686"/>
        <n v="-12.278"/>
        <n v="265.1118"/>
        <n v="9.5608"/>
        <n v="390.0984"/>
        <n v="46.65"/>
        <n v="-1250.746"/>
        <n v="374.904"/>
        <n v="-528.836"/>
        <n v="-272.7132"/>
        <n v="-162.694"/>
        <n v="-115.9039"/>
        <n v="-729.988"/>
        <n v="-133.546"/>
        <n v="272.694"/>
        <n v="-61.6"/>
        <n v="66.852"/>
        <n v="17.8398"/>
        <n v="976.2672"/>
        <n v="23.2047"/>
        <n v="183.843"/>
        <n v="167.463"/>
        <n v="1307.2692"/>
        <n v="-15.8184"/>
        <n v="-55.8324"/>
        <n v="550.3808"/>
        <n v="1.68"/>
        <n v="450.4596"/>
        <n v="8798.1831"/>
        <n v="-5.385"/>
        <n v="3031.9724"/>
        <n v="138.018"/>
        <n v="38.874"/>
        <n v="-45.528"/>
        <n v="567.59"/>
        <n v="-14.225"/>
        <n v="-601.804"/>
        <n v="38.406"/>
        <n v="53.1144"/>
        <n v="8.742"/>
        <n v="636.522"/>
        <n v="4554.4347"/>
        <n v="618.19308"/>
        <n v="-15.1844"/>
        <n v="-61.194"/>
        <n v="18.174"/>
        <n v="-49.53"/>
        <n v="-407.85"/>
        <n v="-191.2576"/>
        <n v="196.52328"/>
        <n v="-343.868"/>
        <n v="-3971.0628"/>
        <n v="-18.4782"/>
        <n v="-381.8412"/>
        <n v="12.5504"/>
        <n v="45.3324"/>
        <n v="33.66"/>
        <n v="15.678"/>
        <n v="52.776"/>
        <n v="-162.8244"/>
        <n v="-6.93082"/>
        <n v="-118.54"/>
        <n v="2963.48"/>
        <n v="398.3025"/>
        <n v="709.852"/>
        <n v="80.8092"/>
        <n v="371.272"/>
        <n v="77.0008954"/>
        <n v="27.9686"/>
        <n v="-66.77958"/>
        <n v="-144.9188"/>
        <n v="-5.0716"/>
        <n v="-1.18"/>
        <n v="-203.098"/>
        <n v="-48.57"/>
        <n v="-47.28"/>
        <n v="722.241"/>
        <n v="-161.0"/>
        <n v="848.3646"/>
        <n v="-88.8408"/>
        <n v="1208.9904"/>
        <n v="9.9912"/>
        <n v="126.225"/>
        <n v="187.7628"/>
        <n v="295.9065"/>
        <n v="-2111.36"/>
        <n v="-9.13"/>
        <n v="357.428"/>
        <n v="40.3512"/>
        <n v="27.6345"/>
        <n v="751.58"/>
        <n v="-663.5142"/>
        <n v="-157.56"/>
        <n v="-87.99804"/>
        <n v="-35.2904"/>
        <n v="-74.8836"/>
        <n v="-98.056"/>
        <n v="-425.2084"/>
        <n v="631.33"/>
        <n v="-22.176"/>
        <n v="-214.104"/>
        <n v="-26.936"/>
        <n v="-324.73"/>
        <n v="1500.12"/>
        <n v="-313.0218"/>
        <n v="-192.5532"/>
        <n v="-464.282"/>
        <n v="156.7434"/>
        <n v="110.118"/>
        <n v="-42.588"/>
        <n v="-222.95"/>
        <n v="7.6245"/>
        <n v="-1676.612"/>
        <n v="45.1278"/>
        <n v="-52.864"/>
        <n v="45.378"/>
        <n v="4949.916"/>
        <n v="1055.604"/>
        <n v="359.83"/>
        <n v="-69.874"/>
        <n v="-135.74"/>
        <n v="-14.52"/>
        <n v="171.2649"/>
        <n v="138.222"/>
        <n v="711.2448"/>
        <n v="-1084.846963"/>
        <n v="-156.772"/>
        <n v="-37.6"/>
        <n v="1389.5772"/>
        <n v="-222.816"/>
        <n v="-133.71"/>
        <n v="2653.7814"/>
        <n v="10.32"/>
        <n v="997.38144"/>
        <n v="-36.0308"/>
        <n v="-28.954"/>
        <n v="-85.022"/>
        <n v="99.198"/>
        <n v="136.0314"/>
        <n v="-100.072"/>
        <n v="-12.0267"/>
        <n v="122.508"/>
        <n v="2.97"/>
        <n v="385.3029"/>
        <n v="187.2"/>
        <n v="779.4723"/>
        <n v="27.726"/>
        <n v="244.464"/>
        <n v="-473.578"/>
        <n v="-96.05"/>
        <n v="-270.85"/>
        <n v="800.2551"/>
        <n v="-50.4"/>
        <n v="-348.754"/>
        <n v="-550.43"/>
        <n v="-52.12"/>
        <n v="-27.005"/>
        <n v="74.6385"/>
        <n v="-122.235"/>
        <n v="427.0065"/>
        <n v="-190.49"/>
        <n v="-8.77"/>
        <n v="-7.685"/>
        <n v="-82.5592"/>
        <n v="18.1475"/>
        <n v="2.806"/>
        <n v="-132.426"/>
        <n v="-411.236"/>
        <n v="-48.972"/>
        <n v="62.298"/>
        <n v="-119.32"/>
        <n v="756.6747"/>
        <n v="-222.343"/>
        <n v="-1537.1356"/>
        <n v="52.6976"/>
        <n v="-78.19416"/>
        <n v="465.4395"/>
        <n v="-89.27"/>
        <n v="385.37"/>
        <n v="147.0"/>
        <n v="-1045.016"/>
        <n v="167.16"/>
        <n v="-344.82"/>
        <n v="-61.5276"/>
        <n v="-41.9727"/>
        <n v="-1.56"/>
        <n v="-100.24"/>
        <n v="-262.62"/>
        <n v="1019.7096"/>
        <n v="19.04"/>
        <n v="-1069.72"/>
        <n v="1408.1865"/>
        <n v="2000.11"/>
        <n v="-45.64"/>
        <n v="204.49"/>
        <n v="-1455.9972"/>
        <n v="-22.56"/>
        <n v="-1191.526"/>
        <n v="-45.01"/>
        <n v="39.21"/>
        <n v="100.38"/>
        <n v="79.4232"/>
        <n v="-15.0904"/>
        <n v="-60.564"/>
        <n v="-1473.906"/>
        <n v="-343.126"/>
        <n v="66.36"/>
        <n v="-162.918"/>
        <n v="859.7178"/>
        <n v="-23.072"/>
        <n v="650.3"/>
        <n v="-154.307"/>
        <n v="269.94"/>
        <n v="63.0591"/>
        <n v="139.5801"/>
        <n v="109.67"/>
        <n v="395.308"/>
        <n v="104.9145"/>
        <n v="24.59"/>
        <n v="-458.744"/>
        <n v="-9.177"/>
        <n v="-121.75"/>
        <n v="24.35"/>
        <n v="-34.7645"/>
        <n v="-7.3416"/>
        <n v="35.29"/>
        <n v="-100.17"/>
        <n v="-3.948"/>
        <n v="1633.986"/>
        <n v="-2002.6314"/>
        <n v="-126.208"/>
        <n v="-5.54"/>
        <n v="-68.432"/>
        <n v="733.2822"/>
        <n v="-905.9904"/>
        <n v="-21.63242"/>
        <n v="-35.04"/>
        <n v="5.98"/>
        <n v="149.53"/>
        <n v="608.262"/>
        <n v="-570.1696"/>
        <n v="1.278"/>
        <n v="424.29"/>
        <n v="-3.71956"/>
        <n v="101.972"/>
        <n v="-16.6348"/>
        <n v="765.75"/>
        <n v="-335.041"/>
        <n v="35.2797"/>
        <n v="-188.034"/>
        <n v="322.122"/>
        <n v="366.54"/>
        <n v="-439.908"/>
        <n v="1087.716"/>
        <n v="9.204"/>
        <n v="257.0832"/>
        <n v="0.7854"/>
        <n v="88.56"/>
        <n v="12.726"/>
        <n v="160.8066"/>
        <n v="-1596.7458"/>
        <n v="1388.3559"/>
        <n v="109.836"/>
        <n v="-93.85"/>
        <n v="82.7034"/>
        <n v="0.37"/>
        <n v="1947.67"/>
        <n v="128.03"/>
        <n v="31.752"/>
        <n v="117.208"/>
        <n v="1240.25"/>
        <n v="-533.232"/>
        <n v="-61.59"/>
        <n v="-46.25"/>
        <n v="-32.0268"/>
        <n v="-45.816"/>
        <n v="30.63"/>
        <n v="-6.835"/>
        <n v="7024.2069"/>
        <n v="-137.494"/>
        <n v="308.67"/>
        <n v="-223.944"/>
        <n v="36.495"/>
        <n v="255.7692"/>
        <n v="1656.6555"/>
        <n v="2639.01"/>
        <n v="395.76"/>
        <n v="-39.396"/>
        <n v="-89.5"/>
        <n v="28.4"/>
        <n v="103.2723"/>
        <n v="215.718"/>
        <n v="106.9848"/>
        <n v="3.54"/>
        <n v="40.284"/>
        <n v="90.024"/>
        <n v="2.232"/>
        <n v="840.051"/>
        <n v="61.47"/>
        <n v="18.27"/>
        <n v="-513.79042"/>
        <n v="23.87"/>
        <n v="35.805"/>
        <n v="265.9605"/>
        <n v="-20.3205"/>
        <n v="-88.04"/>
        <n v="180.2349"/>
        <n v="29.5251"/>
        <n v="1261.4718"/>
        <n v="-59.96376"/>
        <n v="89.4148"/>
        <n v="27.0273"/>
        <n v="-150.2604"/>
        <n v="4899.1288"/>
        <n v="44.712"/>
        <n v="-22.626"/>
        <n v="4260.112"/>
        <n v="-25.14"/>
        <n v="309.7116"/>
        <n v="-128.856"/>
        <n v="-36.946"/>
        <n v="-274.498"/>
        <n v="0.588"/>
        <n v="-251.4039"/>
        <n v="-2.345"/>
        <n v="67.6062"/>
        <n v="-46.5244"/>
        <n v="200.0172"/>
        <n v="-39.606"/>
        <n v="311.73"/>
        <n v="-50.75"/>
        <n v="2225.07612"/>
        <n v="-338.180832"/>
        <n v="-136.252"/>
        <n v="-25.76"/>
        <n v="-45.21"/>
        <n v="-286.245"/>
        <n v="16.12"/>
        <n v="-815.9008"/>
        <n v="15.808"/>
        <n v="29.17"/>
        <n v="-48.97"/>
        <n v="84.05"/>
        <n v="17.8365"/>
        <n v="-20.2228"/>
        <n v="381.618"/>
        <n v="-177.058"/>
        <n v="164.082"/>
        <n v="-54.63"/>
        <n v="690.1794"/>
        <n v="1507.6431"/>
        <n v="801.7468"/>
        <n v="-139.18256"/>
        <n v="881.4681"/>
        <n v="3.84"/>
        <n v="-21.03"/>
        <n v="117.5208"/>
        <n v="-30.808"/>
        <n v="524.3172"/>
        <n v="21.78"/>
        <n v="-98.35"/>
        <n v="270.7905"/>
        <n v="223.416"/>
        <n v="-93.9274"/>
        <n v="-321.51"/>
        <n v="246.2748"/>
        <n v="93.9504"/>
        <n v="29.98"/>
        <n v="-121.2"/>
        <n v="10.7824"/>
        <n v="2008.71"/>
        <n v="-80.53"/>
        <n v="-48.958"/>
        <n v="-32.816"/>
        <n v="-15.61"/>
        <n v="-1748.012"/>
        <n v="-180.152"/>
        <n v="8.388"/>
        <n v="9.9399"/>
        <n v="-66.171"/>
        <n v="51.2187"/>
        <n v="380.468"/>
        <n v="-89.418"/>
        <n v="9.252"/>
        <n v="-1197.042"/>
        <n v="-103.224"/>
        <n v="-84.6288"/>
        <n v="2755.6422"/>
        <n v="-256.018"/>
        <n v="-41.77"/>
        <n v="-1014.11"/>
        <n v="17.4294"/>
        <n v="-178.8696"/>
        <n v="-74.64"/>
        <n v="65.41"/>
        <n v="-25.634"/>
        <n v="-37.562"/>
        <n v="-449.694"/>
        <n v="-66.248"/>
        <n v="501.69"/>
        <n v="566.6073"/>
        <n v="-57.56"/>
        <n v="164.0613"/>
        <n v="218.2332"/>
        <n v="1049.03"/>
        <n v="-102.93"/>
        <n v="664.518"/>
        <n v="105.7"/>
        <n v="-21.06"/>
        <n v="-5.08"/>
        <n v="1289.382"/>
        <n v="-191.548"/>
        <n v="-29.003"/>
        <n v="2860.9332"/>
        <n v="2692.4421"/>
        <n v="2.0672"/>
        <n v="111.0525"/>
        <n v="-1963.752"/>
        <n v="-60.704"/>
        <n v="-37.789"/>
        <n v="7576.11"/>
        <n v="-43.26"/>
        <n v="-44.436"/>
        <n v="4.85"/>
        <n v="3.5949"/>
        <n v="15.8148"/>
        <n v="-69.91"/>
        <n v="1630.5252"/>
        <n v="-457.16"/>
        <n v="266.7609"/>
        <n v="-159.3028"/>
        <n v="29.8839"/>
        <n v="52.764"/>
        <n v="2699.9838"/>
        <n v="-170.98"/>
        <n v="-95.6186"/>
        <n v="-2.376"/>
        <n v="-18.3216"/>
        <n v="-82.64"/>
        <n v="31.59"/>
        <n v="165.6345"/>
        <n v="19.308"/>
        <n v="0.33"/>
        <n v="-35.26"/>
        <n v="322.2507"/>
        <n v="-221.5"/>
        <n v="206.352"/>
        <n v="439.7853"/>
        <n v="-149.4573"/>
        <n v="21.096"/>
        <n v="1166.628"/>
        <n v="-40.6042"/>
        <n v="-294.084"/>
        <n v="55.5552"/>
        <n v="-535.332"/>
        <n v="-208.7204"/>
        <n v="38.886"/>
        <n v="719.3526"/>
        <n v="-12.87678"/>
        <n v="618.1308"/>
        <n v="-14140.7016"/>
        <n v="-8.876"/>
        <n v="14.754"/>
        <n v="669.612"/>
        <n v="213.0"/>
        <n v="-8.3881"/>
        <n v="4.90176"/>
        <n v="76.3899"/>
        <n v="-36.77"/>
        <n v="87.03"/>
        <n v="-582.648"/>
        <n v="3602.1312"/>
        <n v="-66.585"/>
        <n v="441.594"/>
        <n v="394.17"/>
        <n v="13.4481"/>
        <n v="4033.6089"/>
        <n v="141.7824"/>
        <n v="74.1819"/>
        <n v="82.31"/>
        <n v="-2.352"/>
        <n v="1059.288"/>
        <n v="-246.2761"/>
        <n v="55.1946"/>
        <n v="-307.2965"/>
        <n v="-16.06374"/>
        <n v="-160.3847"/>
        <n v="732.2698"/>
        <n v="270.8743"/>
        <n v="333.7605"/>
        <n v="-120.59"/>
        <n v="-12.078"/>
        <n v="1231.6569"/>
        <n v="219.5442"/>
        <n v="-185.17"/>
        <n v="31.1328"/>
        <n v="-231.05"/>
        <n v="-165.5949204"/>
        <n v="-21.684"/>
        <n v="4861.0638"/>
        <n v="-83.75"/>
        <n v="565.18"/>
        <n v="-38.72"/>
        <n v="65.07702"/>
        <n v="10.9592"/>
        <n v="-32.6664"/>
        <n v="-13.1352"/>
        <n v="22.3077"/>
        <n v="443.0214"/>
        <n v="-1220.9145"/>
        <n v="-27.1492"/>
        <n v="-106.3424"/>
        <n v="44.9768"/>
        <n v="689.328"/>
        <n v="-33.586"/>
        <n v="69.7672"/>
        <n v="-52.8228"/>
        <n v="7.31"/>
        <n v="642.9903"/>
        <n v="12.71"/>
        <n v="28.288"/>
        <n v="112.1181"/>
        <n v="565.386"/>
        <n v="-230.9528"/>
        <n v="-61.62804"/>
        <n v="70.6767"/>
        <n v="95.0544"/>
        <n v="224.9607"/>
        <n v="-89.572"/>
        <n v="33.3477"/>
        <n v="-34.592"/>
        <n v="-24.63"/>
        <n v="-536.242"/>
        <n v="-125.86"/>
        <n v="36.1641"/>
        <n v="17.1028"/>
        <n v="1269.38196"/>
        <n v="137.68794"/>
        <n v="882.4824"/>
        <n v="6.384"/>
        <n v="5.2955"/>
        <n v="170.7957"/>
        <n v="16.092"/>
        <n v="274.0788"/>
        <n v="-3.782"/>
        <n v="10.7985"/>
        <n v="15.246"/>
        <n v="-103.624"/>
        <n v="-57.824"/>
        <n v="18.218"/>
        <n v="25.058"/>
        <n v="11.82"/>
        <n v="28.152"/>
        <n v="-237.544"/>
        <n v="1037.1045"/>
        <n v="-94.59"/>
        <n v="-293.74"/>
        <n v="1039.7541"/>
        <n v="-49.1868"/>
        <n v="-152.7448"/>
        <n v="41.3"/>
        <n v="47.61"/>
        <n v="-23.5"/>
        <n v="1282.496"/>
        <n v="17.2"/>
        <n v="1184.12"/>
        <n v="1474.8704"/>
        <n v="19.78"/>
        <n v="929.7957"/>
        <n v="-7.25"/>
        <n v="31.2018"/>
        <n v="-75.9004"/>
        <n v="52.1709"/>
        <n v="-159.86"/>
        <n v="165.8898"/>
        <n v="75.01"/>
        <n v="2267.22"/>
        <n v="97.16"/>
        <n v="-20.65"/>
        <n v="67.864"/>
        <n v="-14.075"/>
        <n v="-78.7592"/>
        <n v="1167.38"/>
        <n v="402.066"/>
        <n v="11.95"/>
        <n v="1773.6105"/>
        <n v="4.1822"/>
        <n v="39.1299"/>
        <n v="1660.92"/>
        <n v="638.028"/>
        <n v="138.4968"/>
        <n v="-6.734"/>
        <n v="-25.38"/>
        <n v="-203.27"/>
        <n v="-807.59"/>
        <n v="118.6317"/>
        <n v="23.304"/>
        <n v="150.72"/>
        <n v="19.42"/>
        <n v="3.13"/>
        <n v="1141.07"/>
        <n v="10.01"/>
        <n v="313.812"/>
        <n v="-39.18625"/>
        <n v="-1.89"/>
        <n v="4.29"/>
        <n v="-122.77"/>
        <n v="683.9556"/>
        <n v="-16.64"/>
        <n v="-59.73"/>
        <n v="-633.441237"/>
        <n v="72.984"/>
        <n v="240.1752"/>
        <n v="-11.248"/>
        <n v="9.6117"/>
        <n v="-299.8142"/>
        <n v="13.8"/>
        <n v="4.392"/>
        <n v="-236.25"/>
        <n v="36.02"/>
        <n v="-50.64"/>
        <n v="510.489"/>
        <n v="-20.18226"/>
        <n v="-156.9722"/>
        <n v="384.5043"/>
        <n v="513.084"/>
        <n v="44.52"/>
        <n v="-48.875"/>
        <n v="881.0472"/>
        <n v="-233.840688"/>
        <n v="-139.076"/>
        <n v="-64.664"/>
        <n v="1644.0768"/>
        <n v="-350.4395"/>
        <n v="4.2028"/>
        <n v="-44.068"/>
        <n v="-100.51"/>
        <n v="-17.75"/>
        <n v="1374.948"/>
        <n v="-677.872"/>
        <n v="1623.9495"/>
        <n v="-122.835"/>
        <n v="252.488"/>
        <n v="-88.585"/>
        <n v="-485.68"/>
        <n v="-16.37"/>
        <n v="-94.2586"/>
        <n v="6.3308"/>
        <n v="-66.8236"/>
        <n v="971.622"/>
        <n v="-134.512"/>
        <n v="-4075.933992"/>
        <n v="-18.5588"/>
        <n v="220.3572"/>
        <n v="47.73"/>
        <n v="28.526"/>
        <n v="-87.46"/>
        <n v="28.1826"/>
        <n v="-51.66"/>
        <n v="-193.914"/>
        <n v="57.546"/>
        <n v="-333.4254"/>
        <n v="12.264"/>
        <n v="-283.9914"/>
        <n v="-195.342"/>
        <n v="-89.7092"/>
        <n v="-44.415"/>
        <n v="167.334"/>
        <n v="65.598"/>
        <n v="0.258"/>
        <n v="63.222"/>
        <n v="-29.666"/>
        <n v="-1319.5"/>
        <n v="262.2"/>
        <n v="-119.812"/>
        <n v="-9.108"/>
        <n v="172.5644"/>
        <n v="45.078"/>
        <n v="-110.376"/>
        <n v="1951.3"/>
        <n v="1538.7828"/>
        <n v="32.83"/>
        <n v="51.59"/>
        <n v="969.42"/>
        <n v="553.3317"/>
        <n v="-30.45"/>
        <n v="55.0206"/>
        <n v="-43.65504"/>
        <n v="-577.304"/>
        <n v="-1535.4864"/>
        <n v="-159.32"/>
        <n v="-74.088"/>
        <n v="-137.522"/>
        <n v="-11.816"/>
        <n v="238.9338"/>
        <n v="-105.126"/>
        <n v="95.388"/>
        <n v="261.3858"/>
        <n v="-135.46"/>
        <n v="-31.68825"/>
        <n v="690.7038"/>
        <n v="-13.068"/>
        <n v="-25.104"/>
        <n v="1.9504"/>
        <n v="-340.5311"/>
        <n v="462.921"/>
        <n v="-131.16"/>
        <n v="-11.83"/>
        <n v="-65.58"/>
        <n v="596.808"/>
        <n v="3739.3929"/>
        <n v="470.338"/>
        <n v="401.85"/>
        <n v="710.6724"/>
        <n v="-92.32"/>
        <n v="-1764.29"/>
        <n v="527.8776"/>
        <n v="34.52"/>
        <n v="3576.8841"/>
        <n v="20.38"/>
        <n v="31.11"/>
        <n v="358.2954"/>
        <n v="8.322"/>
        <n v="24.018"/>
        <n v="-269.7555"/>
        <n v="710.8074"/>
        <n v="-2133.278"/>
        <n v="80.0712"/>
        <n v="896.406"/>
        <n v="352.8798"/>
        <n v="-15.92"/>
        <n v="-114.2"/>
        <n v="-25.0"/>
        <n v="255.1482"/>
        <n v="39.4266"/>
        <n v="-722.23"/>
        <n v="30.024"/>
        <n v="0.4266"/>
        <n v="66.216"/>
        <n v="-164.18"/>
        <n v="-79.4"/>
        <n v="23.046"/>
        <n v="-127.3"/>
        <n v="-52.77"/>
        <n v="-781.1342"/>
        <n v="-23.296"/>
        <n v="58.812"/>
        <n v="4.0443"/>
        <n v="-10.3684"/>
        <n v="989.8119"/>
        <n v="2861.01"/>
        <n v="1544.9307"/>
        <n v="125.9982"/>
        <n v="-92.9292"/>
        <n v="-39.809"/>
        <n v="-29.0656"/>
        <n v="-19.2972"/>
        <n v="40.6556"/>
        <n v="137.6757"/>
        <n v="-62.0"/>
        <n v="47.5272"/>
        <n v="379.3965"/>
        <n v="-41.83"/>
        <n v="372.402"/>
        <n v="-116.3455"/>
        <n v="1304.9"/>
        <n v="605.0472"/>
        <n v="107.45462"/>
        <n v="18.41"/>
        <n v="65.63"/>
        <n v="-7.73"/>
        <n v="-47.99525"/>
        <n v="66.22"/>
        <n v="-23.53"/>
        <n v="10.68"/>
        <n v="58.2636"/>
        <n v="-42.1705"/>
        <n v="66.36222"/>
        <n v="-1.904"/>
        <n v="-37.048"/>
        <n v="-56.888"/>
        <n v="-189.714"/>
        <n v="1628.37"/>
        <n v="-4.48"/>
        <n v="3193.284"/>
        <n v="43.6917"/>
        <n v="349.0593"/>
        <n v="1.992"/>
        <n v="-22.01"/>
        <n v="426.46032"/>
        <n v="19.5546"/>
        <n v="152.482"/>
        <n v="67.012"/>
        <n v="374.625"/>
        <n v="-3.2448"/>
        <n v="6384.4389"/>
        <n v="-116.76"/>
        <n v="-160.952"/>
        <n v="-41.87"/>
        <n v="-24.7104"/>
        <n v="349.485"/>
      </sharedItems>
    </cacheField>
    <cacheField name="Quantity ordered new" numFmtId="0">
      <sharedItems containsSemiMixedTypes="0" containsString="0" containsNumber="1" containsInteger="1">
        <n v="4.0"/>
        <n v="12.0"/>
        <n v="22.0"/>
        <n v="16.0"/>
        <n v="7.0"/>
        <n v="10.0"/>
        <n v="6.0"/>
        <n v="17.0"/>
        <n v="18.0"/>
        <n v="70.0"/>
        <n v="58.0"/>
        <n v="71.0"/>
        <n v="1.0"/>
        <n v="13.0"/>
        <n v="2.0"/>
        <n v="8.0"/>
        <n v="20.0"/>
        <n v="3.0"/>
        <n v="43.0"/>
        <n v="32.0"/>
        <n v="49.0"/>
        <n v="11.0"/>
        <n v="19.0"/>
        <n v="9.0"/>
        <n v="23.0"/>
        <n v="37.0"/>
        <n v="146.0"/>
        <n v="31.0"/>
        <n v="65.0"/>
        <n v="5.0"/>
        <n v="29.0"/>
        <n v="47.0"/>
        <n v="46.0"/>
        <n v="14.0"/>
        <n v="21.0"/>
        <n v="116.0"/>
        <n v="77.0"/>
        <n v="39.0"/>
        <n v="27.0"/>
        <n v="33.0"/>
        <n v="24.0"/>
        <n v="15.0"/>
        <n v="54.0"/>
        <n v="45.0"/>
        <n v="41.0"/>
        <n v="35.0"/>
        <n v="28.0"/>
        <n v="36.0"/>
        <n v="25.0"/>
        <n v="63.0"/>
        <n v="56.0"/>
        <n v="38.0"/>
        <n v="52.0"/>
        <n v="34.0"/>
        <n v="30.0"/>
        <n v="40.0"/>
        <n v="79.0"/>
        <n v="59.0"/>
        <n v="42.0"/>
        <n v="88.0"/>
        <n v="44.0"/>
        <n v="26.0"/>
        <n v="62.0"/>
        <n v="90.0"/>
        <n v="61.0"/>
        <n v="81.0"/>
        <n v="85.0"/>
        <n v="83.0"/>
        <n v="48.0"/>
        <n v="76.0"/>
        <n v="74.0"/>
        <n v="68.0"/>
        <n v="53.0"/>
        <n v="167.0"/>
        <n v="67.0"/>
        <n v="75.0"/>
      </sharedItems>
    </cacheField>
    <cacheField name="Sales" numFmtId="0">
      <sharedItems containsSemiMixedTypes="0" containsString="0" containsNumber="1">
        <n v="13.01"/>
        <n v="6362.85"/>
        <n v="211.15"/>
        <n v="1164.45"/>
        <n v="22.23"/>
        <n v="13.99"/>
        <n v="14.26"/>
        <n v="33.47"/>
        <n v="379.53"/>
        <n v="18.8"/>
        <n v="945.99"/>
        <n v="455.77"/>
        <n v="231.79"/>
        <n v="1876.69"/>
        <n v="293.06"/>
        <n v="914.29"/>
        <n v="67.49"/>
        <n v="2.25"/>
        <n v="54.78"/>
        <n v="424.68"/>
        <n v="40.17"/>
        <n v="783.55"/>
        <n v="3838.14"/>
        <n v="58.68"/>
        <n v="53.1"/>
        <n v="647.07"/>
        <n v="627.04"/>
        <n v="3267.55"/>
        <n v="110.19"/>
        <n v="73.55"/>
        <n v="29.57"/>
        <n v="22.85"/>
        <n v="506.39"/>
        <n v="4.0"/>
        <n v="589.8"/>
        <n v="1225.6"/>
        <n v="1239.06"/>
        <n v="4083.19"/>
        <n v="4902.38"/>
        <n v="5718.85"/>
        <n v="1400.53"/>
        <n v="1821.89"/>
        <n v="90.98"/>
        <n v="10728.0"/>
        <n v="3127.69"/>
        <n v="41.82"/>
        <n v="2875.72"/>
        <n v="170.8"/>
        <n v="53.54"/>
        <n v="3363.53"/>
        <n v="132.08"/>
        <n v="45.34"/>
        <n v="216.04"/>
        <n v="6276.34"/>
        <n v="2664.4"/>
        <n v="1526.68"/>
        <n v="1952.56"/>
        <n v="303.59"/>
        <n v="9459.94"/>
        <n v="1233.32"/>
        <n v="47.31"/>
        <n v="2441.27"/>
        <n v="11.13"/>
        <n v="29.5"/>
        <n v="58.33"/>
        <n v="20.42"/>
        <n v="26.07"/>
        <n v="122.23"/>
        <n v="228.46"/>
        <n v="77.61"/>
        <n v="99.94"/>
        <n v="59.85"/>
        <n v="1708.73"/>
        <n v="94.97"/>
        <n v="10.23"/>
        <n v="217.23"/>
        <n v="101.74"/>
        <n v="84.52"/>
        <n v="312.59"/>
        <n v="64.4"/>
        <n v="14.65"/>
        <n v="453.62"/>
        <n v="193.59"/>
        <n v="929.57"/>
        <n v="62.46"/>
        <n v="28.11"/>
        <n v="5.5"/>
        <n v="667.84"/>
        <n v="292.23"/>
        <n v="772.56"/>
        <n v="1050.08"/>
        <n v="33.82"/>
        <n v="715.55"/>
        <n v="45.63"/>
        <n v="1839.91"/>
        <n v="130.62"/>
        <n v="6945.16"/>
        <n v="30.94"/>
        <n v="3.42"/>
        <n v="901.81"/>
        <n v="186.59"/>
        <n v="250.5"/>
        <n v="221.24"/>
        <n v="46.65"/>
        <n v="164.71"/>
        <n v="79.68"/>
        <n v="53.26"/>
        <n v="203.49"/>
        <n v="2356.01"/>
        <n v="224.12"/>
        <n v="140.3"/>
        <n v="28.2"/>
        <n v="71.55"/>
        <n v="3108.98"/>
        <n v="12599.55"/>
        <n v="34.65"/>
        <n v="85.79"/>
        <n v="17.61"/>
        <n v="27.3"/>
        <n v="64.75"/>
        <n v="62.98"/>
        <n v="21.2"/>
        <n v="173.32"/>
        <n v="42.29"/>
        <n v="730.37"/>
        <n v="450.49"/>
        <n v="58.8"/>
        <n v="120.47"/>
        <n v="1599.96"/>
        <n v="197.59"/>
        <n v="33.04"/>
        <n v="27.45"/>
        <n v="4775.11"/>
        <n v="57.41"/>
        <n v="2809.87"/>
        <n v="79.93"/>
        <n v="873.18"/>
        <n v="798.69"/>
        <n v="792.11"/>
        <n v="28.73"/>
        <n v="109.74"/>
        <n v="1543.55"/>
        <n v="1332.82"/>
        <n v="34.64"/>
        <n v="52.47"/>
        <n v="26.38"/>
        <n v="304.34"/>
        <n v="1300.81"/>
        <n v="67.86"/>
        <n v="747.28"/>
        <n v="18.67"/>
        <n v="210.77"/>
        <n v="209.12"/>
        <n v="1287.17"/>
        <n v="46.17"/>
        <n v="899.81"/>
        <n v="68.46"/>
        <n v="885.23"/>
        <n v="836.47"/>
        <n v="189.83"/>
        <n v="61.52"/>
        <n v="8.3"/>
        <n v="416.95"/>
        <n v="18.71"/>
        <n v="40.95"/>
        <n v="1155.73"/>
        <n v="192.3"/>
        <n v="748.1"/>
        <n v="102.54"/>
        <n v="70.16"/>
        <n v="1240.57"/>
        <n v="280.62"/>
        <n v="3206.94"/>
        <n v="43.08"/>
        <n v="66.55"/>
        <n v="103.49"/>
        <n v="192.18"/>
        <n v="89.76"/>
        <n v="28.46"/>
        <n v="1170.21"/>
        <n v="243.32"/>
        <n v="3825.32"/>
        <n v="8.53"/>
        <n v="40.3"/>
        <n v="111.88"/>
        <n v="73.97"/>
        <n v="111.86"/>
        <n v="18.49"/>
        <n v="212.89"/>
        <n v="5555.6"/>
        <n v="55.54"/>
        <n v="1440.34"/>
        <n v="84.76"/>
        <n v="104.84"/>
        <n v="1714.93"/>
        <n v="107.95"/>
        <n v="1967.98"/>
        <n v="394.1"/>
        <n v="266.39"/>
        <n v="51.82"/>
        <n v="9539.6"/>
        <n v="109.86"/>
        <n v="1426.51"/>
        <n v="2331.9"/>
        <n v="27.47"/>
        <n v="460.87"/>
        <n v="394.51"/>
        <n v="38.65"/>
        <n v="279.83"/>
        <n v="126.9"/>
        <n v="22.82"/>
        <n v="188.66"/>
        <n v="1845.23"/>
        <n v="37.16"/>
        <n v="43.65"/>
        <n v="31.44"/>
        <n v="64.59"/>
        <n v="461.94"/>
        <n v="1216.32"/>
        <n v="1989.32"/>
        <n v="72.76"/>
        <n v="400.47"/>
        <n v="1531.31"/>
        <n v="919.09"/>
        <n v="236.46"/>
        <n v="73.82"/>
        <n v="243.11"/>
        <n v="952.26"/>
        <n v="355.92"/>
        <n v="101.71"/>
        <n v="1766.68"/>
        <n v="29.02"/>
        <n v="159.51"/>
        <n v="1838.85"/>
        <n v="35.48"/>
        <n v="434.31"/>
        <n v="19.86"/>
        <n v="23.26"/>
        <n v="51.83"/>
        <n v="32.4"/>
        <n v="492.9"/>
        <n v="1081.54"/>
        <n v="1132.84"/>
        <n v="143.63"/>
        <n v="73.04"/>
        <n v="33.35"/>
        <n v="60.24"/>
        <n v="718.03"/>
        <n v="179.51"/>
        <n v="73.18"/>
        <n v="8.82"/>
        <n v="5976.09"/>
        <n v="8.77"/>
        <n v="20.87"/>
        <n v="25.7"/>
        <n v="229.57"/>
        <n v="66.7"/>
        <n v="217.0"/>
        <n v="31670.6"/>
        <n v="239.82"/>
        <n v="66.71"/>
        <n v="87.16"/>
        <n v="101.26"/>
        <n v="17.4"/>
        <n v="52.93"/>
        <n v="8637.44"/>
        <n v="59.95"/>
        <n v="5062.49"/>
        <n v="646.97"/>
        <n v="946.29"/>
        <n v="123.0"/>
        <n v="554.08"/>
        <n v="152.54"/>
        <n v="89.79"/>
        <n v="199.76"/>
        <n v="480.37"/>
        <n v="5.76"/>
        <n v="3112.13"/>
        <n v="2589.01"/>
        <n v="1893.93"/>
        <n v="211.13"/>
        <n v="25.39"/>
        <n v="87.27"/>
        <n v="403.25"/>
        <n v="414.49"/>
        <n v="469.69"/>
        <n v="8585.67"/>
        <n v="57.37"/>
        <n v="66.32"/>
        <n v="18.75"/>
        <n v="188.51"/>
        <n v="6720.88"/>
        <n v="102.21"/>
        <n v="31.18"/>
        <n v="267.53"/>
        <n v="43046.2"/>
        <n v="330.21"/>
        <n v="6831.37"/>
        <n v="10331.09"/>
        <n v="83.86"/>
        <n v="1707.84"/>
        <n v="66.88"/>
        <n v="274.91"/>
        <n v="1128.74"/>
        <n v="805.99"/>
        <n v="1066.54"/>
        <n v="65.74"/>
        <n v="5.84"/>
        <n v="405.57"/>
        <n v="32.6"/>
        <n v="515.88"/>
        <n v="25.06"/>
        <n v="578.24"/>
        <n v="116.93"/>
        <n v="170.45"/>
        <n v="285.87"/>
        <n v="20.37"/>
        <n v="17.44"/>
        <n v="702.68"/>
        <n v="67.24"/>
        <n v="24.27"/>
        <n v="38.53"/>
        <n v="4910.72"/>
        <n v="116.8"/>
        <n v="32.39"/>
        <n v="227.79"/>
        <n v="5679.59"/>
        <n v="102.32"/>
        <n v="1494.63"/>
        <n v="46.23"/>
        <n v="279.28"/>
        <n v="70.06"/>
        <n v="81.82"/>
        <n v="13.16"/>
        <n v="205.98"/>
        <n v="31.46"/>
        <n v="948.97"/>
        <n v="136.99"/>
        <n v="99.36"/>
        <n v="9580.0"/>
        <n v="28.32"/>
        <n v="2309.49"/>
        <n v="1232.01"/>
        <n v="506.38"/>
        <n v="1042.72"/>
        <n v="1769.91"/>
        <n v="6686.34"/>
        <n v="4620.05"/>
        <n v="1912.98"/>
        <n v="4170.87"/>
        <n v="818.81"/>
        <n v="34.11"/>
        <n v="154.71"/>
        <n v="192.33"/>
        <n v="6901.25"/>
        <n v="148.94"/>
        <n v="200.68"/>
        <n v="29.92"/>
        <n v="19.73"/>
        <n v="615.54"/>
        <n v="261.34"/>
        <n v="202.41"/>
        <n v="793.39"/>
        <n v="54.04"/>
        <n v="832.14"/>
        <n v="221.06"/>
        <n v="58.67"/>
        <n v="101.06"/>
        <n v="1429.81"/>
        <n v="34.97"/>
        <n v="308.86"/>
        <n v="485.01"/>
        <n v="81.14"/>
        <n v="10.11"/>
        <n v="6621.17"/>
        <n v="253.78"/>
        <n v="69.96"/>
        <n v="2716.09"/>
        <n v="21.34"/>
        <n v="17.42"/>
        <n v="49.81"/>
        <n v="3722.41"/>
        <n v="95.1"/>
        <n v="734.74"/>
        <n v="1882.87"/>
        <n v="8834.58"/>
        <n v="78.54"/>
        <n v="605.1"/>
        <n v="355.84"/>
        <n v="1346.32"/>
        <n v="292.18"/>
        <n v="322.03"/>
        <n v="2470.84"/>
        <n v="5250.66"/>
        <n v="1423.35"/>
        <n v="1154.12"/>
        <n v="32.5"/>
        <n v="193.95"/>
        <n v="158.8"/>
        <n v="274.26"/>
        <n v="83.16"/>
        <n v="261.93"/>
        <n v="210.1"/>
        <n v="6499.87"/>
        <n v="351.56"/>
        <n v="87.89"/>
        <n v="6.5"/>
        <n v="68.56"/>
        <n v="20.79"/>
        <n v="67.91"/>
        <n v="40.37"/>
        <n v="122.25"/>
        <n v="206.09"/>
        <n v="66.9"/>
        <n v="43.13"/>
        <n v="11.21"/>
        <n v="100.38"/>
        <n v="1178.32"/>
        <n v="2016.32"/>
        <n v="612.25"/>
        <n v="313.63"/>
        <n v="397.17"/>
        <n v="63.48"/>
        <n v="47.64"/>
        <n v="1545.58"/>
        <n v="2104.99"/>
        <n v="353.1"/>
        <n v="257.52"/>
        <n v="411.64"/>
        <n v="17.59"/>
        <n v="141.54"/>
        <n v="905.4"/>
        <n v="243.86"/>
        <n v="39.97"/>
        <n v="92.96"/>
        <n v="1362.2"/>
        <n v="336.64"/>
        <n v="429.33"/>
        <n v="44.66"/>
        <n v="1619.95"/>
        <n v="56.44"/>
        <n v="56.73"/>
        <n v="64.41"/>
        <n v="344.57"/>
        <n v="279.01"/>
        <n v="614.99"/>
        <n v="76.23"/>
        <n v="99.92"/>
        <n v="79.4"/>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8"/>
        <n v="573.31"/>
        <n v="140.23"/>
        <n v="594.44"/>
        <n v="228.5"/>
        <n v="191.1"/>
        <n v="28.05"/>
        <n v="151.77"/>
        <n v="57.13"/>
        <n v="116.92"/>
        <n v="151.6"/>
        <n v="31.73"/>
        <n v="85.26"/>
        <n v="16.6"/>
        <n v="2285.41"/>
        <n v="513.52"/>
        <n v="346.52"/>
        <n v="499.31"/>
        <n v="73.1"/>
        <n v="2115.06"/>
        <n v="47.95"/>
        <n v="134.38"/>
        <n v="76.77"/>
        <n v="782.0"/>
        <n v="15.73"/>
        <n v="1719.07"/>
        <n v="8.41"/>
        <n v="104.95"/>
        <n v="166.59"/>
        <n v="396.19"/>
        <n v="98.7"/>
        <n v="1782.44"/>
        <n v="72.11"/>
        <n v="124.81"/>
        <n v="881.32"/>
        <n v="41.6"/>
        <n v="1497.22"/>
        <n v="244.81"/>
        <n v="4.55"/>
        <n v="27.63"/>
        <n v="31.21"/>
        <n v="1214.03"/>
        <n v="3.51"/>
        <n v="120.12"/>
        <n v="7.01"/>
        <n v="1452.18"/>
        <n v="619.38"/>
        <n v="18.69"/>
        <n v="8.8"/>
        <n v="477.2"/>
        <n v="2848.38"/>
        <n v="38.58"/>
        <n v="810.47"/>
        <n v="72.83"/>
        <n v="63.66"/>
        <n v="127.22"/>
        <n v="432.44"/>
        <n v="12.18"/>
        <n v="950.43"/>
        <n v="25.37"/>
        <n v="6963.67"/>
        <n v="160.17"/>
        <n v="7.47"/>
        <n v="370.81"/>
        <n v="119.99"/>
        <n v="650.7"/>
        <n v="11.41"/>
        <n v="680.39"/>
        <n v="75.52"/>
        <n v="2354.54"/>
        <n v="79.06"/>
        <n v="65.14"/>
        <n v="640.71"/>
        <n v="659.6"/>
        <n v="1137.6"/>
        <n v="151.55"/>
        <n v="57.03"/>
        <n v="347.23"/>
        <n v="478.23"/>
        <n v="1670.33"/>
        <n v="100.59"/>
        <n v="598.38"/>
        <n v="39.36"/>
        <n v="322.77"/>
        <n v="65.09"/>
        <n v="98.96"/>
        <n v="13546.94"/>
        <n v="6401.65"/>
        <n v="617.4"/>
        <n v="157.78"/>
        <n v="26.31"/>
        <n v="209.78"/>
        <n v="17.83"/>
        <n v="2527.79"/>
        <n v="121.87"/>
        <n v="659.42"/>
        <n v="403.53"/>
        <n v="55.17"/>
        <n v="377.44"/>
        <n v="286.4"/>
        <n v="664.34"/>
        <n v="473.53"/>
        <n v="220.92"/>
        <n v="196.41"/>
        <n v="54.08"/>
        <n v="47.18"/>
        <n v="30.87"/>
        <n v="309.05"/>
        <n v="299.3"/>
        <n v="45.24"/>
        <n v="51.02"/>
        <n v="2291.39"/>
        <n v="9492.92"/>
        <n v="318.47"/>
        <n v="586.96"/>
        <n v="11272.77"/>
        <n v="144.33"/>
        <n v="270.55"/>
        <n v="79.62"/>
        <n v="479.79"/>
        <n v="108.99"/>
        <n v="3527.82"/>
        <n v="4698.21"/>
        <n v="258.93"/>
        <n v="277.6"/>
        <n v="168.04"/>
        <n v="703.46"/>
        <n v="103.61"/>
        <n v="3144.56"/>
        <n v="2653.02"/>
        <n v="66.81"/>
        <n v="90.52"/>
        <n v="55.97"/>
        <n v="311.66"/>
        <n v="9862.51"/>
        <n v="177.41"/>
        <n v="406.91"/>
        <n v="1332.09"/>
        <n v="105.5"/>
        <n v="101.73"/>
        <n v="37.7"/>
        <n v="75.81"/>
        <n v="2630.0"/>
        <n v="333.02"/>
        <n v="27.76"/>
        <n v="3855.28"/>
        <n v="192.49"/>
        <n v="2560.55"/>
        <n v="227.67"/>
        <n v="8.83"/>
        <n v="34.41"/>
        <n v="157.27"/>
        <n v="1013.84"/>
        <n v="110.75"/>
        <n v="181.46"/>
        <n v="1076.3"/>
        <n v="21.46"/>
        <n v="3506.78"/>
        <n v="267.69"/>
        <n v="2307.26"/>
        <n v="39.15"/>
        <n v="266.95"/>
        <n v="20552.55"/>
        <n v="87.8"/>
        <n v="3741.39"/>
        <n v="149.32"/>
        <n v="177.01"/>
        <n v="35.16"/>
        <n v="88.84"/>
        <n v="696.96"/>
        <n v="149.41"/>
        <n v="4556.63"/>
        <n v="2948.61"/>
        <n v="517.85"/>
        <n v="2373.32"/>
        <n v="325.73"/>
        <n v="127.94"/>
        <n v="1350.94"/>
        <n v="75.17"/>
        <n v="1125.76"/>
        <n v="746.03"/>
        <n v="593.33"/>
        <n v="13.05"/>
        <n v="58.95"/>
        <n v="3672.89"/>
        <n v="374.81"/>
        <n v="43.27"/>
        <n v="11.74"/>
        <n v="5258.94"/>
        <n v="66.74"/>
        <n v="1282.67"/>
        <n v="208.83"/>
        <n v="228.3"/>
        <n v="129.53"/>
        <n v="55.68"/>
        <n v="568.24"/>
        <n v="162.91"/>
        <n v="97.65"/>
        <n v="1018.61"/>
        <n v="1145.6"/>
        <n v="24.52"/>
        <n v="5775.81"/>
        <n v="1878.24"/>
        <n v="1634.67"/>
        <n v="9280.72"/>
        <n v="1348.83"/>
        <n v="564.98"/>
        <n v="129.48"/>
        <n v="8216.28"/>
        <n v="152.11"/>
        <n v="35.97"/>
        <n v="85.64"/>
        <n v="2508.15"/>
        <n v="225.62"/>
        <n v="610.65"/>
        <n v="699.24"/>
        <n v="2346.03"/>
        <n v="33.77"/>
        <n v="172.79"/>
        <n v="19.66"/>
        <n v="604.35"/>
        <n v="3.13"/>
        <n v="378.23"/>
        <n v="7.15"/>
        <n v="29.85"/>
        <n v="366.44"/>
        <n v="69.75"/>
        <n v="852.53"/>
        <n v="219.66"/>
        <n v="81.9"/>
        <n v="2343.34"/>
        <n v="327.61"/>
        <n v="1774.5"/>
        <n v="1054.69"/>
        <n v="6654.39"/>
        <n v="4429.69"/>
        <n v="878.34"/>
        <n v="676.57"/>
        <n v="459.55"/>
        <n v="536.9"/>
        <n v="8.74"/>
        <n v="182.33"/>
        <n v="131.26"/>
        <n v="240.6"/>
        <n v="236.88"/>
        <n v="2710.47"/>
        <n v="8354.73"/>
        <n v="48.3"/>
        <n v="58.81"/>
        <n v="47.38"/>
        <n v="637.76"/>
        <n v="2156.06"/>
        <n v="761.16"/>
        <n v="682.68"/>
        <n v="73.44"/>
        <n v="2997.07"/>
        <n v="282.85"/>
        <n v="20.03"/>
        <n v="84.56"/>
        <n v="70.71"/>
        <n v="51.86"/>
        <n v="56.24"/>
        <n v="627.78"/>
        <n v="283.44"/>
        <n v="10.04"/>
        <n v="981.65"/>
        <n v="1748.69"/>
        <n v="119.29"/>
        <n v="3.08"/>
        <n v="69.46"/>
        <n v="1145.72"/>
        <n v="26.37"/>
        <n v="53.44"/>
        <n v="57.34"/>
        <n v="79.02"/>
        <n v="25.45"/>
        <n v="110.72"/>
        <n v="46.94"/>
        <n v="26.18"/>
        <n v="28.66"/>
        <n v="123.18"/>
        <n v="1533.59"/>
        <n v="2.77"/>
        <n v="31.55"/>
        <n v="42.58"/>
        <n v="145.36"/>
        <n v="3616.52"/>
        <n v="7.96"/>
        <n v="389.59"/>
        <n v="447.89"/>
        <n v="1420.84"/>
        <n v="111.97"/>
        <n v="355.21"/>
        <n v="536.23"/>
        <n v="38.81"/>
        <n v="2144.92"/>
        <n v="484.56"/>
        <n v="471.21"/>
        <n v="182.61"/>
        <n v="36.58"/>
        <n v="2376.12"/>
        <n v="1020.08"/>
        <n v="65.2"/>
        <n v="22.59"/>
        <n v="121.36"/>
        <n v="2013.67"/>
        <n v="1824.33"/>
        <n v="107.65"/>
        <n v="165.21"/>
        <n v="25.15"/>
        <n v="4285.56"/>
        <n v="631.37"/>
        <n v="267.83"/>
        <n v="2767.95"/>
        <n v="123.03"/>
        <n v="431.84"/>
        <n v="2366.51"/>
        <n v="291.64"/>
        <n v="252.36"/>
        <n v="575.07"/>
        <n v="1781.66"/>
        <n v="940.64"/>
        <n v="439.27"/>
        <n v="4410.19"/>
        <n v="552.89"/>
        <n v="621.56"/>
        <n v="88.83"/>
        <n v="307.65"/>
        <n v="76.91"/>
        <n v="151.34"/>
        <n v="290.24"/>
        <n v="971.4"/>
        <n v="193.51"/>
        <n v="157.81"/>
        <n v="19.44"/>
        <n v="4636.63"/>
        <n v="739.07"/>
        <n v="157.64"/>
        <n v="42.16"/>
        <n v="14.08"/>
        <n v="256.73"/>
        <n v="58.83"/>
        <n v="1557.66"/>
        <n v="129.43"/>
        <n v="61.39"/>
        <n v="2435.52"/>
        <n v="464.86"/>
        <n v="288.67"/>
        <n v="1030.51"/>
        <n v="2026.91"/>
        <n v="115.53"/>
        <n v="162.39"/>
        <n v="1316.03"/>
        <n v="1395.41"/>
        <n v="4920.81"/>
        <n v="28.22"/>
        <n v="74.01"/>
        <n v="48.1"/>
        <n v="11015.82"/>
        <n v="300.67"/>
        <n v="723.54"/>
        <n v="87.53"/>
        <n v="172.22"/>
        <n v="894.88"/>
        <n v="16.67"/>
        <n v="195.16"/>
        <n v="879.62"/>
        <n v="361.19"/>
        <n v="1088.26"/>
        <n v="105.75"/>
        <n v="63.93"/>
        <n v="391.4"/>
        <n v="14.53"/>
        <n v="144.03"/>
        <n v="48.81"/>
        <n v="7360.2"/>
        <n v="89.06"/>
        <n v="134.97"/>
        <n v="19.12"/>
        <n v="186.64"/>
        <n v="3.53"/>
        <n v="706.56"/>
        <n v="13121.07"/>
        <n v="110.93"/>
        <n v="118.35"/>
        <n v="17.31"/>
        <n v="23.56"/>
        <n v="494.49"/>
        <n v="158.13"/>
        <n v="163.01"/>
        <n v="333.04"/>
        <n v="472.44"/>
        <n v="18.73"/>
        <n v="2427.18"/>
        <n v="434.85"/>
        <n v="19.16"/>
        <n v="1959.88"/>
        <n v="710.16"/>
        <n v="48.25"/>
        <n v="243.24"/>
        <n v="38.54"/>
        <n v="1483.16"/>
        <n v="562.93"/>
        <n v="29.18"/>
        <n v="1634.13"/>
        <n v="214.14"/>
        <n v="100.79"/>
        <n v="735.7"/>
        <n v="225.59"/>
        <n v="145.12"/>
        <n v="94.27"/>
        <n v="82.21"/>
        <n v="417.47"/>
        <n v="1104.32"/>
        <n v="149.8"/>
        <n v="6.97"/>
        <n v="367.52"/>
        <n v="1576.35"/>
        <n v="52.16"/>
        <n v="4881.84"/>
        <n v="926.3"/>
        <n v="942.53"/>
        <n v="276.64"/>
        <n v="514.62"/>
        <n v="817.32"/>
        <n v="284.48"/>
        <n v="225.98"/>
        <n v="72.77"/>
        <n v="57.7"/>
        <n v="19.67"/>
        <n v="514.79"/>
        <n v="893.53"/>
        <n v="2053.6"/>
        <n v="37.89"/>
        <n v="343.79"/>
        <n v="188.09"/>
        <n v="129.54"/>
        <n v="49.44"/>
        <n v="14.29"/>
        <n v="45.28"/>
        <n v="13.57"/>
        <n v="55.48"/>
        <n v="5319.35"/>
        <n v="30.44"/>
        <n v="3251.76"/>
        <n v="22.48"/>
        <n v="267.32"/>
        <n v="284.39"/>
        <n v="974.14"/>
        <n v="128.13"/>
        <n v="464.94"/>
        <n v="2188.06"/>
        <n v="320.93"/>
        <n v="261.85"/>
        <n v="1834.61"/>
        <n v="261.56"/>
        <n v="114.81"/>
        <n v="546.21"/>
        <n v="272.86"/>
        <n v="2119.54"/>
        <n v="45737.33"/>
        <n v="438.25"/>
        <n v="561.06"/>
        <n v="11434.33"/>
        <n v="3229.24"/>
        <n v="101.13"/>
        <n v="451.83"/>
        <n v="20.24"/>
        <n v="1486.34"/>
        <n v="406.26"/>
        <n v="5835.41"/>
        <n v="52.1"/>
        <n v="45.87"/>
        <n v="256.77"/>
        <n v="605.82"/>
        <n v="1569.0"/>
        <n v="151.46"/>
        <n v="10.19"/>
        <n v="64.19"/>
        <n v="118.57"/>
        <n v="79.47"/>
        <n v="627.28"/>
        <n v="1160.42"/>
        <n v="103.37"/>
        <n v="40.22"/>
        <n v="52.43"/>
        <n v="818.49"/>
        <n v="410.17"/>
        <n v="269.54"/>
        <n v="106.57"/>
        <n v="38.41"/>
        <n v="131.34"/>
        <n v="251.61"/>
        <n v="287.99"/>
        <n v="46.86"/>
        <n v="658.62"/>
        <n v="21.96"/>
        <n v="24.57"/>
        <n v="1008.53"/>
        <n v="6968.9"/>
        <n v="41.29"/>
        <n v="88.64"/>
        <n v="1300.54"/>
        <n v="38.06"/>
        <n v="1263.35"/>
        <n v="202.38"/>
        <n v="56.38"/>
        <n v="119.13"/>
        <n v="809.51"/>
        <n v="643.64"/>
        <n v="244.31"/>
        <n v="466.58"/>
        <n v="2290.69"/>
        <n v="337.59"/>
        <n v="10.65"/>
        <n v="55.13"/>
        <n v="215.32"/>
        <n v="382.85"/>
        <n v="44.8"/>
        <n v="100.99"/>
        <n v="142.06"/>
        <n v="58.52"/>
        <n v="363.74"/>
        <n v="15.93"/>
        <n v="21.28"/>
        <n v="675.83"/>
        <n v="28.0"/>
        <n v="535.08"/>
        <n v="222.71"/>
        <n v="220.52"/>
        <n v="68.34"/>
        <n v="522.22"/>
        <n v="28.01"/>
        <n v="80.35"/>
        <n v="99.69"/>
        <n v="152.49"/>
        <n v="320.75"/>
        <n v="11.35"/>
        <n v="7029.1"/>
        <n v="1059.38"/>
        <n v="2233.46"/>
        <n v="928.92"/>
        <n v="3845.35"/>
        <n v="3.77"/>
        <n v="343.54"/>
        <n v="3627.08"/>
        <n v="8.34"/>
        <n v="63.32"/>
        <n v="83.72"/>
        <n v="1011.44"/>
        <n v="132.23"/>
        <n v="210.33"/>
        <n v="882.93"/>
        <n v="1757.15"/>
        <n v="1786.04"/>
        <n v="34.76"/>
        <n v="561.65"/>
        <n v="413.73"/>
        <n v="55.6"/>
        <n v="2099.61"/>
        <n v="96.6"/>
        <n v="558.17"/>
        <n v="8.39"/>
        <n v="559.43"/>
        <n v="1216.52"/>
        <n v="1058.36"/>
        <n v="18.31"/>
        <n v="4935.22"/>
        <n v="51.03"/>
        <n v="746.91"/>
        <n v="77.47"/>
        <n v="204.34"/>
        <n v="206.04"/>
        <n v="475.42"/>
        <n v="3598.82"/>
        <n v="41.22"/>
        <n v="875.39"/>
        <n v="8.24"/>
        <n v="641.11"/>
        <n v="2130.04"/>
        <n v="82.8"/>
        <n v="99.02"/>
        <n v="46.4"/>
        <n v="551.51"/>
        <n v="142.79"/>
        <n v="585.08"/>
        <n v="72.75"/>
        <n v="269.33"/>
        <n v="377.0"/>
        <n v="42.99"/>
        <n v="65.69"/>
        <n v="2748.21"/>
        <n v="93.19"/>
        <n v="363.37"/>
        <n v="480.75"/>
        <n v="16.88"/>
        <n v="925.19"/>
        <n v="408.66"/>
        <n v="122.93"/>
        <n v="32.66"/>
        <n v="14.85"/>
        <n v="45.0"/>
        <n v="6569.07"/>
        <n v="88.22"/>
        <n v="40.29"/>
        <n v="151.27"/>
        <n v="10.51"/>
        <n v="74.93"/>
        <n v="1370.99"/>
        <n v="1913.84"/>
        <n v="2692.12"/>
        <n v="762.38"/>
        <n v="36.72"/>
        <n v="305.71"/>
        <n v="277.12"/>
        <n v="100.11"/>
        <n v="31.54"/>
        <n v="4634.69"/>
        <n v="7304.03"/>
        <n v="632.65"/>
        <n v="290.98"/>
        <n v="21.77"/>
        <n v="384.22"/>
        <n v="31.64"/>
        <n v="565.36"/>
        <n v="32.76"/>
        <n v="336.92"/>
        <n v="114.91"/>
        <n v="934.52"/>
        <n v="260.66"/>
        <n v="4249.37"/>
        <n v="6676.61"/>
        <n v="291.4"/>
        <n v="146.5"/>
        <n v="38.98"/>
        <n v="34.16"/>
        <n v="120.34"/>
        <n v="153.61"/>
        <n v="1414.88"/>
        <n v="33.63"/>
        <n v="1063.81"/>
        <n v="242.7"/>
        <n v="3377.06"/>
        <n v="123.93"/>
        <n v="93.96"/>
        <n v="1818.41"/>
        <n v="8.95"/>
        <n v="652.84"/>
        <n v="12750.99"/>
        <n v="20.54"/>
        <n v="7840.04"/>
        <n v="1094.33"/>
        <n v="389.97"/>
        <n v="84.59"/>
        <n v="9666.72"/>
        <n v="134.58"/>
        <n v="33.65"/>
        <n v="66.12"/>
        <n v="3.07"/>
        <n v="255.83"/>
        <n v="421.18"/>
        <n v="1377.46"/>
        <n v="6600.63"/>
        <n v="1811.99"/>
        <n v="799.76"/>
        <n v="609.09"/>
        <n v="2761.94"/>
        <n v="33.95"/>
        <n v="302.34"/>
        <n v="334.44"/>
        <n v="556.61"/>
        <n v="64.48"/>
        <n v="4845.27"/>
        <n v="19.68"/>
        <n v="9798.84"/>
        <n v="154.11"/>
        <n v="242.97"/>
        <n v="200.61"/>
        <n v="237.83"/>
        <n v="53.02"/>
        <n v="248.84"/>
        <n v="7.21"/>
        <n v="253.87"/>
        <n v="5880.46"/>
        <n v="577.25"/>
        <n v="4075.18"/>
        <n v="1798.23"/>
        <n v="727.2"/>
        <n v="6173.42"/>
        <n v="1553.7"/>
        <n v="18.68"/>
        <n v="36.3"/>
        <n v="16.03"/>
        <n v="25.35"/>
        <n v="19.32"/>
        <n v="86.8"/>
        <n v="381.91"/>
        <n v="761.67"/>
        <n v="5014.07"/>
        <n v="186.19"/>
        <n v="1227.94"/>
        <n v="294.97"/>
        <n v="2458.05"/>
        <n v="2465.75"/>
        <n v="650.25"/>
        <n v="272.12"/>
        <n v="428.85"/>
        <n v="342.54"/>
        <n v="27.96"/>
        <n v="1635.38"/>
        <n v="58.48"/>
        <n v="40.05"/>
        <n v="1117.66"/>
        <n v="807.0"/>
        <n v="169.46"/>
        <n v="5768.12"/>
        <n v="55.25"/>
        <n v="551.22"/>
        <n v="83.93"/>
        <n v="193.88"/>
        <n v="990.25"/>
        <n v="14.76"/>
        <n v="808.44"/>
        <n v="67.41"/>
        <n v="55.08"/>
        <n v="1608.11"/>
        <n v="99.75"/>
        <n v="51.41"/>
        <n v="68.72"/>
        <n v="618.96"/>
        <n v="77.54"/>
        <n v="361.72"/>
        <n v="1373.47"/>
        <n v="91.92"/>
        <n v="73.29"/>
        <n v="2961.32"/>
        <n v="87.11"/>
        <n v="170.46"/>
        <n v="4.95"/>
        <n v="461.24"/>
        <n v="577.75"/>
        <n v="59.4"/>
        <n v="66.46"/>
        <n v="35.35"/>
        <n v="248.21"/>
        <n v="4086.5"/>
        <n v="375.03"/>
        <n v="22.11"/>
        <n v="2875.35"/>
        <n v="78.08"/>
        <n v="2013.88"/>
        <n v="201.32"/>
        <n v="298.51"/>
        <n v="3846.06"/>
        <n v="35.93"/>
        <n v="1610.84"/>
        <n v="86.12"/>
        <n v="76.87"/>
        <n v="374.6"/>
        <n v="61.87"/>
        <n v="48.88"/>
        <n v="21.56"/>
        <n v="164.67"/>
        <n v="72.74"/>
        <n v="418.75"/>
        <n v="469.59"/>
        <n v="136.25"/>
        <n v="558.41"/>
        <n v="290.22"/>
        <n v="1129.67"/>
        <n v="2439.37"/>
        <n v="92.02"/>
        <n v="283.55"/>
        <n v="9757.48"/>
        <n v="850.64"/>
        <n v="1159.79"/>
        <n v="20.22"/>
        <n v="1548.97"/>
        <n v="337.86"/>
        <n v="84.21"/>
        <n v="38.74"/>
        <n v="134.09"/>
        <n v="191.73"/>
        <n v="618.85"/>
        <n v="115.99"/>
        <n v="19.46"/>
        <n v="44.75"/>
        <n v="9.23"/>
        <n v="96.13"/>
        <n v="73.96"/>
        <n v="1805.9"/>
        <n v="311.41"/>
        <n v="3707.05"/>
        <n v="2805.18"/>
        <n v="80.86"/>
        <n v="1096.63"/>
        <n v="632.12"/>
        <n v="1302.98"/>
        <n v="131.79"/>
        <n v="35.33"/>
        <n v="674.55"/>
        <n v="1721.24"/>
        <n v="668.38"/>
        <n v="324.62"/>
        <n v="40.93"/>
        <n v="53.42"/>
        <n v="8.49"/>
        <n v="69.89"/>
        <n v="77.42"/>
        <n v="7.2"/>
        <n v="61.29"/>
        <n v="109.15"/>
        <n v="1477.84"/>
        <n v="29.08"/>
        <n v="1162.46"/>
        <n v="5911.35"/>
        <n v="4649.85"/>
        <n v="2259.99"/>
        <n v="42.46"/>
        <n v="314.06"/>
        <n v="1009.99"/>
        <n v="92.16"/>
        <n v="16.5"/>
        <n v="1202.66"/>
        <n v="196.69"/>
        <n v="40.28"/>
        <n v="904.31"/>
        <n v="96.86"/>
        <n v="765.65"/>
        <n v="8.72"/>
        <n v="6355.69"/>
        <n v="28.09"/>
        <n v="1130.15"/>
        <n v="54.37"/>
        <n v="100.87"/>
        <n v="1857.08"/>
        <n v="42.56"/>
        <n v="414.91"/>
        <n v="91.39"/>
        <n v="202.29"/>
        <n v="168.71"/>
        <n v="885.65"/>
        <n v="152.05"/>
        <n v="49.1"/>
        <n v="246.44"/>
        <n v="199.08"/>
        <n v="2039.07"/>
        <n v="436.94"/>
        <n v="37.38"/>
        <n v="47.4"/>
        <n v="260.0"/>
        <n v="709.7"/>
        <n v="27.42"/>
        <n v="739.06"/>
        <n v="30.47"/>
        <n v="96.96"/>
        <n v="4.21"/>
        <n v="3550.28"/>
        <n v="1188.63"/>
        <n v="1009.93"/>
        <n v="140.7"/>
        <n v="15.95"/>
        <n v="42.35"/>
        <n v="63.78"/>
        <n v="451.61"/>
        <n v="10.41"/>
        <n v="2849.64"/>
        <n v="38.04"/>
        <n v="42.53"/>
        <n v="14.77"/>
        <n v="438.33"/>
        <n v="38.11"/>
        <n v="724.57"/>
        <n v="51.13"/>
        <n v="79.61"/>
        <n v="109.99"/>
        <n v="900.12"/>
        <n v="237.62"/>
        <n v="176.42"/>
        <n v="2084.16"/>
        <n v="43.41"/>
        <n v="46.42"/>
        <n v="1140.95"/>
        <n v="42.69"/>
        <n v="327.41"/>
        <n v="3786.84"/>
        <n v="2012.11"/>
        <n v="471.66"/>
        <n v="662.8"/>
        <n v="119.86"/>
        <n v="2651.21"/>
        <n v="38.96"/>
        <n v="8048.45"/>
        <n v="1939.03"/>
        <n v="457.63"/>
        <n v="170.75"/>
        <n v="1339.42"/>
        <n v="8.66"/>
        <n v="10554.63"/>
        <n v="1749.64"/>
        <n v="355.4"/>
        <n v="148.36"/>
        <n v="2814.57"/>
        <n v="88.85"/>
        <n v="70.82"/>
        <n v="90.44"/>
        <n v="10.72"/>
        <n v="10180.01"/>
        <n v="42.44"/>
        <n v="462.57"/>
        <n v="125.37"/>
        <n v="190.85"/>
        <n v="370.68"/>
        <n v="2400.95"/>
        <n v="7303.05"/>
        <n v="58.05"/>
        <n v="68.64"/>
        <n v="277.07"/>
        <n v="51.99"/>
        <n v="149.67"/>
        <n v="61.1"/>
        <n v="193.81"/>
        <n v="257.48"/>
        <n v="3194.99"/>
        <n v="202.98"/>
        <n v="10.86"/>
        <n v="1477.57"/>
        <n v="382.29"/>
        <n v="881.74"/>
        <n v="7384.18"/>
        <n v="448.26"/>
        <n v="95.57"/>
        <n v="214.48"/>
        <n v="1790.1"/>
        <n v="110.68"/>
        <n v="385.45"/>
        <n v="30.1"/>
        <n v="261.21"/>
        <n v="42.79"/>
        <n v="1828.22"/>
        <n v="29.77"/>
        <n v="147.19"/>
        <n v="39.17"/>
        <n v="87.85"/>
        <n v="7429.63"/>
        <n v="224.29"/>
        <n v="51.2"/>
        <n v="29718.53"/>
        <n v="197.48"/>
        <n v="46.85"/>
        <n v="93.57"/>
        <n v="2694.49"/>
        <n v="174.5"/>
        <n v="26.01"/>
        <n v="1527.97"/>
        <n v="110.86"/>
        <n v="97.98"/>
        <n v="127.83"/>
        <n v="289.88"/>
        <n v="4354.55"/>
        <n v="146.17"/>
        <n v="42.02"/>
        <n v="3705.14"/>
        <n v="945.36"/>
        <n v="49.24"/>
        <n v="68.45"/>
        <n v="40.69"/>
        <n v="130.11"/>
        <n v="337.34"/>
        <n v="280.43"/>
        <n v="103.39"/>
        <n v="435.39"/>
        <n v="1051.52"/>
        <n v="25.85"/>
        <n v="119.37"/>
        <n v="257.92"/>
        <n v="207.22"/>
        <n v="237.8"/>
        <n v="448.47"/>
        <n v="1000.26"/>
        <n v="2184.99"/>
        <n v="1191.2"/>
        <n v="165.71"/>
        <n v="1277.49"/>
        <n v="14.2"/>
        <n v="52.21"/>
        <n v="170.32"/>
        <n v="203.29"/>
        <n v="759.88"/>
        <n v="94.2"/>
        <n v="34.32"/>
        <n v="392.45"/>
        <n v="511.25"/>
        <n v="29.88"/>
        <n v="599.03"/>
        <n v="356.92"/>
        <n v="136.16"/>
        <n v="130.74"/>
        <n v="49.87"/>
        <n v="24.18"/>
        <n v="27587.55"/>
        <n v="1191.58"/>
        <n v="6938.19"/>
        <n v="419.27"/>
        <n v="36.0"/>
        <n v="11.78"/>
        <n v="20.96"/>
        <n v="26.66"/>
        <n v="29.55"/>
        <n v="1237.4"/>
        <n v="17.64"/>
        <n v="74.23"/>
        <n v="627.19"/>
        <n v="612.92"/>
        <n v="2569.57"/>
        <n v="78.99"/>
        <n v="1345.33"/>
        <n v="15.19"/>
        <n v="59.49"/>
        <n v="57.84"/>
        <n v="1425.71"/>
        <n v="25.26"/>
        <n v="736.16"/>
        <n v="31.96"/>
        <n v="98.17"/>
        <n v="264.95"/>
        <n v="53.21"/>
        <n v="122.8"/>
        <n v="282.38"/>
        <n v="924.8"/>
        <n v="821.17"/>
        <n v="194.08"/>
        <n v="237.77"/>
        <n v="316.28"/>
        <n v="2591.09"/>
        <n v="150.24"/>
        <n v="10364.36"/>
        <n v="657.61"/>
        <n v="241.97"/>
        <n v="120.81"/>
        <n v="41.4"/>
        <n v="159.53"/>
        <n v="536.29"/>
        <n v="10.96"/>
        <n v="4146.28"/>
        <n v="3902.09"/>
        <n v="14.18"/>
        <n v="2118.99"/>
        <n v="837.64"/>
        <n v="345.07"/>
        <n v="5.48"/>
        <n v="8201.33"/>
        <n v="22.67"/>
        <n v="393.98"/>
        <n v="19.29"/>
        <n v="5.21"/>
        <n v="22.92"/>
        <n v="30.9"/>
        <n v="2363.08"/>
        <n v="328.45"/>
        <n v="386.61"/>
        <n v="43.94"/>
        <n v="43.31"/>
        <n v="284.34"/>
        <n v="3913.02"/>
        <n v="180.14"/>
        <n v="364.92"/>
        <n v="12.16"/>
        <n v="147.56"/>
        <n v="113.68"/>
        <n v="281.75"/>
        <n v="240.05"/>
        <n v="87.21"/>
        <n v="40.15"/>
        <n v="90.46"/>
        <n v="467.03"/>
        <n v="608.81"/>
        <n v="808.61"/>
        <n v="637.37"/>
        <n v="232.16"/>
        <n v="360.03"/>
        <n v="260.01"/>
        <n v="273.79"/>
        <n v="44.62"/>
        <n v="268.64"/>
        <n v="87.68"/>
        <n v="37.62"/>
        <n v="832.97"/>
        <n v="1042.54"/>
        <n v="76.16"/>
        <n v="1038.14"/>
        <n v="6296.0"/>
        <n v="8.79"/>
        <n v="2051.68"/>
        <n v="5295.03"/>
        <n v="80.27"/>
        <n v="3292.02"/>
        <n v="199.43"/>
        <n v="110.71"/>
        <n v="56.68"/>
        <n v="273.34"/>
        <n v="226.88"/>
        <n v="5220.48"/>
        <n v="113.44"/>
        <n v="66.02"/>
        <n v="33.02"/>
        <n v="2273.1"/>
        <n v="19.49"/>
        <n v="5845.81"/>
        <n v="633.85"/>
        <n v="107.51"/>
        <n v="421.08"/>
        <n v="77.2"/>
        <n v="5587.89"/>
        <n v="159.89"/>
        <n v="180.48"/>
        <n v="350.48"/>
        <n v="936.8"/>
        <n v="232.5"/>
        <n v="7497.05"/>
        <n v="1336.35"/>
        <n v="1724.01"/>
        <n v="59.79"/>
        <n v="240.21"/>
        <n v="1785.01"/>
        <n v="318.18"/>
        <n v="38.89"/>
        <n v="45.12"/>
        <n v="90.45"/>
        <n v="2125.12"/>
        <n v="45.05"/>
        <n v="7045.02"/>
        <n v="370.62"/>
        <n v="904.25"/>
        <n v="16.31"/>
        <n v="364.26"/>
        <n v="16.07"/>
        <n v="581.08"/>
        <n v="27.53"/>
        <n v="32.33"/>
        <n v="642.06"/>
        <n v="1068.6"/>
        <n v="226.53"/>
        <n v="68.65"/>
        <n v="236.83"/>
        <n v="1944.87"/>
        <n v="135.77"/>
        <n v="55.43"/>
        <n v="20.46"/>
        <n v="931.87"/>
        <n v="21.41"/>
        <n v="59.75"/>
        <n v="162.49"/>
        <n v="819.4"/>
        <n v="1809.75"/>
        <n v="70.03"/>
        <n v="102.43"/>
        <n v="137.76"/>
        <n v="326.03"/>
        <n v="379.72"/>
        <n v="48.33"/>
        <n v="34.91"/>
        <n v="47.04"/>
        <n v="10.94"/>
        <n v="731.38"/>
        <n v="344.87"/>
        <n v="523.06"/>
        <n v="2424.68"/>
        <n v="2411.43"/>
        <n v="1278.96"/>
        <n v="25.22"/>
        <n v="34.73"/>
        <n v="247.53"/>
        <n v="23.89"/>
        <n v="454.4"/>
        <n v="15.65"/>
        <n v="111.92"/>
        <n v="1700.38"/>
        <n v="35.96"/>
        <n v="141.59"/>
        <n v="203.05"/>
        <n v="56.19"/>
        <n v="40.8"/>
        <n v="117.87"/>
        <n v="1503.05"/>
        <n v="382.33"/>
        <n v="356.61"/>
        <n v="1506.89"/>
        <n v="92.29"/>
        <n v="82.29"/>
        <n v="203.37"/>
        <n v="160.66"/>
        <n v="107.08"/>
        <n v="9705.46"/>
        <n v="3247.54"/>
        <n v="5582.63"/>
        <n v="2426.36"/>
        <n v="824.0"/>
        <n v="1347.53"/>
        <n v="11.16"/>
        <n v="45.22"/>
        <n v="75.61"/>
        <n v="67.64"/>
        <n v="240.42"/>
        <n v="184.4"/>
        <n v="3802.01"/>
        <n v="1181.67"/>
        <n v="29.93"/>
        <n v="171.33"/>
        <n v="84.04"/>
        <n v="251.06"/>
        <n v="2610.56"/>
        <n v="1173.76"/>
        <n v="50.28"/>
        <n v="2570.45"/>
        <n v="158.87"/>
        <n v="56.71"/>
        <n v="5086.08"/>
        <n v="1894.45"/>
        <n v="200.72"/>
        <n v="36.82"/>
        <n v="84.6"/>
        <n v="296.75"/>
        <n v="582.2"/>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
        <n v="233.58"/>
        <n v="31.98"/>
        <n v="519.42"/>
        <n v="2382.72"/>
        <n v="64.96"/>
        <n v="19.14"/>
        <n v="45.03"/>
        <n v="153.87"/>
        <n v="2800.33"/>
        <n v="3596.03"/>
        <n v="2353.55"/>
        <n v="92.57"/>
        <n v="7974.21"/>
        <n v="87.1"/>
        <n v="736.86"/>
        <n v="33.84"/>
        <n v="14.9"/>
        <n v="39.64"/>
        <n v="139.49"/>
        <n v="1952.43"/>
        <n v="1370.79"/>
        <n v="3501.79"/>
        <n v="63.04"/>
        <n v="451.35"/>
        <n v="119.6"/>
        <n v="59.9"/>
        <n v="99.22"/>
        <n v="1183.82"/>
        <n v="201.77"/>
        <n v="443.66"/>
        <n v="541.76"/>
        <n v="107.66"/>
        <n v="318.83"/>
        <n v="3600.65"/>
        <n v="3936.61"/>
        <n v="78.31"/>
        <n v="14.66"/>
        <n v="83.14"/>
        <n v="215.25"/>
        <n v="1358.02"/>
        <n v="358.84"/>
        <n v="511.57"/>
        <n v="8.65"/>
        <n v="380.0"/>
        <n v="199.48"/>
        <n v="93.81"/>
        <n v="312.22"/>
        <n v="43.84"/>
        <n v="141.74"/>
        <n v="8717.75"/>
        <n v="2230.12"/>
        <n v="56.4"/>
        <n v="1488.51"/>
        <n v="801.93"/>
        <n v="44.24"/>
        <n v="79.74"/>
        <n v="48.32"/>
        <n v="332.16"/>
        <n v="147.62"/>
        <n v="125.9"/>
        <n v="768.81"/>
        <n v="183.39"/>
        <n v="12.9"/>
        <n v="17.89"/>
        <n v="255.88"/>
        <n v="378.82"/>
        <n v="152.18"/>
        <n v="53.89"/>
        <n v="1001.02"/>
        <n v="495.82"/>
        <n v="24.44"/>
        <n v="21.86"/>
        <n v="47.12"/>
        <n v="670.9"/>
        <n v="412.72"/>
        <n v="14.52"/>
        <n v="103.18"/>
        <n v="97.96"/>
        <n v="5419.41"/>
        <n v="700.41"/>
        <n v="646.88"/>
        <n v="1029.96"/>
        <n v="52.09"/>
        <n v="1794.88"/>
        <n v="765.04"/>
        <n v="127.12"/>
        <n v="5183.89"/>
        <n v="36.09"/>
        <n v="366.26"/>
        <n v="157.99"/>
        <n v="1212.88"/>
        <n v="125.19"/>
        <n v="1867.04"/>
        <n v="537.8"/>
        <n v="119.78"/>
        <n v="12.15"/>
        <n v="288.42"/>
        <n v="511.42"/>
        <n v="200.64"/>
        <n v="17.62"/>
        <n v="80.58"/>
        <n v="25.31"/>
        <n v="369.78"/>
        <n v="57.14"/>
        <n v="498.31"/>
        <n v="431.43"/>
        <n v="57.24"/>
        <n v="824.7"/>
        <n v="58.5"/>
        <n v="131.62"/>
        <n v="121.46"/>
        <n v="356.14"/>
        <n v="27.08"/>
        <n v="65.85"/>
        <n v="50.71"/>
        <n v="19.02"/>
        <n v="193.87"/>
        <n v="1434.51"/>
        <n v="8549.04"/>
        <n v="2239.03"/>
        <n v="22.13"/>
        <n v="34.17"/>
        <n v="94.3"/>
        <n v="178.68"/>
        <n v="79.39"/>
        <n v="199.53"/>
        <n v="37.05"/>
        <n v="68.88"/>
        <n v="549.85"/>
        <n v="48.99"/>
        <n v="681.42"/>
        <n v="66.65"/>
        <n v="2934.16"/>
        <n v="876.88"/>
        <n v="157.33"/>
        <n v="27.37"/>
        <n v="98.16"/>
        <n v="116.11"/>
        <n v="95.0"/>
        <n v="837.57"/>
        <n v="56.22"/>
        <n v="758.97"/>
        <n v="84.44"/>
        <n v="29.99"/>
        <n v="1487.9"/>
        <n v="600.4"/>
        <n v="34.25"/>
        <n v="31.45"/>
        <n v="249.07"/>
        <n v="59.22"/>
        <n v="5572.18"/>
        <n v="2941.42"/>
        <n v="522.46"/>
        <n v="513.33"/>
        <n v="15.7"/>
        <n v="680.65"/>
        <n v="28.34"/>
        <n v="861.3"/>
        <n v="894.64"/>
        <n v="710.36"/>
        <n v="80.2"/>
        <n v="9252.81"/>
        <n v="207.31"/>
        <n v="143.12"/>
        <n v="59.98"/>
        <n v="135.78"/>
        <n v="506.5"/>
      </sharedItems>
    </cacheField>
    <cacheField name="Order ID" numFmtId="0">
      <sharedItems containsSemiMixedTypes="0" containsString="0" containsNumber="1" containsInteger="1">
        <n v="88522.0"/>
        <n v="90193.0"/>
        <n v="90192.0"/>
        <n v="86838.0"/>
        <n v="86837.0"/>
        <n v="86839.0"/>
        <n v="86836.0"/>
        <n v="90031.0"/>
        <n v="90032.0"/>
        <n v="41793.0"/>
        <n v="42949.0"/>
        <n v="87651.0"/>
        <n v="87652.0"/>
        <n v="89199.0"/>
        <n v="89200.0"/>
        <n v="89202.0"/>
        <n v="89203.0"/>
        <n v="89201.0"/>
        <n v="91454.0"/>
        <n v="88426.0"/>
        <n v="88425.0"/>
        <n v="88075.0"/>
        <n v="87407.0"/>
        <n v="87408.0"/>
        <n v="87406.0"/>
        <n v="87946.0"/>
        <n v="37537.0"/>
        <n v="55713.0"/>
        <n v="87947.0"/>
        <n v="87365.0"/>
        <n v="87364.0"/>
        <n v="87366.0"/>
        <n v="90596.0"/>
        <n v="90597.0"/>
        <n v="87175.0"/>
        <n v="87176.0"/>
        <n v="87177.0"/>
        <n v="87178.0"/>
        <n v="44231.0"/>
        <n v="87306.0"/>
        <n v="88205.0"/>
        <n v="42599.0"/>
        <n v="3397.0"/>
        <n v="88204.0"/>
        <n v="89583.0"/>
        <n v="89584.0"/>
        <n v="89585.0"/>
        <n v="7909.0"/>
        <n v="13959.0"/>
        <n v="58914.0"/>
        <n v="86520.0"/>
        <n v="90669.0"/>
        <n v="86693.0"/>
        <n v="86694.0"/>
        <n v="88534.0"/>
        <n v="91087.0"/>
        <n v="91086.0"/>
        <n v="91089.0"/>
        <n v="91088.0"/>
        <n v="91090.0"/>
        <n v="89521.0"/>
        <n v="89523.0"/>
        <n v="89520.0"/>
        <n v="89522.0"/>
        <n v="89524.0"/>
        <n v="89525.0"/>
        <n v="87671.0"/>
        <n v="87672.0"/>
        <n v="89961.0"/>
        <n v="89426.0"/>
        <n v="87463.0"/>
        <n v="87464.0"/>
        <n v="38087.0"/>
        <n v="3585.0"/>
        <n v="88360.0"/>
        <n v="88361.0"/>
        <n v="89092.0"/>
        <n v="89093.0"/>
        <n v="90430.0"/>
        <n v="90432.0"/>
        <n v="90431.0"/>
        <n v="88921.0"/>
        <n v="51072.0"/>
        <n v="88971.0"/>
        <n v="88972.0"/>
        <n v="85965.0"/>
        <n v="85966.0"/>
        <n v="85964.0"/>
        <n v="88048.0"/>
        <n v="88527.0"/>
        <n v="90237.0"/>
        <n v="90236.0"/>
        <n v="90238.0"/>
        <n v="90239.0"/>
        <n v="86621.0"/>
        <n v="90479.0"/>
        <n v="90480.0"/>
        <n v="89139.0"/>
        <n v="89140.0"/>
        <n v="87214.0"/>
        <n v="86268.0"/>
        <n v="86267.0"/>
        <n v="85858.0"/>
        <n v="85857.0"/>
        <n v="86297.0"/>
        <n v="90593.0"/>
        <n v="90594.0"/>
        <n v="88941.0"/>
        <n v="88942.0"/>
        <n v="88940.0"/>
        <n v="5509.0"/>
        <n v="36069.0"/>
        <n v="89292.0"/>
        <n v="89291.0"/>
        <n v="89293.0"/>
        <n v="89761.0"/>
        <n v="89762.0"/>
        <n v="90837.0"/>
        <n v="87057.0"/>
        <n v="37760.0"/>
        <n v="89166.0"/>
        <n v="86041.0"/>
        <n v="91057.0"/>
        <n v="90973.0"/>
        <n v="89726.0"/>
        <n v="87277.0"/>
        <n v="90583.0"/>
        <n v="3332.0"/>
        <n v="88151.0"/>
        <n v="88152.0"/>
        <n v="17446.0"/>
        <n v="11527.0"/>
        <n v="88685.0"/>
        <n v="88686.0"/>
        <n v="89647.0"/>
        <n v="91131.0"/>
        <n v="91130.0"/>
        <n v="87347.0"/>
        <n v="90292.0"/>
        <n v="90291.0"/>
        <n v="24193.0"/>
        <n v="90917.0"/>
        <n v="89579.0"/>
        <n v="88929.0"/>
        <n v="88928.0"/>
        <n v="90339.0"/>
        <n v="90337.0"/>
        <n v="90338.0"/>
        <n v="86383.0"/>
        <n v="86382.0"/>
        <n v="86384.0"/>
        <n v="89319.0"/>
        <n v="89320.0"/>
        <n v="87804.0"/>
        <n v="89639.0"/>
        <n v="87905.0"/>
        <n v="87700.0"/>
        <n v="88479.0"/>
        <n v="88480.0"/>
        <n v="90695.0"/>
        <n v="88085.0"/>
        <n v="88083.0"/>
        <n v="88084.0"/>
        <n v="90449.0"/>
        <n v="86010.0"/>
        <n v="86012.0"/>
        <n v="86013.0"/>
        <n v="86011.0"/>
        <n v="86014.0"/>
        <n v="88061.0"/>
        <n v="88060.0"/>
        <n v="3138.0"/>
        <n v="88023.0"/>
        <n v="90353.0"/>
        <n v="90354.0"/>
        <n v="91062.0"/>
        <n v="91063.0"/>
        <n v="8353.0"/>
        <n v="10464.0"/>
        <n v="6562.0"/>
        <n v="42852.0"/>
        <n v="88906.0"/>
        <n v="88905.0"/>
        <n v="88907.0"/>
        <n v="88908.0"/>
        <n v="90706.0"/>
        <n v="87357.0"/>
        <n v="87356.0"/>
        <n v="90058.0"/>
        <n v="90059.0"/>
        <n v="90867.0"/>
        <n v="89327.0"/>
        <n v="91127.0"/>
        <n v="90026.0"/>
        <n v="90027.0"/>
        <n v="88511.0"/>
        <n v="91174.0"/>
        <n v="91175.0"/>
        <n v="86250.0"/>
        <n v="90908.0"/>
        <n v="90909.0"/>
        <n v="90910.0"/>
        <n v="17155.0"/>
        <n v="2433.0"/>
        <n v="8165.0"/>
        <n v="359.0"/>
        <n v="86190.0"/>
        <n v="86191.0"/>
        <n v="86192.0"/>
        <n v="86189.0"/>
        <n v="88879.0"/>
        <n v="88880.0"/>
        <n v="88882.0"/>
        <n v="88881.0"/>
        <n v="86555.0"/>
        <n v="86556.0"/>
        <n v="88645.0"/>
        <n v="88644.0"/>
        <n v="88646.0"/>
        <n v="86307.0"/>
        <n v="86309.0"/>
        <n v="86311.0"/>
        <n v="86308.0"/>
        <n v="86310.0"/>
        <n v="87579.0"/>
        <n v="87020.0"/>
        <n v="28647.0"/>
        <n v="34882.0"/>
        <n v="91144.0"/>
        <n v="88198.0"/>
        <n v="88197.0"/>
        <n v="88196.0"/>
        <n v="91432.0"/>
        <n v="91433.0"/>
        <n v="90469.0"/>
        <n v="89284.0"/>
        <n v="87953.0"/>
        <n v="87954.0"/>
        <n v="87952.0"/>
        <n v="56452.0"/>
        <n v="11077.0"/>
        <n v="45380.0"/>
        <n v="90735.0"/>
        <n v="91365.0"/>
        <n v="91366.0"/>
        <n v="91575.0"/>
        <n v="91576.0"/>
        <n v="91213.0"/>
        <n v="91212.0"/>
        <n v="90922.0"/>
        <n v="88677.0"/>
        <n v="88678.0"/>
        <n v="88679.0"/>
        <n v="22147.0"/>
        <n v="48257.0"/>
        <n v="88475.0"/>
        <n v="88474.0"/>
        <n v="88173.0"/>
        <n v="88174.0"/>
        <n v="88889.0"/>
        <n v="88890.0"/>
        <n v="87765.0"/>
        <n v="88503.0"/>
        <n v="88504.0"/>
        <n v="88502.0"/>
        <n v="89915.0"/>
        <n v="87811.0"/>
        <n v="87812.0"/>
        <n v="87813.0"/>
        <n v="89847.0"/>
        <n v="89848.0"/>
        <n v="89849.0"/>
        <n v="32869.0"/>
        <n v="8994.0"/>
        <n v="53410.0"/>
        <n v="44517.0"/>
        <n v="55392.0"/>
        <n v="36647.0"/>
        <n v="32420.0"/>
        <n v="3042.0"/>
        <n v="87980.0"/>
        <n v="87977.0"/>
        <n v="87979.0"/>
        <n v="87978.0"/>
        <n v="89344.0"/>
        <n v="91053.0"/>
        <n v="91054.0"/>
        <n v="90359.0"/>
        <n v="90362.0"/>
        <n v="90361.0"/>
        <n v="90360.0"/>
        <n v="87725.0"/>
        <n v="87726.0"/>
        <n v="87727.0"/>
        <n v="91200.0"/>
        <n v="91201.0"/>
        <n v="90438.0"/>
        <n v="90437.0"/>
        <n v="90439.0"/>
        <n v="90258.0"/>
        <n v="86639.0"/>
        <n v="87525.0"/>
        <n v="86279.0"/>
        <n v="88667.0"/>
        <n v="88666.0"/>
        <n v="88668.0"/>
        <n v="90962.0"/>
        <n v="90961.0"/>
        <n v="91513.0"/>
        <n v="88753.0"/>
        <n v="86867.0"/>
        <n v="86869.0"/>
        <n v="86868.0"/>
        <n v="86870.0"/>
        <n v="89909.0"/>
        <n v="89910.0"/>
        <n v="90048.0"/>
        <n v="40547.0"/>
        <n v="90244.0"/>
        <n v="89257.0"/>
        <n v="89258.0"/>
        <n v="89259.0"/>
        <n v="90271.0"/>
        <n v="90270.0"/>
        <n v="89770.0"/>
        <n v="88569.0"/>
        <n v="88568.0"/>
        <n v="88571.0"/>
        <n v="88570.0"/>
        <n v="90674.0"/>
        <n v="90675.0"/>
        <n v="91194.0"/>
        <n v="91195.0"/>
        <n v="90577.0"/>
        <n v="90578.0"/>
        <n v="89059.0"/>
        <n v="86153.0"/>
        <n v="89537.0"/>
        <n v="89536.0"/>
        <n v="14596.0"/>
        <n v="38529.0"/>
        <n v="90166.0"/>
        <n v="90167.0"/>
        <n v="33635.0"/>
        <n v="9606.0"/>
        <n v="86263.0"/>
        <n v="86264.0"/>
        <n v="90806.0"/>
        <n v="86459.0"/>
        <n v="86460.0"/>
        <n v="90187.0"/>
        <n v="90185.0"/>
        <n v="90186.0"/>
        <n v="86356.0"/>
        <n v="86357.0"/>
        <n v="90492.0"/>
        <n v="90493.0"/>
        <n v="90491.0"/>
        <n v="87135.0"/>
        <n v="87134.0"/>
        <n v="90588.0"/>
        <n v="90589.0"/>
        <n v="90844.0"/>
        <n v="86567.0"/>
        <n v="86566.0"/>
        <n v="86565.0"/>
        <n v="9285.0"/>
        <n v="8257.0"/>
        <n v="89083.0"/>
        <n v="89084.0"/>
        <n v="90771.0"/>
        <n v="91581.0"/>
        <n v="89401.0"/>
        <n v="89402.0"/>
        <n v="17636.0"/>
        <n v="86173.0"/>
        <n v="87259.0"/>
        <n v="87260.0"/>
        <n v="87258.0"/>
        <n v="90201.0"/>
        <n v="89432.0"/>
        <n v="89433.0"/>
        <n v="89434.0"/>
        <n v="89431.0"/>
        <n v="90043.0"/>
        <n v="90044.0"/>
        <n v="88371.0"/>
        <n v="88372.0"/>
        <n v="88387.0"/>
        <n v="88388.0"/>
        <n v="88390.0"/>
        <n v="88389.0"/>
        <n v="88391.0"/>
        <n v="88632.0"/>
        <n v="88634.0"/>
        <n v="88633.0"/>
        <n v="89005.0"/>
        <n v="89008.0"/>
        <n v="89004.0"/>
        <n v="89006.0"/>
        <n v="89007.0"/>
        <n v="90710.0"/>
        <n v="90641.0"/>
        <n v="87846.0"/>
        <n v="87847.0"/>
        <n v="28001.0"/>
        <n v="47813.0"/>
        <n v="89389.0"/>
        <n v="90069.0"/>
        <n v="58628.0"/>
        <n v="57061.0"/>
        <n v="91354.0"/>
        <n v="91355.0"/>
        <n v="88899.0"/>
        <n v="87109.0"/>
        <n v="87110.0"/>
        <n v="89631.0"/>
        <n v="86422.0"/>
        <n v="88461.0"/>
        <n v="88460.0"/>
        <n v="86122.0"/>
        <n v="86123.0"/>
        <n v="86124.0"/>
        <n v="91488.0"/>
        <n v="90977.0"/>
        <n v="27456.0"/>
        <n v="20261.0"/>
        <n v="646.0"/>
        <n v="45824.0"/>
        <n v="86411.0"/>
        <n v="86409.0"/>
        <n v="86410.0"/>
        <n v="90832.0"/>
        <n v="90833.0"/>
        <n v="86768.0"/>
        <n v="86767.0"/>
        <n v="87015.0"/>
        <n v="87016.0"/>
        <n v="87221.0"/>
        <n v="87222.0"/>
        <n v="32037.0"/>
        <n v="49125.0"/>
        <n v="13735.0"/>
        <n v="39430.0"/>
        <n v="57794.0"/>
        <n v="88103.0"/>
        <n v="88101.0"/>
        <n v="88102.0"/>
        <n v="88104.0"/>
        <n v="88105.0"/>
        <n v="87940.0"/>
        <n v="86574.0"/>
        <n v="86573.0"/>
        <n v="86575.0"/>
        <n v="91344.0"/>
        <n v="90853.0"/>
        <n v="90855.0"/>
        <n v="90854.0"/>
        <n v="87520.0"/>
        <n v="89787.0"/>
        <n v="86913.0"/>
        <n v="86914.0"/>
        <n v="85938.0"/>
        <n v="85940.0"/>
        <n v="85939.0"/>
        <n v="87584.0"/>
        <n v="87587.0"/>
        <n v="5984.0"/>
        <n v="29350.0"/>
        <n v="38852.0"/>
        <n v="11206.0"/>
        <n v="87586.0"/>
        <n v="87583.0"/>
        <n v="87585.0"/>
        <n v="88598.0"/>
        <n v="88600.0"/>
        <n v="88599.0"/>
        <n v="54595.0"/>
        <n v="90800.0"/>
        <n v="55874.0"/>
        <n v="90378.0"/>
        <n v="89375.0"/>
        <n v="89376.0"/>
        <n v="86075.0"/>
        <n v="86076.0"/>
        <n v="86077.0"/>
        <n v="90880.0"/>
        <n v="90881.0"/>
        <n v="36452.0"/>
        <n v="46853.0"/>
        <n v="91555.0"/>
        <n v="87877.0"/>
        <n v="89981.0"/>
        <n v="89982.0"/>
        <n v="89983.0"/>
        <n v="89984.0"/>
        <n v="86535.0"/>
        <n v="86536.0"/>
        <n v="86534.0"/>
        <n v="89730.0"/>
        <n v="89729.0"/>
        <n v="89514.0"/>
        <n v="89515.0"/>
        <n v="88410.0"/>
        <n v="88411.0"/>
        <n v="90114.0"/>
        <n v="90115.0"/>
        <n v="19042.0"/>
        <n v="89112.0"/>
        <n v="29319.0"/>
        <n v="90662.0"/>
        <n v="87003.0"/>
        <n v="87005.0"/>
        <n v="87004.0"/>
        <n v="87002.0"/>
        <n v="91451.0"/>
        <n v="22755.0"/>
        <n v="27013.0"/>
        <n v="87602.0"/>
        <n v="87603.0"/>
        <n v="91244.0"/>
        <n v="21636.0"/>
        <n v="24455.0"/>
        <n v="91245.0"/>
        <n v="89686.0"/>
        <n v="88233.0"/>
        <n v="88232.0"/>
        <n v="88234.0"/>
        <n v="91209.0"/>
        <n v="88184.0"/>
        <n v="88185.0"/>
        <n v="89595.0"/>
        <n v="89596.0"/>
        <n v="89993.0"/>
        <n v="89994.0"/>
        <n v="90513.0"/>
        <n v="90514.0"/>
        <n v="88212.0"/>
        <n v="88213.0"/>
        <n v="89406.0"/>
        <n v="89407.0"/>
        <n v="89408.0"/>
        <n v="88726.0"/>
        <n v="88728.0"/>
        <n v="88729.0"/>
        <n v="88731.0"/>
        <n v="88727.0"/>
        <n v="88730.0"/>
        <n v="37729.0"/>
        <n v="43079.0"/>
        <n v="86144.0"/>
        <n v="86145.0"/>
        <n v="87086.0"/>
        <n v="87087.0"/>
        <n v="10277.0"/>
        <n v="45539.0"/>
        <n v="90538.0"/>
        <n v="90540.0"/>
        <n v="90539.0"/>
        <n v="89448.0"/>
        <n v="89449.0"/>
        <n v="89450.0"/>
        <n v="90905.0"/>
        <n v="86826.0"/>
        <n v="86827.0"/>
        <n v="86828.0"/>
        <n v="90120.0"/>
        <n v="90121.0"/>
        <n v="89076.0"/>
        <n v="89077.0"/>
        <n v="86735.0"/>
        <n v="86734.0"/>
        <n v="86397.0"/>
        <n v="91115.0"/>
        <n v="91116.0"/>
        <n v="87077.0"/>
        <n v="87078.0"/>
        <n v="87079.0"/>
        <n v="87076.0"/>
        <n v="53953.0"/>
        <n v="91362.0"/>
        <n v="91363.0"/>
        <n v="91235.0"/>
        <n v="91236.0"/>
        <n v="88004.0"/>
        <n v="85880.0"/>
        <n v="90731.0"/>
        <n v="89193.0"/>
        <n v="89194.0"/>
        <n v="86181.0"/>
        <n v="90303.0"/>
        <n v="89957.0"/>
        <n v="86812.0"/>
        <n v="86813.0"/>
        <n v="86814.0"/>
        <n v="86815.0"/>
        <n v="88852.0"/>
        <n v="91328.0"/>
        <n v="88487.0"/>
        <n v="87488.0"/>
        <n v="87486.0"/>
        <n v="87484.0"/>
        <n v="87485.0"/>
        <n v="87487.0"/>
        <n v="87425.0"/>
        <n v="87426.0"/>
        <n v="87424.0"/>
        <n v="88093.0"/>
        <n v="88094.0"/>
        <n v="86966.0"/>
        <n v="90934.0"/>
        <n v="86668.0"/>
        <n v="90796.0"/>
        <n v="89680.0"/>
        <n v="89679.0"/>
        <n v="87993.0"/>
        <n v="87994.0"/>
        <n v="87995.0"/>
        <n v="87824.0"/>
        <n v="87823.0"/>
        <n v="90248.0"/>
        <n v="87611.0"/>
        <n v="90600.0"/>
        <n v="90601.0"/>
        <n v="90602.0"/>
        <n v="90530.0"/>
        <n v="90533.0"/>
        <n v="90531.0"/>
        <n v="90532.0"/>
        <n v="89704.0"/>
        <n v="89706.0"/>
        <n v="89705.0"/>
        <n v="87342.0"/>
        <n v="90932.0"/>
        <n v="91043.0"/>
        <n v="91041.0"/>
        <n v="91042.0"/>
        <n v="89885.0"/>
        <n v="90678.0"/>
        <n v="86722.0"/>
        <n v="86724.0"/>
        <n v="86725.0"/>
        <n v="86723.0"/>
        <n v="86646.0"/>
        <n v="86645.0"/>
        <n v="14115.0"/>
        <n v="38080.0"/>
        <n v="90612.0"/>
        <n v="90613.0"/>
        <n v="86973.0"/>
        <n v="91077.0"/>
        <n v="91076.0"/>
        <n v="91078.0"/>
        <n v="90189.0"/>
        <n v="90190.0"/>
        <n v="86338.0"/>
        <n v="87345.0"/>
        <n v="90473.0"/>
        <n v="88781.0"/>
        <n v="88784.0"/>
        <n v="88782.0"/>
        <n v="88783.0"/>
        <n v="87747.0"/>
        <n v="87749.0"/>
        <n v="87748.0"/>
        <n v="90621.0"/>
        <n v="90786.0"/>
        <n v="90787.0"/>
        <n v="40101.0"/>
        <n v="44002.0"/>
        <n v="32710.0"/>
        <n v="87193.0"/>
        <n v="87194.0"/>
        <n v="87195.0"/>
        <n v="90653.0"/>
        <n v="3841.0"/>
        <n v="59937.0"/>
        <n v="88443.0"/>
        <n v="88444.0"/>
        <n v="85866.0"/>
        <n v="85865.0"/>
        <n v="85868.0"/>
        <n v="85867.0"/>
        <n v="91025.0"/>
        <n v="18561.0"/>
        <n v="13408.0"/>
        <n v="12224.0"/>
        <n v="87245.0"/>
        <n v="87243.0"/>
        <n v="87244.0"/>
        <n v="90178.0"/>
        <n v="89775.0"/>
        <n v="89776.0"/>
        <n v="89777.0"/>
        <n v="89211.0"/>
        <n v="89106.0"/>
        <n v="89944.0"/>
        <n v="89941.0"/>
        <n v="89939.0"/>
        <n v="89940.0"/>
        <n v="89942.0"/>
        <n v="89943.0"/>
        <n v="89857.0"/>
        <n v="89858.0"/>
        <n v="89856.0"/>
        <n v="88256.0"/>
        <n v="87853.0"/>
        <n v="91543.0"/>
        <n v="89251.0"/>
        <n v="90524.0"/>
        <n v="90525.0"/>
        <n v="85990.0"/>
        <n v="85991.0"/>
        <n v="34435.0"/>
        <n v="47108.0"/>
        <n v="86958.0"/>
        <n v="86959.0"/>
        <n v="86956.0"/>
        <n v="86960.0"/>
        <n v="86957.0"/>
        <n v="86600.0"/>
        <n v="86599.0"/>
        <n v="89697.0"/>
        <n v="86847.0"/>
        <n v="86846.0"/>
        <n v="89209.0"/>
        <n v="90099.0"/>
        <n v="90899.0"/>
        <n v="87378.0"/>
        <n v="90631.0"/>
        <n v="90630.0"/>
        <n v="91262.0"/>
        <n v="91261.0"/>
        <n v="91263.0"/>
        <n v="86500.0"/>
        <n v="91371.0"/>
        <n v="85893.0"/>
        <n v="85895.0"/>
        <n v="85894.0"/>
        <n v="85897.0"/>
        <n v="85898.0"/>
        <n v="85896.0"/>
        <n v="88579.0"/>
        <n v="88580.0"/>
        <n v="86687.0"/>
        <n v="86688.0"/>
        <n v="86686.0"/>
        <n v="88870.0"/>
        <n v="88871.0"/>
        <n v="86331.0"/>
        <n v="90415.0"/>
        <n v="90414.0"/>
        <n v="89820.0"/>
        <n v="89818.0"/>
        <n v="89819.0"/>
        <n v="28225.0"/>
        <n v="26342.0"/>
        <n v="88857.0"/>
        <n v="89456.0"/>
        <n v="91550.0"/>
        <n v="89040.0"/>
        <n v="89039.0"/>
        <n v="89041.0"/>
        <n v="87757.0"/>
        <n v="91258.0"/>
        <n v="90888.0"/>
        <n v="89999.0"/>
        <n v="90000.0"/>
        <n v="90001.0"/>
        <n v="90003.0"/>
        <n v="90002.0"/>
        <n v="90333.0"/>
        <n v="90334.0"/>
        <n v="90335.0"/>
        <n v="90568.0"/>
        <n v="91277.0"/>
        <n v="88798.0"/>
        <n v="86874.0"/>
        <n v="88367.0"/>
        <n v="88368.0"/>
        <n v="86933.0"/>
        <n v="91059.0"/>
        <n v="91060.0"/>
        <n v="87117.0"/>
        <n v="89333.0"/>
        <n v="89334.0"/>
        <n v="88692.0"/>
        <n v="88219.0"/>
        <n v="88220.0"/>
        <n v="87234.0"/>
        <n v="88040.0"/>
        <n v="88039.0"/>
        <n v="88041.0"/>
        <n v="87146.0"/>
        <n v="87148.0"/>
        <n v="87147.0"/>
        <n v="85833.0"/>
        <n v="85834.0"/>
        <n v="85835.0"/>
        <n v="88554.0"/>
        <n v="88558.0"/>
        <n v="88555.0"/>
        <n v="88556.0"/>
        <n v="88557.0"/>
        <n v="86092.0"/>
        <n v="88348.0"/>
        <n v="86629.0"/>
        <n v="87889.0"/>
        <n v="87888.0"/>
        <n v="39015.0"/>
        <n v="87862.0"/>
        <n v="88403.0"/>
        <n v="88404.0"/>
        <n v="88405.0"/>
        <n v="88406.0"/>
        <n v="90891.0"/>
        <n v="89664.0"/>
        <n v="89665.0"/>
        <n v="89666.0"/>
        <n v="88418.0"/>
        <n v="90079.0"/>
        <n v="90078.0"/>
        <n v="91583.0"/>
        <n v="86002.0"/>
        <n v="86003.0"/>
        <n v="87570.0"/>
        <n v="87569.0"/>
        <n v="87072.0"/>
        <n v="87071.0"/>
        <n v="90404.0"/>
        <n v="90405.0"/>
        <n v="90385.0"/>
        <n v="90386.0"/>
        <n v="90387.0"/>
        <n v="88794.0"/>
        <n v="89465.0"/>
        <n v="91571.0"/>
        <n v="89440.0"/>
        <n v="7364.0"/>
        <n v="41636.0"/>
        <n v="90685.0"/>
        <n v="89175.0"/>
        <n v="89176.0"/>
        <n v="89174.0"/>
        <n v="86054.0"/>
        <n v="86050.0"/>
        <n v="86051.0"/>
        <n v="86052.0"/>
        <n v="86053.0"/>
        <n v="86258.0"/>
        <n v="88030.0"/>
        <n v="88028.0"/>
        <n v="88029.0"/>
        <n v="90314.0"/>
        <n v="91036.0"/>
        <n v="89970.0"/>
        <n v="89102.0"/>
        <n v="86699.0"/>
        <n v="89278.0"/>
        <n v="89279.0"/>
        <n v="87963.0"/>
        <n v="87964.0"/>
        <n v="87965.0"/>
        <n v="87962.0"/>
        <n v="89601.0"/>
        <n v="89602.0"/>
        <n v="86611.0"/>
        <n v="86612.0"/>
        <n v="86610.0"/>
        <n v="89571.0"/>
        <n v="89572.0"/>
        <n v="90110.0"/>
        <n v="90109.0"/>
        <n v="91502.0"/>
        <n v="85949.0"/>
        <n v="85948.0"/>
        <n v="85950.0"/>
        <n v="85947.0"/>
        <n v="90148.0"/>
        <n v="90145.0"/>
        <n v="90146.0"/>
        <n v="90147.0"/>
        <n v="88165.0"/>
        <n v="88163.0"/>
        <n v="88164.0"/>
        <n v="87695.0"/>
        <n v="87696.0"/>
        <n v="47493.0"/>
        <n v="37987.0"/>
        <n v="89869.0"/>
        <n v="90557.0"/>
        <n v="88721.0"/>
        <n v="88722.0"/>
        <n v="90964.0"/>
        <n v="89611.0"/>
        <n v="89608.0"/>
        <n v="89609.0"/>
        <n v="89610.0"/>
        <n v="91480.0"/>
        <n v="91481.0"/>
        <n v="91482.0"/>
        <n v="89504.0"/>
        <n v="89503.0"/>
        <n v="89505.0"/>
        <n v="86163.0"/>
        <n v="86165.0"/>
        <n v="86166.0"/>
        <n v="86164.0"/>
        <n v="91304.0"/>
        <n v="91306.0"/>
        <n v="91305.0"/>
        <n v="88267.0"/>
        <n v="88268.0"/>
        <n v="88265.0"/>
        <n v="88266.0"/>
        <n v="90040.0"/>
        <n v="90408.0"/>
        <n v="90714.0"/>
        <n v="91321.0"/>
        <n v="86655.0"/>
        <n v="86654.0"/>
        <n v="13606.0"/>
        <n v="962.0"/>
        <n v="89184.0"/>
        <n v="91122.0"/>
        <n v="91123.0"/>
        <n v="86950.0"/>
        <n v="86951.0"/>
        <n v="86949.0"/>
        <n v="86952.0"/>
        <n v="86373.0"/>
        <n v="86754.0"/>
        <n v="86750.0"/>
        <n v="86753.0"/>
        <n v="86751.0"/>
        <n v="86752.0"/>
        <n v="89053.0"/>
        <n v="89055.0"/>
        <n v="89054.0"/>
        <n v="90859.0"/>
        <n v="90861.0"/>
        <n v="90860.0"/>
        <n v="91108.0"/>
        <n v="91109.0"/>
        <n v="91110.0"/>
        <n v="24869.0"/>
        <n v="5920.0"/>
        <n v="89096.0"/>
        <n v="89097.0"/>
        <n v="89095.0"/>
        <n v="90301.0"/>
        <n v="89300.0"/>
        <n v="89299.0"/>
        <n v="89301.0"/>
        <n v="87790.0"/>
        <n v="90322.0"/>
        <n v="89219.0"/>
        <n v="89218.0"/>
        <n v="91285.0"/>
        <n v="91286.0"/>
        <n v="30785.0"/>
        <n v="88713.0"/>
        <n v="88714.0"/>
        <n v="88136.0"/>
        <n v="88135.0"/>
        <n v="88137.0"/>
        <n v="86514.0"/>
        <n v="91000.0"/>
        <n v="88998.0"/>
        <n v="91414.0"/>
        <n v="91416.0"/>
        <n v="91415.0"/>
        <n v="91417.0"/>
        <n v="86887.0"/>
        <n v="86883.0"/>
        <n v="86885.0"/>
        <n v="86886.0"/>
        <n v="86884.0"/>
        <n v="48836.0"/>
        <n v="11712.0"/>
        <n v="23042.0"/>
        <n v="23877.0"/>
        <n v="14785.0"/>
        <n v="16547.0"/>
        <n v="54567.0"/>
        <n v="20007.0"/>
        <n v="88319.0"/>
        <n v="88320.0"/>
        <n v="91310.0"/>
        <n v="87033.0"/>
        <n v="87031.0"/>
        <n v="87029.0"/>
        <n v="87030.0"/>
        <n v="87032.0"/>
        <n v="87208.0"/>
        <n v="87451.0"/>
        <n v="87452.0"/>
        <n v="91017.0"/>
        <n v="87917.0"/>
        <n v="87915.0"/>
        <n v="87916.0"/>
        <n v="46436.0"/>
        <n v="40997.0"/>
        <n v="29889.0"/>
        <n v="88657.0"/>
        <n v="88658.0"/>
        <n v="88656.0"/>
        <n v="86528.0"/>
        <n v="86527.0"/>
        <n v="86529.0"/>
        <n v="86465.0"/>
        <n v="86466.0"/>
        <n v="91447.0"/>
        <n v="90327.0"/>
        <n v="50656.0"/>
        <n v="88298.0"/>
        <n v="88296.0"/>
        <n v="88297.0"/>
        <n v="89657.0"/>
        <n v="89658.0"/>
        <n v="91166.0"/>
        <n v="91167.0"/>
        <n v="87772.0"/>
        <n v="87773.0"/>
        <n v="87382.0"/>
        <n v="87383.0"/>
        <n v="86118.0"/>
        <n v="86119.0"/>
        <n v="91495.0"/>
        <n v="91496.0"/>
        <n v="46884.0"/>
        <n v="34017.0"/>
        <n v="53153.0"/>
        <n v="88014.0"/>
        <n v="88015.0"/>
        <n v="88017.0"/>
        <n v="88016.0"/>
        <n v="90927.0"/>
        <n v="85916.0"/>
        <n v="85914.0"/>
        <n v="85915.0"/>
        <n v="90951.0"/>
        <n v="90952.0"/>
        <n v="91386.0"/>
        <n v="88814.0"/>
        <n v="88815.0"/>
        <n v="89361.0"/>
        <n v="89360.0"/>
        <n v="86063.0"/>
        <n v="86064.0"/>
        <n v="86486.0"/>
        <n v="87831.0"/>
        <n v="87830.0"/>
        <n v="87832.0"/>
        <n v="37924.0"/>
        <n v="90551.0"/>
        <n v="86633.0"/>
        <n v="89146.0"/>
        <n v="89148.0"/>
        <n v="89147.0"/>
        <n v="90624.0"/>
        <n v="87676.0"/>
        <n v="87678.0"/>
        <n v="87677.0"/>
        <n v="87679.0"/>
        <n v="91407.0"/>
        <n v="91408.0"/>
        <n v="89240.0"/>
        <n v="88701.0"/>
        <n v="88702.0"/>
        <n v="89394.0"/>
        <n v="88766.0"/>
        <n v="88959.0"/>
        <n v="88958.0"/>
        <n v="88114.0"/>
        <n v="89018.0"/>
        <n v="89019.0"/>
        <n v="89017.0"/>
        <n v="89481.0"/>
        <n v="86184.0"/>
        <n v="35200.0"/>
        <n v="23751.0"/>
        <n v="91424.0"/>
        <n v="90724.0"/>
        <n v="90725.0"/>
        <n v="88975.0"/>
        <n v="88974.0"/>
        <n v="91584.0"/>
        <n v="91229.0"/>
        <n v="91228.0"/>
        <n v="87160.0"/>
        <n v="87161.0"/>
        <n v="87162.0"/>
        <n v="91316.0"/>
        <n v="88758.0"/>
        <n v="87554.0"/>
        <n v="87555.0"/>
        <n v="87556.0"/>
        <n v="87553.0"/>
        <n v="87552.0"/>
        <n v="91049.0"/>
        <n v="86227.0"/>
        <n v="88819.0"/>
        <n v="89743.0"/>
        <n v="87899.0"/>
        <n v="87900.0"/>
        <n v="87240.0"/>
        <n v="89497.0"/>
        <n v="87720.0"/>
        <n v="87721.0"/>
        <n v="91030.0"/>
        <n v="89801.0"/>
        <n v="87884.0"/>
        <n v="87885.0"/>
        <n v="85928.0"/>
        <n v="85929.0"/>
        <n v="86454.0"/>
        <n v="87316.0"/>
        <n v="87317.0"/>
        <n v="88279.0"/>
        <n v="88282.0"/>
        <n v="88281.0"/>
        <n v="88280.0"/>
        <n v="88278.0"/>
        <n v="90871.0"/>
        <n v="11013.0"/>
        <n v="85826.0"/>
        <n v="85827.0"/>
        <n v="85828.0"/>
        <n v="89872.0"/>
        <n v="89873.0"/>
        <n v="89874.0"/>
        <n v="91492.0"/>
        <n v="54369.0"/>
        <n v="88626.0"/>
        <n v="88627.0"/>
        <n v="55300.0"/>
        <n v="16676.0"/>
        <n v="4839.0"/>
        <n v="21958.0"/>
        <n v="40224.0"/>
        <n v="50917.0"/>
        <n v="87632.0"/>
        <n v="87631.0"/>
        <n v="87633.0"/>
        <n v="87634.0"/>
        <n v="87630.0"/>
        <n v="90011.0"/>
        <n v="86925.0"/>
        <n v="86927.0"/>
        <n v="86926.0"/>
        <n v="87374.0"/>
        <n v="88156.0"/>
        <n v="88157.0"/>
        <n v="87396.0"/>
        <n v="59365.0"/>
        <n v="86592.0"/>
        <n v="86591.0"/>
        <n v="90218.0"/>
        <n v="87619.0"/>
        <n v="87620.0"/>
        <n v="87617.0"/>
        <n v="87618.0"/>
        <n v="90309.0"/>
        <n v="87511.0"/>
        <n v="91397.0"/>
        <n v="91398.0"/>
        <n v="86427.0"/>
        <n v="90264.0"/>
        <n v="90265.0"/>
        <n v="90646.0"/>
        <n v="88611.0"/>
        <n v="88612.0"/>
        <n v="88610.0"/>
        <n v="86085.0"/>
        <n v="86086.0"/>
        <n v="87186.0"/>
        <n v="87187.0"/>
        <n v="89047.0"/>
        <n v="86544.0"/>
        <n v="86545.0"/>
        <n v="86546.0"/>
        <n v="86547.0"/>
        <n v="86548.0"/>
        <n v="91180.0"/>
        <n v="91466.0"/>
        <n v="87041.0"/>
        <n v="87042.0"/>
        <n v="87043.0"/>
        <n v="91586.0"/>
        <n v="54949.0"/>
        <n v="91389.0"/>
        <n v="91388.0"/>
        <n v="89414.0"/>
        <n v="89415.0"/>
        <n v="56486.0"/>
        <n v="7623.0"/>
        <n v="86346.0"/>
        <n v="89071.0"/>
        <n v="89128.0"/>
        <n v="89129.0"/>
        <n v="89130.0"/>
        <n v="86102.0"/>
        <n v="86101.0"/>
        <n v="86104.0"/>
        <n v="86103.0"/>
        <n v="89789.0"/>
        <n v="86662.0"/>
        <n v="88447.0"/>
        <n v="88449.0"/>
        <n v="88448.0"/>
        <n v="91376.0"/>
        <n v="88191.0"/>
        <n v="88192.0"/>
        <n v="14756.0"/>
        <n v="88241.0"/>
        <n v="88239.0"/>
        <n v="88240.0"/>
        <n v="41253.0"/>
        <n v="53476.0"/>
        <n v="12480.0"/>
        <n v="48483.0"/>
        <n v="89879.0"/>
        <n v="89880.0"/>
        <n v="88380.0"/>
        <n v="91219.0"/>
        <n v="86220.0"/>
        <n v="86221.0"/>
        <n v="86222.0"/>
        <n v="89314.0"/>
        <n v="89315.0"/>
        <n v="89316.0"/>
        <n v="89988.0"/>
        <n v="86327.0"/>
        <n v="548.0"/>
        <n v="86860.0"/>
        <n v="86432.0"/>
        <n v="90160.0"/>
        <n v="87287.0"/>
        <n v="87286.0"/>
        <n v="87285.0"/>
        <n v="89810.0"/>
        <n v="86790.0"/>
        <n v="86794.0"/>
        <n v="86789.0"/>
        <n v="86792.0"/>
        <n v="86791.0"/>
        <n v="86795.0"/>
        <n v="86796.0"/>
        <n v="86793.0"/>
        <n v="86369.0"/>
        <n v="86368.0"/>
        <n v="85850.0"/>
        <n v="89716.0"/>
        <n v="88543.0"/>
        <n v="88544.0"/>
        <n v="88545.0"/>
        <n v="88546.0"/>
        <n v="88547.0"/>
        <n v="88548.0"/>
        <n v="86899.0"/>
        <n v="86900.0"/>
        <n v="86901.0"/>
        <n v="86898.0"/>
        <n v="86902.0"/>
        <n v="86491.0"/>
        <n v="86490.0"/>
        <n v="86489.0"/>
        <n v="90820.0"/>
        <n v="90821.0"/>
        <n v="90818.0"/>
        <n v="90819.0"/>
        <n v="86989.0"/>
        <n v="89025.0"/>
        <n v="86447.0"/>
        <n v="86448.0"/>
        <n v="89805.0"/>
        <n v="24294.0"/>
        <n v="90850.0"/>
        <n v="87933.0"/>
        <n v="87934.0"/>
        <n v="87935.0"/>
        <n v="90739.0"/>
        <n v="91522.0"/>
        <n v="90815.0"/>
        <n v="90814.0"/>
        <n v="86508.0"/>
        <n v="86507.0"/>
        <n v="86509.0"/>
        <n v="87435.0"/>
        <n v="87436.0"/>
        <n v="89564.0"/>
        <n v="88329.0"/>
        <n v="88330.0"/>
        <n v="87297.0"/>
        <n v="87298.0"/>
        <n v="39076.0"/>
        <n v="87296.0"/>
        <n v="87299.0"/>
        <n v="90488.0"/>
        <n v="88825.0"/>
        <n v="88826.0"/>
        <n v="88824.0"/>
        <n v="90296.0"/>
        <n v="89835.0"/>
        <n v="89836.0"/>
        <n v="86233.0"/>
        <n v="86234.0"/>
        <n v="90766.0"/>
        <n v="90767.0"/>
        <n v="90752.0"/>
        <n v="90753.0"/>
        <n v="90751.0"/>
        <n v="90750.0"/>
        <n v="89897.0"/>
        <n v="87795.0"/>
        <n v="90461.0"/>
        <n v="90462.0"/>
        <n v="90460.0"/>
        <n v="90104.0"/>
        <n v="90103.0"/>
        <n v="90985.0"/>
        <n v="90986.0"/>
        <n v="90987.0"/>
        <n v="87272.0"/>
        <n v="86283.0"/>
        <n v="86284.0"/>
        <n v="85979.0"/>
        <n v="85981.0"/>
        <n v="85980.0"/>
        <n v="21572.0"/>
        <n v="89928.0"/>
        <n v="89355.0"/>
        <n v="89356.0"/>
        <n v="91296.0"/>
        <n v="91297.0"/>
        <n v="91298.0"/>
        <n v="88589.0"/>
        <n v="88590.0"/>
        <n v="88587.0"/>
        <n v="88588.0"/>
        <n v="91437.0"/>
        <n v="91435.0"/>
        <n v="91436.0"/>
        <n v="91438.0"/>
        <n v="90501.0"/>
        <n v="90502.0"/>
        <n v="90500.0"/>
        <n v="87473.0"/>
        <n v="87474.0"/>
        <n v="88837.0"/>
        <n v="88839.0"/>
        <n v="88838.0"/>
        <n v="88836.0"/>
        <n v="88840.0"/>
        <n v="88745.0"/>
        <n v="88746.0"/>
        <n v="90154.0"/>
        <n v="87908.0"/>
        <n v="87909.0"/>
        <n v="87535.0"/>
        <n v="87536.0"/>
        <n v="87534.0"/>
        <n v="87537.0"/>
        <n v="87530.0"/>
      </sharedItems>
    </cacheField>
    <cacheField name="Order returned" numFmtId="0">
      <sharedItems>
        <b v="0"/>
        <b v="1"/>
      </sharedItems>
    </cacheField>
    <cacheField name="Order Date" numFmtId="164">
      <sharedItems containsSemiMixedTypes="0" containsDate="1" containsString="0">
        <d v="2015-01-07T00:00:00Z"/>
        <d v="2015-06-13T00:00:00Z"/>
        <d v="2015-02-15T00:00:00Z"/>
        <d v="2015-05-12T00:00:00Z"/>
        <d v="2015-04-08T00:00:00Z"/>
        <d v="2015-05-28T00:00:00Z"/>
        <d v="2015-02-12T00:00:00Z"/>
        <d v="2015-05-15T00:00:00Z"/>
        <d v="2015-05-21T00:00:00Z"/>
        <d v="2015-01-28T00:00:00Z"/>
        <d v="2015-05-02T00:00:00Z"/>
        <d v="2015-02-22T00:00:00Z"/>
        <d v="2015-03-27T00:00:00Z"/>
        <d v="2015-01-20T00:00:00Z"/>
        <d v="2015-03-12T00:00:00Z"/>
        <d v="2015-06-15T00:00:00Z"/>
        <d v="2015-05-10T00:00:00Z"/>
        <d v="2015-03-10T00:00:00Z"/>
        <d v="2015-04-20T00:00:00Z"/>
        <d v="2015-05-09T00:00:00Z"/>
        <d v="2015-06-12T00:00:00Z"/>
        <d v="2015-03-02T00:00:00Z"/>
        <d v="2015-01-02T00:00:00Z"/>
        <d v="2015-02-02T00:00:00Z"/>
        <d v="2015-03-15T00:00:00Z"/>
        <d v="2015-03-30T00:00:00Z"/>
        <d v="2015-06-03T00:00:00Z"/>
        <d v="2015-03-22T00:00:00Z"/>
        <d v="2015-05-17T00:00:00Z"/>
        <d v="2015-02-18T00:00:00Z"/>
        <d v="2015-03-04T00:00:00Z"/>
        <d v="2015-06-07T00:00:00Z"/>
        <d v="2015-05-03T00:00:00Z"/>
        <d v="2015-06-22T00:00:00Z"/>
        <d v="2015-04-06T00:00:00Z"/>
        <d v="2015-01-03T00:00:00Z"/>
        <d v="2015-04-04T00:00:00Z"/>
        <d v="2015-04-09T00:00:00Z"/>
        <d v="2015-01-12T00:00:00Z"/>
        <d v="2015-01-27T00:00:00Z"/>
        <d v="2015-05-25T00:00:00Z"/>
        <d v="2015-05-16T00:00:00Z"/>
        <d v="2015-06-02T00:00:00Z"/>
        <d v="2015-01-15T00:00:00Z"/>
        <d v="2015-03-16T00:00:00Z"/>
        <d v="2015-04-23T00:00:00Z"/>
        <d v="2015-01-22T00:00:00Z"/>
        <d v="2015-04-19T00:00:00Z"/>
        <d v="2015-03-29T00:00:00Z"/>
        <d v="2015-06-18T00:00:00Z"/>
        <d v="2015-05-14T00:00:00Z"/>
        <d v="2015-01-25T00:00:00Z"/>
        <d v="2015-01-11T00:00:00Z"/>
        <d v="2015-04-13T00:00:00Z"/>
        <d v="2015-02-21T00:00:00Z"/>
        <d v="2015-05-22T00:00:00Z"/>
        <d v="2015-01-10T00:00:00Z"/>
        <d v="2015-04-02T00:00:00Z"/>
        <d v="2015-04-27T00:00:00Z"/>
        <d v="2015-01-16T00:00:00Z"/>
        <d v="2015-01-17T00:00:00Z"/>
        <d v="2015-01-06T00:00:00Z"/>
        <d v="2015-06-09T00:00:00Z"/>
        <d v="2015-02-20T00:00:00Z"/>
        <d v="2015-02-05T00:00:00Z"/>
        <d v="2015-04-28T00:00:00Z"/>
        <d v="2015-05-26T00:00:00Z"/>
        <d v="2015-02-23T00:00:00Z"/>
        <d v="2015-03-21T00:00:00Z"/>
        <d v="2015-06-10T00:00:00Z"/>
        <d v="2015-01-31T00:00:00Z"/>
        <d v="2015-01-19T00:00:00Z"/>
        <d v="2015-01-21T00:00:00Z"/>
        <d v="2015-05-18T00:00:00Z"/>
        <d v="2015-04-07T00:00:00Z"/>
        <d v="2015-06-05T00:00:00Z"/>
        <d v="2015-01-24T00:00:00Z"/>
        <d v="2015-06-17T00:00:00Z"/>
        <d v="2015-03-25T00:00:00Z"/>
        <d v="2015-02-14T00:00:00Z"/>
        <d v="2015-03-20T00:00:00Z"/>
        <d v="2015-04-14T00:00:00Z"/>
        <d v="2015-05-04T00:00:00Z"/>
        <d v="2015-03-17T00:00:00Z"/>
        <d v="2015-05-24T00:00:00Z"/>
        <d v="2015-01-09T00:00:00Z"/>
        <d v="2015-04-11T00:00:00Z"/>
        <d v="2015-05-27T00:00:00Z"/>
        <d v="2015-03-14T00:00:00Z"/>
        <d v="2015-04-17T00:00:00Z"/>
        <d v="2015-05-01T00:00:00Z"/>
        <d v="2015-03-19T00:00:00Z"/>
        <d v="2015-02-06T00:00:00Z"/>
        <d v="2015-03-05T00:00:00Z"/>
        <d v="2015-05-23T00:00:00Z"/>
        <d v="2015-03-03T00:00:00Z"/>
        <d v="2015-06-23T00:00:00Z"/>
        <d v="2015-06-25T00:00:00Z"/>
        <d v="2015-04-10T00:00:00Z"/>
        <d v="2015-01-05T00:00:00Z"/>
        <d v="2015-05-08T00:00:00Z"/>
        <d v="2015-01-14T00:00:00Z"/>
        <d v="2015-02-08T00:00:00Z"/>
        <d v="2015-03-18T00:00:00Z"/>
        <d v="2015-02-10T00:00:00Z"/>
        <d v="2015-06-20T00:00:00Z"/>
        <d v="2015-04-18T00:00:00Z"/>
        <d v="2015-01-13T00:00:00Z"/>
        <d v="2015-02-01T00:00:00Z"/>
        <d v="2015-04-21T00:00:00Z"/>
        <d v="2015-06-14T00:00:00Z"/>
        <d v="2015-01-30T00:00:00Z"/>
        <d v="2015-04-15T00:00:00Z"/>
        <d v="2015-04-01T00:00:00Z"/>
        <d v="2015-03-13T00:00:00Z"/>
        <d v="2015-02-26T00:00:00Z"/>
        <d v="2015-05-13T00:00:00Z"/>
        <d v="2015-06-19T00:00:00Z"/>
        <d v="2015-02-03T00:00:00Z"/>
        <d v="2015-04-29T00:00:00Z"/>
        <d v="2015-03-24T00:00:00Z"/>
        <d v="2015-04-05T00:00:00Z"/>
        <d v="2015-04-30T00:00:00Z"/>
        <d v="2015-06-21T00:00:00Z"/>
        <d v="2015-05-29T00:00:00Z"/>
        <d v="2015-04-16T00:00:00Z"/>
        <d v="2015-04-22T00:00:00Z"/>
        <d v="2015-03-06T00:00:00Z"/>
        <d v="2015-02-04T00:00:00Z"/>
        <d v="2015-03-08T00:00:00Z"/>
        <d v="2015-05-05T00:00:00Z"/>
        <d v="2015-02-07T00:00:00Z"/>
        <d v="2015-06-06T00:00:00Z"/>
        <d v="2015-06-30T00:00:00Z"/>
        <d v="2015-01-29T00:00:00Z"/>
        <d v="2015-05-20T00:00:00Z"/>
        <d v="2015-02-28T00:00:00Z"/>
        <d v="2015-06-24T00:00:00Z"/>
        <d v="2015-04-26T00:00:00Z"/>
        <d v="2015-02-27T00:00:00Z"/>
        <d v="2015-03-11T00:00:00Z"/>
        <d v="2015-06-04T00:00:00Z"/>
        <d v="2015-04-12T00:00:00Z"/>
        <d v="2015-02-11T00:00:00Z"/>
        <d v="2015-06-01T00:00:00Z"/>
        <d v="2015-03-28T00:00:00Z"/>
        <d v="2015-03-07T00:00:00Z"/>
        <d v="2015-02-25T00:00:00Z"/>
        <d v="2015-01-04T00:00:00Z"/>
        <d v="2015-02-17T00:00:00Z"/>
        <d v="2015-06-27T00:00:00Z"/>
        <d v="2015-03-01T00:00:00Z"/>
        <d v="2015-02-24T00:00:00Z"/>
        <d v="2015-02-19T00:00:00Z"/>
        <d v="2015-06-16T00:00:00Z"/>
        <d v="2015-05-30T00:00:00Z"/>
        <d v="2015-03-09T00:00:00Z"/>
        <d v="2015-03-31T00:00:00Z"/>
        <d v="2015-04-24T00:00:00Z"/>
        <d v="2015-06-29T00:00:00Z"/>
        <d v="2015-02-16T00:00:00Z"/>
        <d v="2015-01-26T00:00:00Z"/>
        <d v="2015-06-28T00:00:00Z"/>
        <d v="2015-05-07T00:00:00Z"/>
        <d v="2015-06-11T00:00:00Z"/>
        <d v="2015-03-23T00:00:00Z"/>
        <d v="2015-05-06T00:00:00Z"/>
        <d v="2015-01-01T00:00:00Z"/>
        <d v="2015-05-19T00:00:00Z"/>
        <d v="2015-02-13T00:00:00Z"/>
        <d v="2015-02-09T00:00:00Z"/>
        <d v="2015-05-11T00:00:00Z"/>
        <d v="2015-01-23T00:00:00Z"/>
        <d v="2015-03-26T00:00:00Z"/>
        <d v="2015-01-18T00:00:00Z"/>
        <d v="2015-06-26T00:00:00Z"/>
        <d v="2015-01-08T00:00:00Z"/>
        <d v="2015-04-25T00:00:00Z"/>
        <d v="2015-06-0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2" cacheId="0" dataCaption="" compact="0" compactData="0">
  <location ref="R5:S10"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h="1" x="0"/>
        <item x="1"/>
        <item h="1"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4"/>
  </pageFields>
  <dataFields>
    <dataField name="SUM of Sales" fld="12" baseField="0"/>
  </dataFields>
</pivotTableDefinition>
</file>

<file path=xl/pivotTables/pivotTable2.xml><?xml version="1.0" encoding="utf-8"?>
<pivotTableDefinition xmlns="http://schemas.openxmlformats.org/spreadsheetml/2006/main" name="Pivot Tables 3" cacheId="0" dataCaption="" compact="0" compactData="0">
  <location ref="U5:V10"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x="0"/>
        <item h="1" x="1"/>
        <item h="1"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4"/>
  </pageFields>
  <dataFields>
    <dataField name="SUM of Sales" fld="12" baseField="0"/>
  </dataFields>
</pivotTableDefinition>
</file>

<file path=xl/pivotTables/pivotTable3.xml><?xml version="1.0" encoding="utf-8"?>
<pivotTableDefinition xmlns="http://schemas.openxmlformats.org/spreadsheetml/2006/main" name="Pivot Tables 4" cacheId="0" dataCaption="" compact="0" compactData="0">
  <location ref="X5:Y10"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h="1" x="0"/>
        <item h="1"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4"/>
  </pageFields>
  <dataFields>
    <dataField name="SUM of Sales" fld="12" baseField="0"/>
  </dataFields>
</pivotTableDefinition>
</file>

<file path=xl/pivotTables/pivotTable4.xml><?xml version="1.0" encoding="utf-8"?>
<pivotTableDefinition xmlns="http://schemas.openxmlformats.org/spreadsheetml/2006/main" name="Pivot Tables 5" cacheId="0" dataCaption="" compact="0" compactData="0">
  <location ref="AA5:AB23"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5"/>
  </rowFields>
  <dataFields>
    <dataField name="COUNT of Sales" fld="12" subtotal="countNums" baseField="0"/>
  </dataFields>
</pivotTableDefinition>
</file>

<file path=xl/pivotTables/pivotTable5.xml><?xml version="1.0" encoding="utf-8"?>
<pivotTableDefinition xmlns="http://schemas.openxmlformats.org/spreadsheetml/2006/main" name="Pivot Tables 7" cacheId="0" dataCaption="" compact="0" compactData="0">
  <location ref="AK5:AL10"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Row" compact="0" outline="0" multipleItemSelectionAllowed="1" showAll="0" sortType="ascending">
      <items>
        <item x="2"/>
        <item x="1"/>
        <item x="0"/>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7"/>
  </rowFields>
  <dataFields>
    <dataField name="SUM of Profit" fld="10" baseField="0"/>
  </dataFields>
</pivotTableDefinition>
</file>

<file path=xl/pivotTables/pivotTable6.xml><?xml version="1.0" encoding="utf-8"?>
<pivotTableDefinition xmlns="http://schemas.openxmlformats.org/spreadsheetml/2006/main" name="Pivot Tables 8" cacheId="0" dataCaption="" rowGrandTotals="0" compact="0" compactData="0">
  <location ref="AT5:AV184" firstHeaderRow="0" firstDataRow="2"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axis="axisRow" compact="0" numFmtId="164" outline="0" multipleItemSelectionAllowed="1" showAll="0" sortType="ascending">
      <items>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s>
  <rowFields>
    <field x="15"/>
  </rowFields>
  <colFields>
    <field x="-2"/>
  </colFields>
  <dataFields>
    <dataField name="SUM of Sales" fld="12" baseField="0"/>
    <dataField name="SUM of Profit" fld="10" baseField="0"/>
  </dataFields>
</pivotTableDefinition>
</file>

<file path=xl/pivotTables/pivotTable7.xml><?xml version="1.0" encoding="utf-8"?>
<pivotTableDefinition xmlns="http://schemas.openxmlformats.org/spreadsheetml/2006/main" name="Pivot Tables 9" cacheId="0" dataCaption="" rowGrandTotals="0" compact="0" compactData="0">
  <location ref="AX5:AY22"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5"/>
  </rowFields>
  <dataFields>
    <dataField name="SUM of Profit" fld="10" baseField="0"/>
  </dataFields>
</pivotTableDefinition>
</file>

<file path=xl/pivotTables/pivotTable8.xml><?xml version="1.0" encoding="utf-8"?>
<pivotTableDefinition xmlns="http://schemas.openxmlformats.org/spreadsheetml/2006/main" name="Dashboard 2" cacheId="0" dataCaption="" compact="0" compactData="0">
  <location ref="AS20:AT25"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h="1" x="0"/>
        <item x="1"/>
        <item h="1"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4"/>
  </pageFields>
  <dataFields>
    <dataField name="SUM of Sales" fld="12" baseField="0"/>
  </dataFields>
</pivotTableDefinition>
</file>

<file path=xl/pivotTables/pivotTable9.xml><?xml version="1.0" encoding="utf-8"?>
<pivotTableDefinition xmlns="http://schemas.openxmlformats.org/spreadsheetml/2006/main" name="Dashboard 3" cacheId="0" dataCaption="" compact="0" compactData="0">
  <location ref="AV20:AW25"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x="0"/>
        <item h="1" x="1"/>
        <item h="1"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4"/>
  </pageFields>
  <dataFields>
    <dataField name="SUM of Sales" fld="12" baseField="0"/>
  </dataFields>
</pivotTableDefinition>
</file>

<file path=xl/pivotTables/pivotTable10.xml><?xml version="1.0" encoding="utf-8"?>
<pivotTableDefinition xmlns="http://schemas.openxmlformats.org/spreadsheetml/2006/main" name="Dashboard 4" cacheId="0" dataCaption="" compact="0" compactData="0">
  <location ref="AY20:AZ25"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h="1" x="0"/>
        <item h="1"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4"/>
  </pageFields>
  <dataFields>
    <dataField name="SUM of Sales" fld="12" baseField="0"/>
  </dataFields>
</pivotTableDefinition>
</file>

<file path=xl/pivotTables/pivotTable11.xml><?xml version="1.0" encoding="utf-8"?>
<pivotTableDefinition xmlns="http://schemas.openxmlformats.org/spreadsheetml/2006/main" name="Dashboard 5" cacheId="0" dataCaption="" compact="0" compactData="0">
  <location ref="BB20:BC38"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5"/>
  </rowFields>
  <dataFields>
    <dataField name="COUNT of Sales" fld="12" subtotal="countNums" baseField="0"/>
  </dataFields>
</pivotTableDefinition>
</file>

<file path=xl/pivotTables/pivotTable12.xml><?xml version="1.0" encoding="utf-8"?>
<pivotTableDefinition xmlns="http://schemas.openxmlformats.org/spreadsheetml/2006/main" name="Dashboard 7" cacheId="0" dataCaption="" compact="0" compactData="0">
  <location ref="BL20:BM25"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Row" compact="0" outline="0" multipleItemSelectionAllowed="1" showAll="0" sortType="ascending">
      <items>
        <item x="2"/>
        <item x="1"/>
        <item x="0"/>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7"/>
  </rowFields>
  <dataFields>
    <dataField name="SUM of Profit" fld="10" baseField="0"/>
  </dataFields>
</pivotTableDefinition>
</file>

<file path=xl/pivotTables/pivotTable13.xml><?xml version="1.0" encoding="utf-8"?>
<pivotTableDefinition xmlns="http://schemas.openxmlformats.org/spreadsheetml/2006/main" name="Dashboard 8" cacheId="0" dataCaption="" rowGrandTotals="0" compact="0" compactData="0">
  <location ref="BU20:BW199" firstHeaderRow="0" firstDataRow="2"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axis="axisRow" compact="0" numFmtId="164" outline="0" multipleItemSelectionAllowed="1" showAll="0" sortType="ascending">
      <items>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s>
  <rowFields>
    <field x="15"/>
  </rowFields>
  <colFields>
    <field x="-2"/>
  </colFields>
  <dataFields>
    <dataField name="SUM of Sales" fld="12" baseField="0"/>
    <dataField name="SUM of Profit" fld="10" baseField="0"/>
  </dataFields>
</pivotTableDefinition>
</file>

<file path=xl/pivotTables/pivotTable14.xml><?xml version="1.0" encoding="utf-8"?>
<pivotTableDefinition xmlns="http://schemas.openxmlformats.org/spreadsheetml/2006/main" name="Dashboard 9" cacheId="0" dataCaption="" rowGrandTotals="0" compact="0" compactData="0">
  <location ref="BY20:BZ37"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5"/>
  </rowFields>
  <dataFields>
    <dataField name="SUM of Profit"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Customer Segment">
  <x14:extLst>
    <ext uri="{2F2917AC-EB37-4324-AD4E-5DD8C200BD13}">
      <x15:tableSlicerCache tableId="2"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5" sourceName="Product Category">
  <x14:extLst>
    <ext uri="{2F2917AC-EB37-4324-AD4E-5DD8C200BD13}">
      <x15:tableSlicerCache tableId="2"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6" sourceName="Product Sub-Category">
  <x14:extLst>
    <ext uri="{2F2917AC-EB37-4324-AD4E-5DD8C200BD13}">
      <x15:tableSlicerCache tableId="2" column="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8" sourceName="City">
  <x14:extLst>
    <ext uri="{2F2917AC-EB37-4324-AD4E-5DD8C200BD13}">
      <x15:tableSlicerCache tableId="2"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1" cache="SlicerCache_Table_2_Col_8" caption="Cit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2" cache="SlicerCache_Table_2_Col_8" caption="City" rowHeight="247650"/>
  <x14:slicer name="Product Sub-Category_3" cache="SlicerCache_Table_2_Col_6" caption="Product Sub-Category" rowHeight="247650"/>
  <x14:slicer name="Product Category_4" cache="SlicerCache_Table_2_Col_5" caption="Product Category" rowHeight="247650"/>
  <x14:slicer name="Customer Segment_5" cache="SlicerCache_Table_2_Col_4" caption="Customer Segment" rowHeight="247650"/>
</x14:slicers>
</file>

<file path=xl/tables/table1.xml><?xml version="1.0" encoding="utf-8"?>
<table xmlns="http://schemas.openxmlformats.org/spreadsheetml/2006/main" ref="D1:S1953" displayName="Table_2" name="Table_2" id="2">
  <autoFilter ref="$D$1:$S$1953"/>
  <tableColumns count="16">
    <tableColumn name="Unit Price" id="1"/>
    <tableColumn name="Customer ID" id="2"/>
    <tableColumn name="Customer Name" id="3"/>
    <tableColumn name="Customer Segment" id="4"/>
    <tableColumn name="Product Category" id="5"/>
    <tableColumn name="Product Sub-Category" id="6"/>
    <tableColumn name="Product Name" id="7"/>
    <tableColumn name="City" id="8"/>
    <tableColumn name="Order Weekday" id="9"/>
    <tableColumn name="Weekday helper" id="10"/>
    <tableColumn name="Profit" id="11"/>
    <tableColumn name="Quantity ordered new" id="12"/>
    <tableColumn name="Sales" id="13"/>
    <tableColumn name="Order ID" id="14"/>
    <tableColumn name="Order returned" id="15"/>
    <tableColumn name="Order Date" id="16"/>
  </tableColumns>
  <tableStyleInfo showColumnStripes="0" showFirstColumn="0" showLastColumn="0" showRowStripes="0"/>
</table>
</file>

<file path=xl/tables/table2.xml><?xml version="1.0" encoding="utf-8"?>
<table xmlns="http://schemas.openxmlformats.org/spreadsheetml/2006/main" ref="A1:P85" displayName="Table_1" name="Table_1" id="1">
  <tableColumns count="16">
    <tableColumn name="Unit Price" id="1"/>
    <tableColumn name="Customer ID" id="2"/>
    <tableColumn name="Customer Name" id="3"/>
    <tableColumn name="Customer Segment" id="4"/>
    <tableColumn name="Product Category" id="5"/>
    <tableColumn name="Product Sub-Category" id="6"/>
    <tableColumn name="Product Name" id="7"/>
    <tableColumn name="City" id="8"/>
    <tableColumn name="Order Weekday" id="9"/>
    <tableColumn name="Weekday helper" id="10"/>
    <tableColumn name="Profit" id="11"/>
    <tableColumn name="Quantity ordered new" id="12"/>
    <tableColumn name="Sales" id="13"/>
    <tableColumn name="Order ID" id="14"/>
    <tableColumn name="Order returned" id="15"/>
    <tableColumn name="Order Date" id="16"/>
  </tableColumns>
  <tableStyleInfo name="Detail1-Lodz-1.00-Monday-style" showColumnStripes="0" showFirstColumn="1" showLastColumn="1" showRowStripes="1"/>
</table>
</file>

<file path=xl/tables/table3.xml><?xml version="1.0" encoding="utf-8"?>
<table xmlns="http://schemas.openxmlformats.org/spreadsheetml/2006/main" totalsRowCount="1" headerRowCount="0" ref="O36:P39" displayName="Table_3" name="Table_3" id="3">
  <tableColumns count="2">
    <tableColumn totalsRowFunction="custom" name="Column1" id="1"/>
    <tableColumn totalsRowFunction="custom" name="Column2" id="2"/>
  </tableColumns>
  <tableStyleInfo name="Dashboar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microsoft.com/office/2007/relationships/slicer" Target="../slicers/slicer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1" Type="http://schemas.microsoft.com/office/2007/relationships/slicer" Target="../slicers/slicer2.xml"/><Relationship Id="rId10" Type="http://schemas.openxmlformats.org/officeDocument/2006/relationships/table" Target="../tables/table3.xml"/><Relationship Id="rId1" Type="http://schemas.openxmlformats.org/officeDocument/2006/relationships/pivotTable" Target="../pivotTables/pivotTable8.xml"/><Relationship Id="rId2" Type="http://schemas.openxmlformats.org/officeDocument/2006/relationships/pivotTable" Target="../pivotTables/pivotTable9.xml"/><Relationship Id="rId3" Type="http://schemas.openxmlformats.org/officeDocument/2006/relationships/pivotTable" Target="../pivotTables/pivotTable10.xml"/><Relationship Id="rId4" Type="http://schemas.openxmlformats.org/officeDocument/2006/relationships/pivotTable" Target="../pivotTables/pivotTable11.xml"/><Relationship Id="rId5" Type="http://schemas.openxmlformats.org/officeDocument/2006/relationships/pivotTable" Target="../pivotTables/pivotTable12.xml"/><Relationship Id="rId6" Type="http://schemas.openxmlformats.org/officeDocument/2006/relationships/pivotTable" Target="../pivotTables/pivotTable13.xml"/><Relationship Id="rId7" Type="http://schemas.openxmlformats.org/officeDocument/2006/relationships/pivotTable" Target="../pivotTables/pivotTable14.xml"/><Relationship Id="rId8"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3" width="12.63"/>
  </cols>
  <sheetData>
    <row r="1">
      <c r="A1" s="1" t="s">
        <v>12</v>
      </c>
      <c r="B1" s="1" t="s">
        <v>14</v>
      </c>
      <c r="C1" s="1" t="s">
        <v>15</v>
      </c>
      <c r="D1" s="1" t="s">
        <v>3</v>
      </c>
      <c r="E1" s="1" t="s">
        <v>4</v>
      </c>
      <c r="F1" s="1" t="s">
        <v>5</v>
      </c>
      <c r="G1" s="1" t="s">
        <v>6</v>
      </c>
      <c r="H1" s="1" t="s">
        <v>7</v>
      </c>
      <c r="I1" s="1" t="s">
        <v>8</v>
      </c>
      <c r="J1" s="1" t="s">
        <v>9</v>
      </c>
      <c r="K1" s="7" t="s">
        <v>10</v>
      </c>
      <c r="L1" s="9" t="s">
        <v>11</v>
      </c>
      <c r="M1" s="10" t="s">
        <v>13</v>
      </c>
      <c r="N1" s="1" t="s">
        <v>16</v>
      </c>
      <c r="O1" s="1" t="s">
        <v>17</v>
      </c>
      <c r="P1" s="1" t="s">
        <v>18</v>
      </c>
      <c r="Q1" s="12" t="s">
        <v>0</v>
      </c>
      <c r="R1" s="14" t="s">
        <v>19</v>
      </c>
      <c r="S1" s="1" t="s">
        <v>20</v>
      </c>
      <c r="T1" s="15"/>
      <c r="U1" s="15"/>
      <c r="V1" s="15"/>
    </row>
    <row r="2">
      <c r="A2" s="2">
        <v>20847.0</v>
      </c>
      <c r="B2" s="1" t="s">
        <v>28</v>
      </c>
      <c r="C2" s="2">
        <v>0.01</v>
      </c>
      <c r="D2" s="2">
        <v>2.84</v>
      </c>
      <c r="E2" s="2">
        <v>3.0</v>
      </c>
      <c r="F2" s="1" t="s">
        <v>31</v>
      </c>
      <c r="G2" s="1" t="s">
        <v>32</v>
      </c>
      <c r="H2" s="1" t="s">
        <v>23</v>
      </c>
      <c r="I2" s="1" t="s">
        <v>29</v>
      </c>
      <c r="J2" s="1" t="s">
        <v>33</v>
      </c>
      <c r="K2" s="19" t="s">
        <v>34</v>
      </c>
      <c r="L2" s="20" t="s">
        <v>35</v>
      </c>
      <c r="M2" s="21">
        <f t="shared" ref="M2:M1953" si="1">VLOOKUP(L2,$U$2:$V$8,2,0)</f>
        <v>3</v>
      </c>
      <c r="N2" s="2">
        <v>4.56</v>
      </c>
      <c r="O2" s="2">
        <v>4.0</v>
      </c>
      <c r="P2" s="2">
        <v>13.01</v>
      </c>
      <c r="Q2" s="2">
        <v>88522.0</v>
      </c>
      <c r="R2" s="15" t="b">
        <f>ISNUMBER(MATCH(Q2,'Returned order'!A:A,0))</f>
        <v>0</v>
      </c>
      <c r="S2" s="22">
        <v>42011.0</v>
      </c>
      <c r="T2" s="14"/>
      <c r="U2" s="14" t="s">
        <v>27</v>
      </c>
      <c r="V2" s="14">
        <v>1.0</v>
      </c>
    </row>
    <row r="3">
      <c r="A3" s="2">
        <v>20228.0</v>
      </c>
      <c r="B3" s="1" t="s">
        <v>49</v>
      </c>
      <c r="C3" s="2">
        <v>0.02</v>
      </c>
      <c r="D3" s="2">
        <v>500.98</v>
      </c>
      <c r="E3" s="2">
        <v>5.0</v>
      </c>
      <c r="F3" s="1" t="s">
        <v>50</v>
      </c>
      <c r="G3" s="1" t="s">
        <v>51</v>
      </c>
      <c r="H3" s="1" t="s">
        <v>37</v>
      </c>
      <c r="I3" s="1" t="s">
        <v>38</v>
      </c>
      <c r="J3" s="1" t="s">
        <v>52</v>
      </c>
      <c r="K3" s="19" t="s">
        <v>34</v>
      </c>
      <c r="L3" s="20" t="s">
        <v>53</v>
      </c>
      <c r="M3" s="21">
        <f t="shared" si="1"/>
        <v>6</v>
      </c>
      <c r="N3" s="2">
        <v>4390.3665</v>
      </c>
      <c r="O3" s="2">
        <v>12.0</v>
      </c>
      <c r="P3" s="2">
        <v>6362.85</v>
      </c>
      <c r="Q3" s="2">
        <v>90193.0</v>
      </c>
      <c r="R3" s="15" t="b">
        <f>ISNUMBER(MATCH(Q3,'Returned order'!A:A,0))</f>
        <v>0</v>
      </c>
      <c r="S3" s="22">
        <v>42168.0</v>
      </c>
      <c r="T3" s="14"/>
      <c r="U3" s="14" t="s">
        <v>57</v>
      </c>
      <c r="V3" s="14">
        <v>2.0</v>
      </c>
    </row>
    <row r="4">
      <c r="A4" s="2">
        <v>21776.0</v>
      </c>
      <c r="B4" s="1" t="s">
        <v>58</v>
      </c>
      <c r="C4" s="2">
        <v>0.06</v>
      </c>
      <c r="D4" s="2">
        <v>9.48</v>
      </c>
      <c r="E4" s="2">
        <v>11.0</v>
      </c>
      <c r="F4" s="1" t="s">
        <v>59</v>
      </c>
      <c r="G4" s="1" t="s">
        <v>51</v>
      </c>
      <c r="H4" s="1" t="s">
        <v>37</v>
      </c>
      <c r="I4" s="1" t="s">
        <v>42</v>
      </c>
      <c r="J4" s="1" t="s">
        <v>60</v>
      </c>
      <c r="K4" s="19" t="s">
        <v>26</v>
      </c>
      <c r="L4" s="20" t="s">
        <v>61</v>
      </c>
      <c r="M4" s="21">
        <f t="shared" si="1"/>
        <v>7</v>
      </c>
      <c r="N4" s="2">
        <v>-53.8096</v>
      </c>
      <c r="O4" s="2">
        <v>22.0</v>
      </c>
      <c r="P4" s="2">
        <v>211.15</v>
      </c>
      <c r="Q4" s="2">
        <v>90192.0</v>
      </c>
      <c r="R4" s="15" t="b">
        <f>ISNUMBER(MATCH(Q4,'Returned order'!A:A,0))</f>
        <v>0</v>
      </c>
      <c r="S4" s="22">
        <v>42050.0</v>
      </c>
      <c r="T4" s="14"/>
      <c r="U4" s="14" t="s">
        <v>35</v>
      </c>
      <c r="V4" s="14">
        <v>3.0</v>
      </c>
    </row>
    <row r="5">
      <c r="A5" s="2">
        <v>24844.0</v>
      </c>
      <c r="B5" s="1" t="s">
        <v>63</v>
      </c>
      <c r="C5" s="2">
        <v>0.09</v>
      </c>
      <c r="D5" s="2">
        <v>78.69</v>
      </c>
      <c r="E5" s="2">
        <v>14.0</v>
      </c>
      <c r="F5" s="1" t="s">
        <v>65</v>
      </c>
      <c r="G5" s="1" t="s">
        <v>66</v>
      </c>
      <c r="H5" s="1" t="s">
        <v>37</v>
      </c>
      <c r="I5" s="1" t="s">
        <v>42</v>
      </c>
      <c r="J5" s="1" t="s">
        <v>67</v>
      </c>
      <c r="K5" s="19" t="s">
        <v>68</v>
      </c>
      <c r="L5" s="20" t="s">
        <v>57</v>
      </c>
      <c r="M5" s="21">
        <f t="shared" si="1"/>
        <v>2</v>
      </c>
      <c r="N5" s="2">
        <v>803.4705</v>
      </c>
      <c r="O5" s="2">
        <v>16.0</v>
      </c>
      <c r="P5" s="2">
        <v>1164.45</v>
      </c>
      <c r="Q5" s="2">
        <v>86838.0</v>
      </c>
      <c r="R5" s="15" t="b">
        <f>ISNUMBER(MATCH(Q5,'Returned order'!A:A,0))</f>
        <v>0</v>
      </c>
      <c r="S5" s="22">
        <v>42136.0</v>
      </c>
      <c r="T5" s="14"/>
      <c r="U5" s="14" t="s">
        <v>70</v>
      </c>
      <c r="V5" s="14">
        <v>4.0</v>
      </c>
    </row>
    <row r="6">
      <c r="A6" s="2">
        <v>24846.0</v>
      </c>
      <c r="B6" s="1" t="s">
        <v>63</v>
      </c>
      <c r="C6" s="2">
        <v>0.08</v>
      </c>
      <c r="D6" s="2">
        <v>3.28</v>
      </c>
      <c r="E6" s="2">
        <v>14.0</v>
      </c>
      <c r="F6" s="1" t="s">
        <v>65</v>
      </c>
      <c r="G6" s="1" t="s">
        <v>66</v>
      </c>
      <c r="H6" s="1" t="s">
        <v>23</v>
      </c>
      <c r="I6" s="1" t="s">
        <v>29</v>
      </c>
      <c r="J6" s="1" t="s">
        <v>72</v>
      </c>
      <c r="K6" s="19" t="s">
        <v>68</v>
      </c>
      <c r="L6" s="20" t="s">
        <v>57</v>
      </c>
      <c r="M6" s="21">
        <f t="shared" si="1"/>
        <v>2</v>
      </c>
      <c r="N6" s="2">
        <v>-24.03</v>
      </c>
      <c r="O6" s="2">
        <v>7.0</v>
      </c>
      <c r="P6" s="2">
        <v>22.23</v>
      </c>
      <c r="Q6" s="2">
        <v>86838.0</v>
      </c>
      <c r="R6" s="15" t="b">
        <f>ISNUMBER(MATCH(Q6,'Returned order'!A:A,0))</f>
        <v>0</v>
      </c>
      <c r="S6" s="22">
        <v>42136.0</v>
      </c>
      <c r="T6" s="15"/>
      <c r="U6" s="14" t="s">
        <v>76</v>
      </c>
      <c r="V6" s="14">
        <v>5.0</v>
      </c>
    </row>
    <row r="7">
      <c r="A7" s="2">
        <v>24847.0</v>
      </c>
      <c r="B7" s="1" t="s">
        <v>63</v>
      </c>
      <c r="C7" s="2">
        <v>0.05</v>
      </c>
      <c r="D7" s="2">
        <v>3.28</v>
      </c>
      <c r="E7" s="2">
        <v>14.0</v>
      </c>
      <c r="F7" s="1" t="s">
        <v>65</v>
      </c>
      <c r="G7" s="1" t="s">
        <v>66</v>
      </c>
      <c r="H7" s="1" t="s">
        <v>23</v>
      </c>
      <c r="I7" s="1" t="s">
        <v>29</v>
      </c>
      <c r="J7" s="1" t="s">
        <v>77</v>
      </c>
      <c r="K7" s="19" t="s">
        <v>68</v>
      </c>
      <c r="L7" s="20" t="s">
        <v>57</v>
      </c>
      <c r="M7" s="21">
        <f t="shared" si="1"/>
        <v>2</v>
      </c>
      <c r="N7" s="2">
        <v>-37.03</v>
      </c>
      <c r="O7" s="2">
        <v>4.0</v>
      </c>
      <c r="P7" s="2">
        <v>13.99</v>
      </c>
      <c r="Q7" s="2">
        <v>86838.0</v>
      </c>
      <c r="R7" s="15" t="b">
        <f>ISNUMBER(MATCH(Q7,'Returned order'!A:A,0))</f>
        <v>0</v>
      </c>
      <c r="S7" s="22">
        <v>42136.0</v>
      </c>
      <c r="T7" s="15"/>
      <c r="U7" s="14" t="s">
        <v>53</v>
      </c>
      <c r="V7" s="14">
        <v>6.0</v>
      </c>
    </row>
    <row r="8">
      <c r="A8" s="2">
        <v>24848.0</v>
      </c>
      <c r="B8" s="1" t="s">
        <v>63</v>
      </c>
      <c r="C8" s="2">
        <v>0.05</v>
      </c>
      <c r="D8" s="2">
        <v>3.58</v>
      </c>
      <c r="E8" s="2">
        <v>14.0</v>
      </c>
      <c r="F8" s="1" t="s">
        <v>65</v>
      </c>
      <c r="G8" s="1" t="s">
        <v>66</v>
      </c>
      <c r="H8" s="1" t="s">
        <v>23</v>
      </c>
      <c r="I8" s="1" t="s">
        <v>81</v>
      </c>
      <c r="J8" s="1" t="s">
        <v>82</v>
      </c>
      <c r="K8" s="19" t="s">
        <v>68</v>
      </c>
      <c r="L8" s="20" t="s">
        <v>57</v>
      </c>
      <c r="M8" s="21">
        <f t="shared" si="1"/>
        <v>2</v>
      </c>
      <c r="N8" s="2">
        <v>-0.71</v>
      </c>
      <c r="O8" s="2">
        <v>4.0</v>
      </c>
      <c r="P8" s="2">
        <v>14.26</v>
      </c>
      <c r="Q8" s="2">
        <v>86838.0</v>
      </c>
      <c r="R8" s="15" t="b">
        <f>ISNUMBER(MATCH(Q8,'Returned order'!A:A,0))</f>
        <v>0</v>
      </c>
      <c r="S8" s="22">
        <v>42136.0</v>
      </c>
      <c r="T8" s="15"/>
      <c r="U8" s="14" t="s">
        <v>61</v>
      </c>
      <c r="V8" s="14">
        <v>7.0</v>
      </c>
    </row>
    <row r="9">
      <c r="A9" s="2">
        <v>18181.0</v>
      </c>
      <c r="B9" s="1" t="s">
        <v>58</v>
      </c>
      <c r="C9" s="2">
        <v>0.0</v>
      </c>
      <c r="D9" s="2">
        <v>4.42</v>
      </c>
      <c r="E9" s="2">
        <v>15.0</v>
      </c>
      <c r="F9" s="1" t="s">
        <v>87</v>
      </c>
      <c r="G9" s="1" t="s">
        <v>66</v>
      </c>
      <c r="H9" s="1" t="s">
        <v>23</v>
      </c>
      <c r="I9" s="1" t="s">
        <v>88</v>
      </c>
      <c r="J9" s="1" t="s">
        <v>89</v>
      </c>
      <c r="K9" s="19" t="s">
        <v>26</v>
      </c>
      <c r="L9" s="20" t="s">
        <v>35</v>
      </c>
      <c r="M9" s="21">
        <f t="shared" si="1"/>
        <v>3</v>
      </c>
      <c r="N9" s="2">
        <v>-59.82</v>
      </c>
      <c r="O9" s="2">
        <v>7.0</v>
      </c>
      <c r="P9" s="2">
        <v>33.47</v>
      </c>
      <c r="Q9" s="2">
        <v>86837.0</v>
      </c>
      <c r="R9" s="15" t="b">
        <f>ISNUMBER(MATCH(Q9,'Returned order'!A:A,0))</f>
        <v>0</v>
      </c>
      <c r="S9" s="22">
        <v>42102.0</v>
      </c>
      <c r="T9" s="15"/>
      <c r="U9" s="15"/>
      <c r="V9" s="15"/>
    </row>
    <row r="10">
      <c r="A10" s="2">
        <v>20925.0</v>
      </c>
      <c r="B10" s="1" t="s">
        <v>63</v>
      </c>
      <c r="C10" s="2">
        <v>0.01</v>
      </c>
      <c r="D10" s="2">
        <v>35.94</v>
      </c>
      <c r="E10" s="2">
        <v>15.0</v>
      </c>
      <c r="F10" s="1" t="s">
        <v>87</v>
      </c>
      <c r="G10" s="1" t="s">
        <v>66</v>
      </c>
      <c r="H10" s="1" t="s">
        <v>23</v>
      </c>
      <c r="I10" s="1" t="s">
        <v>88</v>
      </c>
      <c r="J10" s="1" t="s">
        <v>95</v>
      </c>
      <c r="K10" s="19" t="s">
        <v>26</v>
      </c>
      <c r="L10" s="20" t="s">
        <v>70</v>
      </c>
      <c r="M10" s="21">
        <f t="shared" si="1"/>
        <v>4</v>
      </c>
      <c r="N10" s="2">
        <v>261.8757</v>
      </c>
      <c r="O10" s="2">
        <v>10.0</v>
      </c>
      <c r="P10" s="2">
        <v>379.53</v>
      </c>
      <c r="Q10" s="2">
        <v>86839.0</v>
      </c>
      <c r="R10" s="15" t="b">
        <f>ISNUMBER(MATCH(Q10,'Returned order'!A:A,0))</f>
        <v>0</v>
      </c>
      <c r="S10" s="22">
        <v>42152.0</v>
      </c>
      <c r="T10" s="15"/>
      <c r="U10" s="15"/>
      <c r="V10" s="15"/>
    </row>
    <row r="11">
      <c r="A11" s="2">
        <v>26267.0</v>
      </c>
      <c r="B11" s="1" t="s">
        <v>28</v>
      </c>
      <c r="C11" s="2">
        <v>0.04</v>
      </c>
      <c r="D11" s="2">
        <v>2.98</v>
      </c>
      <c r="E11" s="2">
        <v>16.0</v>
      </c>
      <c r="F11" s="1" t="s">
        <v>100</v>
      </c>
      <c r="G11" s="1" t="s">
        <v>66</v>
      </c>
      <c r="H11" s="1" t="s">
        <v>23</v>
      </c>
      <c r="I11" s="1" t="s">
        <v>81</v>
      </c>
      <c r="J11" s="1" t="s">
        <v>101</v>
      </c>
      <c r="K11" s="19" t="s">
        <v>26</v>
      </c>
      <c r="L11" s="20" t="s">
        <v>70</v>
      </c>
      <c r="M11" s="21">
        <f t="shared" si="1"/>
        <v>4</v>
      </c>
      <c r="N11" s="2">
        <v>2.63</v>
      </c>
      <c r="O11" s="2">
        <v>6.0</v>
      </c>
      <c r="P11" s="2">
        <v>18.8</v>
      </c>
      <c r="Q11" s="2">
        <v>86836.0</v>
      </c>
      <c r="R11" s="15" t="b">
        <f>ISNUMBER(MATCH(Q11,'Returned order'!A:A,0))</f>
        <v>0</v>
      </c>
      <c r="S11" s="22">
        <v>42047.0</v>
      </c>
      <c r="T11" s="15"/>
      <c r="U11" s="15"/>
      <c r="V11" s="15"/>
    </row>
    <row r="12">
      <c r="A12" s="2">
        <v>26268.0</v>
      </c>
      <c r="B12" s="1" t="s">
        <v>28</v>
      </c>
      <c r="C12" s="2">
        <v>0.05</v>
      </c>
      <c r="D12" s="2">
        <v>115.99</v>
      </c>
      <c r="E12" s="2">
        <v>16.0</v>
      </c>
      <c r="F12" s="1" t="s">
        <v>100</v>
      </c>
      <c r="G12" s="1" t="s">
        <v>66</v>
      </c>
      <c r="H12" s="1" t="s">
        <v>46</v>
      </c>
      <c r="I12" s="1" t="s">
        <v>85</v>
      </c>
      <c r="J12" s="1" t="s">
        <v>107</v>
      </c>
      <c r="K12" s="19" t="s">
        <v>26</v>
      </c>
      <c r="L12" s="20" t="s">
        <v>70</v>
      </c>
      <c r="M12" s="21">
        <f t="shared" si="1"/>
        <v>4</v>
      </c>
      <c r="N12" s="2">
        <v>652.7331</v>
      </c>
      <c r="O12" s="2">
        <v>10.0</v>
      </c>
      <c r="P12" s="2">
        <v>945.99</v>
      </c>
      <c r="Q12" s="2">
        <v>86836.0</v>
      </c>
      <c r="R12" s="15" t="b">
        <f>ISNUMBER(MATCH(Q12,'Returned order'!A:A,0))</f>
        <v>0</v>
      </c>
      <c r="S12" s="22">
        <v>42047.0</v>
      </c>
      <c r="T12" s="15"/>
      <c r="U12" s="15"/>
      <c r="V12" s="15"/>
    </row>
    <row r="13">
      <c r="A13" s="2">
        <v>23890.0</v>
      </c>
      <c r="B13" s="1" t="s">
        <v>28</v>
      </c>
      <c r="C13" s="2">
        <v>0.05</v>
      </c>
      <c r="D13" s="2">
        <v>26.48</v>
      </c>
      <c r="E13" s="2">
        <v>18.0</v>
      </c>
      <c r="F13" s="1" t="s">
        <v>113</v>
      </c>
      <c r="G13" s="1" t="s">
        <v>66</v>
      </c>
      <c r="H13" s="1" t="s">
        <v>37</v>
      </c>
      <c r="I13" s="1" t="s">
        <v>42</v>
      </c>
      <c r="J13" s="1" t="s">
        <v>115</v>
      </c>
      <c r="K13" s="19" t="s">
        <v>34</v>
      </c>
      <c r="L13" s="20" t="s">
        <v>76</v>
      </c>
      <c r="M13" s="21">
        <f t="shared" si="1"/>
        <v>5</v>
      </c>
      <c r="N13" s="2">
        <v>314.4813</v>
      </c>
      <c r="O13" s="2">
        <v>17.0</v>
      </c>
      <c r="P13" s="2">
        <v>455.77</v>
      </c>
      <c r="Q13" s="2">
        <v>90031.0</v>
      </c>
      <c r="R13" s="15" t="b">
        <f>ISNUMBER(MATCH(Q13,'Returned order'!A:A,0))</f>
        <v>0</v>
      </c>
      <c r="S13" s="22">
        <v>42139.0</v>
      </c>
      <c r="T13" s="15"/>
      <c r="U13" s="15"/>
      <c r="V13" s="15"/>
    </row>
    <row r="14">
      <c r="A14" s="2">
        <v>24063.0</v>
      </c>
      <c r="B14" s="1" t="s">
        <v>49</v>
      </c>
      <c r="C14" s="2">
        <v>0.07</v>
      </c>
      <c r="D14" s="2">
        <v>12.99</v>
      </c>
      <c r="E14" s="2">
        <v>19.0</v>
      </c>
      <c r="F14" s="1" t="s">
        <v>118</v>
      </c>
      <c r="G14" s="1" t="s">
        <v>66</v>
      </c>
      <c r="H14" s="1" t="s">
        <v>46</v>
      </c>
      <c r="I14" s="1" t="s">
        <v>103</v>
      </c>
      <c r="J14" s="1" t="s">
        <v>119</v>
      </c>
      <c r="K14" s="19" t="s">
        <v>34</v>
      </c>
      <c r="L14" s="20" t="s">
        <v>70</v>
      </c>
      <c r="M14" s="21">
        <f t="shared" si="1"/>
        <v>4</v>
      </c>
      <c r="N14" s="2">
        <v>-114.6399</v>
      </c>
      <c r="O14" s="2">
        <v>18.0</v>
      </c>
      <c r="P14" s="2">
        <v>231.79</v>
      </c>
      <c r="Q14" s="2">
        <v>90032.0</v>
      </c>
      <c r="R14" s="15" t="b">
        <f>ISNUMBER(MATCH(Q14,'Returned order'!A:A,0))</f>
        <v>0</v>
      </c>
      <c r="S14" s="22">
        <v>42145.0</v>
      </c>
      <c r="T14" s="15"/>
      <c r="U14" s="15"/>
      <c r="V14" s="15"/>
    </row>
    <row r="15">
      <c r="A15" s="2">
        <v>5890.0</v>
      </c>
      <c r="B15" s="1" t="s">
        <v>28</v>
      </c>
      <c r="C15" s="2">
        <v>0.05</v>
      </c>
      <c r="D15" s="2">
        <v>26.48</v>
      </c>
      <c r="E15" s="2">
        <v>21.0</v>
      </c>
      <c r="F15" s="1" t="s">
        <v>123</v>
      </c>
      <c r="G15" s="1" t="s">
        <v>66</v>
      </c>
      <c r="H15" s="1" t="s">
        <v>37</v>
      </c>
      <c r="I15" s="1" t="s">
        <v>42</v>
      </c>
      <c r="J15" s="1" t="s">
        <v>115</v>
      </c>
      <c r="K15" s="19" t="s">
        <v>26</v>
      </c>
      <c r="L15" s="20" t="s">
        <v>76</v>
      </c>
      <c r="M15" s="21">
        <f t="shared" si="1"/>
        <v>5</v>
      </c>
      <c r="N15" s="2">
        <v>384.38</v>
      </c>
      <c r="O15" s="2">
        <v>70.0</v>
      </c>
      <c r="P15" s="2">
        <v>1876.69</v>
      </c>
      <c r="Q15" s="2">
        <v>41793.0</v>
      </c>
      <c r="R15" s="15" t="b">
        <f>ISNUMBER(MATCH(Q15,'Returned order'!A:A,0))</f>
        <v>0</v>
      </c>
      <c r="S15" s="22">
        <v>42139.0</v>
      </c>
      <c r="T15" s="15"/>
      <c r="U15" s="15"/>
      <c r="V15" s="15"/>
    </row>
    <row r="16">
      <c r="A16" s="2">
        <v>6062.0</v>
      </c>
      <c r="B16" s="1" t="s">
        <v>49</v>
      </c>
      <c r="C16" s="2">
        <v>0.08</v>
      </c>
      <c r="D16" s="2">
        <v>5.0</v>
      </c>
      <c r="E16" s="2">
        <v>21.0</v>
      </c>
      <c r="F16" s="1" t="s">
        <v>123</v>
      </c>
      <c r="G16" s="1" t="s">
        <v>66</v>
      </c>
      <c r="H16" s="1" t="s">
        <v>23</v>
      </c>
      <c r="I16" s="1" t="s">
        <v>81</v>
      </c>
      <c r="J16" s="1" t="s">
        <v>126</v>
      </c>
      <c r="K16" s="19" t="s">
        <v>26</v>
      </c>
      <c r="L16" s="20" t="s">
        <v>70</v>
      </c>
      <c r="M16" s="21">
        <f t="shared" si="1"/>
        <v>4</v>
      </c>
      <c r="N16" s="2">
        <v>-17.49</v>
      </c>
      <c r="O16" s="2">
        <v>58.0</v>
      </c>
      <c r="P16" s="2">
        <v>293.06</v>
      </c>
      <c r="Q16" s="2">
        <v>42949.0</v>
      </c>
      <c r="R16" s="15" t="b">
        <f>ISNUMBER(MATCH(Q16,'Returned order'!A:A,0))</f>
        <v>0</v>
      </c>
      <c r="S16" s="22">
        <v>42145.0</v>
      </c>
      <c r="T16" s="15"/>
      <c r="U16" s="15"/>
      <c r="V16" s="15"/>
    </row>
    <row r="17">
      <c r="A17" s="2">
        <v>6063.0</v>
      </c>
      <c r="B17" s="1" t="s">
        <v>49</v>
      </c>
      <c r="C17" s="2">
        <v>0.07</v>
      </c>
      <c r="D17" s="2">
        <v>12.99</v>
      </c>
      <c r="E17" s="2">
        <v>21.0</v>
      </c>
      <c r="F17" s="1" t="s">
        <v>123</v>
      </c>
      <c r="G17" s="1" t="s">
        <v>66</v>
      </c>
      <c r="H17" s="1" t="s">
        <v>46</v>
      </c>
      <c r="I17" s="1" t="s">
        <v>103</v>
      </c>
      <c r="J17" s="1" t="s">
        <v>119</v>
      </c>
      <c r="K17" s="19" t="s">
        <v>26</v>
      </c>
      <c r="L17" s="20" t="s">
        <v>70</v>
      </c>
      <c r="M17" s="21">
        <f t="shared" si="1"/>
        <v>4</v>
      </c>
      <c r="N17" s="2">
        <v>-114.6399</v>
      </c>
      <c r="O17" s="2">
        <v>71.0</v>
      </c>
      <c r="P17" s="2">
        <v>914.29</v>
      </c>
      <c r="Q17" s="2">
        <v>42949.0</v>
      </c>
      <c r="R17" s="15" t="b">
        <f>ISNUMBER(MATCH(Q17,'Returned order'!A:A,0))</f>
        <v>0</v>
      </c>
      <c r="S17" s="22">
        <v>42145.0</v>
      </c>
      <c r="T17" s="15"/>
      <c r="U17" s="15"/>
      <c r="V17" s="15"/>
    </row>
    <row r="18">
      <c r="A18" s="2">
        <v>20631.0</v>
      </c>
      <c r="B18" s="1" t="s">
        <v>28</v>
      </c>
      <c r="C18" s="2">
        <v>0.06</v>
      </c>
      <c r="D18" s="2">
        <v>55.48</v>
      </c>
      <c r="E18" s="2">
        <v>24.0</v>
      </c>
      <c r="F18" s="1" t="s">
        <v>136</v>
      </c>
      <c r="G18" s="1" t="s">
        <v>32</v>
      </c>
      <c r="H18" s="1" t="s">
        <v>23</v>
      </c>
      <c r="I18" s="1" t="s">
        <v>93</v>
      </c>
      <c r="J18" s="1" t="s">
        <v>137</v>
      </c>
      <c r="K18" s="19" t="s">
        <v>34</v>
      </c>
      <c r="L18" s="20" t="s">
        <v>35</v>
      </c>
      <c r="M18" s="21">
        <f t="shared" si="1"/>
        <v>3</v>
      </c>
      <c r="N18" s="2">
        <v>-28.2968</v>
      </c>
      <c r="O18" s="2">
        <v>1.0</v>
      </c>
      <c r="P18" s="2">
        <v>67.49</v>
      </c>
      <c r="Q18" s="2">
        <v>87651.0</v>
      </c>
      <c r="R18" s="15" t="b">
        <f>ISNUMBER(MATCH(Q18,'Returned order'!A:A,0))</f>
        <v>0</v>
      </c>
      <c r="S18" s="22">
        <v>42032.0</v>
      </c>
      <c r="T18" s="15"/>
      <c r="U18" s="15"/>
      <c r="V18" s="15"/>
    </row>
    <row r="19">
      <c r="A19" s="2">
        <v>20632.0</v>
      </c>
      <c r="B19" s="1" t="s">
        <v>28</v>
      </c>
      <c r="C19" s="2">
        <v>0.02</v>
      </c>
      <c r="D19" s="2">
        <v>1.68</v>
      </c>
      <c r="E19" s="2">
        <v>24.0</v>
      </c>
      <c r="F19" s="1" t="s">
        <v>136</v>
      </c>
      <c r="G19" s="1" t="s">
        <v>32</v>
      </c>
      <c r="H19" s="1" t="s">
        <v>23</v>
      </c>
      <c r="I19" s="1" t="s">
        <v>29</v>
      </c>
      <c r="J19" s="1" t="s">
        <v>141</v>
      </c>
      <c r="K19" s="19" t="s">
        <v>34</v>
      </c>
      <c r="L19" s="20" t="s">
        <v>35</v>
      </c>
      <c r="M19" s="21">
        <f t="shared" si="1"/>
        <v>3</v>
      </c>
      <c r="N19" s="2">
        <v>-5.3072</v>
      </c>
      <c r="O19" s="2">
        <v>1.0</v>
      </c>
      <c r="P19" s="2">
        <v>2.25</v>
      </c>
      <c r="Q19" s="2">
        <v>87651.0</v>
      </c>
      <c r="R19" s="15" t="b">
        <f>ISNUMBER(MATCH(Q19,'Returned order'!A:A,0))</f>
        <v>0</v>
      </c>
      <c r="S19" s="22">
        <v>42032.0</v>
      </c>
      <c r="T19" s="15"/>
      <c r="U19" s="15"/>
      <c r="V19" s="15"/>
    </row>
    <row r="20">
      <c r="A20" s="2">
        <v>23967.0</v>
      </c>
      <c r="B20" s="1" t="s">
        <v>49</v>
      </c>
      <c r="C20" s="2">
        <v>0.04</v>
      </c>
      <c r="D20" s="2">
        <v>4.14</v>
      </c>
      <c r="E20" s="2">
        <v>27.0</v>
      </c>
      <c r="F20" s="1" t="s">
        <v>146</v>
      </c>
      <c r="G20" s="1" t="s">
        <v>32</v>
      </c>
      <c r="H20" s="1" t="s">
        <v>37</v>
      </c>
      <c r="I20" s="1" t="s">
        <v>42</v>
      </c>
      <c r="J20" s="1" t="s">
        <v>149</v>
      </c>
      <c r="K20" s="19" t="s">
        <v>34</v>
      </c>
      <c r="L20" s="20" t="s">
        <v>53</v>
      </c>
      <c r="M20" s="21">
        <f t="shared" si="1"/>
        <v>6</v>
      </c>
      <c r="N20" s="2">
        <v>8.894</v>
      </c>
      <c r="O20" s="2">
        <v>12.0</v>
      </c>
      <c r="P20" s="2">
        <v>54.78</v>
      </c>
      <c r="Q20" s="2">
        <v>87652.0</v>
      </c>
      <c r="R20" s="15" t="b">
        <f>ISNUMBER(MATCH(Q20,'Returned order'!A:A,0))</f>
        <v>0</v>
      </c>
      <c r="S20" s="22">
        <v>42126.0</v>
      </c>
      <c r="T20" s="15"/>
      <c r="U20" s="15"/>
      <c r="V20" s="15"/>
    </row>
    <row r="21">
      <c r="A21" s="2">
        <v>23509.0</v>
      </c>
      <c r="B21" s="1" t="s">
        <v>28</v>
      </c>
      <c r="C21" s="2">
        <v>0.08</v>
      </c>
      <c r="D21" s="2">
        <v>34.99</v>
      </c>
      <c r="E21" s="2">
        <v>32.0</v>
      </c>
      <c r="F21" s="1" t="s">
        <v>155</v>
      </c>
      <c r="G21" s="1" t="s">
        <v>32</v>
      </c>
      <c r="H21" s="1" t="s">
        <v>23</v>
      </c>
      <c r="I21" s="1" t="s">
        <v>29</v>
      </c>
      <c r="J21" s="1" t="s">
        <v>157</v>
      </c>
      <c r="K21" s="19" t="s">
        <v>34</v>
      </c>
      <c r="L21" s="20" t="s">
        <v>61</v>
      </c>
      <c r="M21" s="21">
        <f t="shared" si="1"/>
        <v>7</v>
      </c>
      <c r="N21" s="2">
        <v>144.69</v>
      </c>
      <c r="O21" s="2">
        <v>13.0</v>
      </c>
      <c r="P21" s="2">
        <v>424.68</v>
      </c>
      <c r="Q21" s="2">
        <v>89199.0</v>
      </c>
      <c r="R21" s="15" t="b">
        <f>ISNUMBER(MATCH(Q21,'Returned order'!A:A,0))</f>
        <v>0</v>
      </c>
      <c r="S21" s="22">
        <v>42057.0</v>
      </c>
      <c r="T21" s="15"/>
      <c r="U21" s="15"/>
      <c r="V21" s="15"/>
    </row>
    <row r="22">
      <c r="A22" s="2">
        <v>23612.0</v>
      </c>
      <c r="B22" s="1" t="s">
        <v>28</v>
      </c>
      <c r="C22" s="2">
        <v>0.01</v>
      </c>
      <c r="D22" s="2">
        <v>17.98</v>
      </c>
      <c r="E22" s="2">
        <v>32.0</v>
      </c>
      <c r="F22" s="1" t="s">
        <v>155</v>
      </c>
      <c r="G22" s="1" t="s">
        <v>32</v>
      </c>
      <c r="H22" s="1" t="s">
        <v>46</v>
      </c>
      <c r="I22" s="1" t="s">
        <v>103</v>
      </c>
      <c r="J22" s="1" t="s">
        <v>160</v>
      </c>
      <c r="K22" s="19" t="s">
        <v>34</v>
      </c>
      <c r="L22" s="20" t="s">
        <v>76</v>
      </c>
      <c r="M22" s="21">
        <f t="shared" si="1"/>
        <v>5</v>
      </c>
      <c r="N22" s="2">
        <v>-35.8788</v>
      </c>
      <c r="O22" s="2">
        <v>2.0</v>
      </c>
      <c r="P22" s="2">
        <v>40.17</v>
      </c>
      <c r="Q22" s="2">
        <v>89200.0</v>
      </c>
      <c r="R22" s="15" t="b">
        <f>ISNUMBER(MATCH(Q22,'Returned order'!A:A,0))</f>
        <v>0</v>
      </c>
      <c r="S22" s="22">
        <v>42090.0</v>
      </c>
      <c r="T22" s="15"/>
      <c r="U22" s="15"/>
      <c r="V22" s="15"/>
    </row>
    <row r="23">
      <c r="A23" s="2">
        <v>23278.0</v>
      </c>
      <c r="B23" s="1" t="s">
        <v>63</v>
      </c>
      <c r="C23" s="2">
        <v>0.09</v>
      </c>
      <c r="D23" s="2">
        <v>125.99</v>
      </c>
      <c r="E23" s="2">
        <v>32.0</v>
      </c>
      <c r="F23" s="1" t="s">
        <v>155</v>
      </c>
      <c r="G23" s="1" t="s">
        <v>32</v>
      </c>
      <c r="H23" s="1" t="s">
        <v>46</v>
      </c>
      <c r="I23" s="1" t="s">
        <v>85</v>
      </c>
      <c r="J23" s="1" t="s">
        <v>165</v>
      </c>
      <c r="K23" s="19" t="s">
        <v>34</v>
      </c>
      <c r="L23" s="20" t="s">
        <v>57</v>
      </c>
      <c r="M23" s="21">
        <f t="shared" si="1"/>
        <v>2</v>
      </c>
      <c r="N23" s="2">
        <v>209.997</v>
      </c>
      <c r="O23" s="2">
        <v>8.0</v>
      </c>
      <c r="P23" s="2">
        <v>783.55</v>
      </c>
      <c r="Q23" s="2">
        <v>89202.0</v>
      </c>
      <c r="R23" s="15" t="b">
        <f>ISNUMBER(MATCH(Q23,'Returned order'!A:A,0))</f>
        <v>0</v>
      </c>
      <c r="S23" s="22">
        <v>42024.0</v>
      </c>
      <c r="T23" s="15"/>
      <c r="U23" s="15"/>
      <c r="V23" s="15"/>
    </row>
    <row r="24">
      <c r="A24" s="2">
        <v>19355.0</v>
      </c>
      <c r="B24" s="1" t="s">
        <v>170</v>
      </c>
      <c r="C24" s="2">
        <v>0.06</v>
      </c>
      <c r="D24" s="2">
        <v>205.99</v>
      </c>
      <c r="E24" s="2">
        <v>32.0</v>
      </c>
      <c r="F24" s="1" t="s">
        <v>155</v>
      </c>
      <c r="G24" s="1" t="s">
        <v>32</v>
      </c>
      <c r="H24" s="1" t="s">
        <v>46</v>
      </c>
      <c r="I24" s="1" t="s">
        <v>85</v>
      </c>
      <c r="J24" s="1" t="s">
        <v>172</v>
      </c>
      <c r="K24" s="19" t="s">
        <v>34</v>
      </c>
      <c r="L24" s="20" t="s">
        <v>70</v>
      </c>
      <c r="M24" s="21">
        <f t="shared" si="1"/>
        <v>4</v>
      </c>
      <c r="N24" s="2">
        <v>3568.096</v>
      </c>
      <c r="O24" s="2">
        <v>22.0</v>
      </c>
      <c r="P24" s="2">
        <v>3838.14</v>
      </c>
      <c r="Q24" s="2">
        <v>89203.0</v>
      </c>
      <c r="R24" s="15" t="b">
        <f>ISNUMBER(MATCH(Q24,'Returned order'!A:A,0))</f>
        <v>0</v>
      </c>
      <c r="S24" s="22">
        <v>42075.0</v>
      </c>
      <c r="T24" s="15"/>
      <c r="U24" s="15"/>
      <c r="V24" s="15"/>
    </row>
    <row r="25">
      <c r="A25" s="2">
        <v>23654.0</v>
      </c>
      <c r="B25" s="1" t="s">
        <v>49</v>
      </c>
      <c r="C25" s="2">
        <v>0.03</v>
      </c>
      <c r="D25" s="2">
        <v>4.24</v>
      </c>
      <c r="E25" s="2">
        <v>33.0</v>
      </c>
      <c r="F25" s="1" t="s">
        <v>177</v>
      </c>
      <c r="G25" s="1" t="s">
        <v>32</v>
      </c>
      <c r="H25" s="1" t="s">
        <v>23</v>
      </c>
      <c r="I25" s="1" t="s">
        <v>24</v>
      </c>
      <c r="J25" s="1" t="s">
        <v>178</v>
      </c>
      <c r="K25" s="19" t="s">
        <v>34</v>
      </c>
      <c r="L25" s="20" t="s">
        <v>27</v>
      </c>
      <c r="M25" s="21">
        <f t="shared" si="1"/>
        <v>1</v>
      </c>
      <c r="N25" s="2">
        <v>-84.4376</v>
      </c>
      <c r="O25" s="2">
        <v>13.0</v>
      </c>
      <c r="P25" s="2">
        <v>58.68</v>
      </c>
      <c r="Q25" s="2">
        <v>89201.0</v>
      </c>
      <c r="R25" s="15" t="b">
        <f>ISNUMBER(MATCH(Q25,'Returned order'!A:A,0))</f>
        <v>0</v>
      </c>
      <c r="S25" s="22">
        <v>42170.0</v>
      </c>
      <c r="T25" s="15"/>
      <c r="U25" s="15"/>
      <c r="V25" s="15"/>
    </row>
    <row r="26">
      <c r="A26" s="2">
        <v>23655.0</v>
      </c>
      <c r="B26" s="1" t="s">
        <v>49</v>
      </c>
      <c r="C26" s="2">
        <v>0.04</v>
      </c>
      <c r="D26" s="2">
        <v>2.94</v>
      </c>
      <c r="E26" s="2">
        <v>33.0</v>
      </c>
      <c r="F26" s="1" t="s">
        <v>177</v>
      </c>
      <c r="G26" s="1" t="s">
        <v>32</v>
      </c>
      <c r="H26" s="1" t="s">
        <v>23</v>
      </c>
      <c r="I26" s="1" t="s">
        <v>29</v>
      </c>
      <c r="J26" s="1" t="s">
        <v>184</v>
      </c>
      <c r="K26" s="19" t="s">
        <v>34</v>
      </c>
      <c r="L26" s="20" t="s">
        <v>27</v>
      </c>
      <c r="M26" s="21">
        <f t="shared" si="1"/>
        <v>1</v>
      </c>
      <c r="N26" s="2">
        <v>24.312</v>
      </c>
      <c r="O26" s="2">
        <v>18.0</v>
      </c>
      <c r="P26" s="2">
        <v>53.1</v>
      </c>
      <c r="Q26" s="2">
        <v>89201.0</v>
      </c>
      <c r="R26" s="15" t="b">
        <f>ISNUMBER(MATCH(Q26,'Returned order'!A:A,0))</f>
        <v>0</v>
      </c>
      <c r="S26" s="22">
        <v>42170.0</v>
      </c>
      <c r="T26" s="15"/>
      <c r="U26" s="15"/>
      <c r="V26" s="15"/>
    </row>
    <row r="27">
      <c r="A27" s="2">
        <v>25933.0</v>
      </c>
      <c r="B27" s="1" t="s">
        <v>28</v>
      </c>
      <c r="C27" s="2">
        <v>0.0</v>
      </c>
      <c r="D27" s="2">
        <v>99.99</v>
      </c>
      <c r="E27" s="2">
        <v>43.0</v>
      </c>
      <c r="F27" s="1" t="s">
        <v>189</v>
      </c>
      <c r="G27" s="1" t="s">
        <v>22</v>
      </c>
      <c r="H27" s="1" t="s">
        <v>46</v>
      </c>
      <c r="I27" s="1" t="s">
        <v>103</v>
      </c>
      <c r="J27" s="1" t="s">
        <v>191</v>
      </c>
      <c r="K27" s="19" t="s">
        <v>34</v>
      </c>
      <c r="L27" s="20" t="s">
        <v>61</v>
      </c>
      <c r="M27" s="21">
        <f t="shared" si="1"/>
        <v>7</v>
      </c>
      <c r="N27" s="2">
        <v>25.91382</v>
      </c>
      <c r="O27" s="2">
        <v>6.0</v>
      </c>
      <c r="P27" s="2">
        <v>647.07</v>
      </c>
      <c r="Q27" s="2">
        <v>91454.0</v>
      </c>
      <c r="R27" s="15" t="b">
        <f>ISNUMBER(MATCH(Q27,'Returned order'!A:A,0))</f>
        <v>0</v>
      </c>
      <c r="S27" s="22">
        <v>42134.0</v>
      </c>
      <c r="T27" s="15"/>
      <c r="U27" s="15"/>
      <c r="V27" s="15"/>
    </row>
    <row r="28">
      <c r="A28" s="2">
        <v>18551.0</v>
      </c>
      <c r="B28" s="1" t="s">
        <v>49</v>
      </c>
      <c r="C28" s="2">
        <v>0.0</v>
      </c>
      <c r="D28" s="2">
        <v>115.99</v>
      </c>
      <c r="E28" s="2">
        <v>52.0</v>
      </c>
      <c r="F28" s="1" t="s">
        <v>193</v>
      </c>
      <c r="G28" s="1" t="s">
        <v>32</v>
      </c>
      <c r="H28" s="1" t="s">
        <v>46</v>
      </c>
      <c r="I28" s="1" t="s">
        <v>85</v>
      </c>
      <c r="J28" s="1">
        <v>6160.0</v>
      </c>
      <c r="K28" s="19" t="s">
        <v>34</v>
      </c>
      <c r="L28" s="20" t="s">
        <v>57</v>
      </c>
      <c r="M28" s="21">
        <f t="shared" si="1"/>
        <v>2</v>
      </c>
      <c r="N28" s="2">
        <v>162.666</v>
      </c>
      <c r="O28" s="2">
        <v>6.0</v>
      </c>
      <c r="P28" s="2">
        <v>627.04</v>
      </c>
      <c r="Q28" s="2">
        <v>88426.0</v>
      </c>
      <c r="R28" s="15" t="b">
        <f>ISNUMBER(MATCH(Q28,'Returned order'!A:A,0))</f>
        <v>0</v>
      </c>
      <c r="S28" s="22">
        <v>42073.0</v>
      </c>
      <c r="T28" s="15"/>
      <c r="U28" s="15"/>
      <c r="V28" s="15"/>
    </row>
    <row r="29">
      <c r="A29" s="2">
        <v>22117.0</v>
      </c>
      <c r="B29" s="1" t="s">
        <v>58</v>
      </c>
      <c r="C29" s="2">
        <v>0.07</v>
      </c>
      <c r="D29" s="2">
        <v>3502.14</v>
      </c>
      <c r="E29" s="2">
        <v>53.0</v>
      </c>
      <c r="F29" s="1" t="s">
        <v>197</v>
      </c>
      <c r="G29" s="1" t="s">
        <v>32</v>
      </c>
      <c r="H29" s="1" t="s">
        <v>46</v>
      </c>
      <c r="I29" s="1" t="s">
        <v>103</v>
      </c>
      <c r="J29" s="1" t="s">
        <v>198</v>
      </c>
      <c r="K29" s="19" t="s">
        <v>34</v>
      </c>
      <c r="L29" s="20" t="s">
        <v>35</v>
      </c>
      <c r="M29" s="21">
        <f t="shared" si="1"/>
        <v>3</v>
      </c>
      <c r="N29" s="2">
        <v>-6923.5992</v>
      </c>
      <c r="O29" s="2">
        <v>1.0</v>
      </c>
      <c r="P29" s="2">
        <v>3267.55</v>
      </c>
      <c r="Q29" s="2">
        <v>88425.0</v>
      </c>
      <c r="R29" s="15" t="b">
        <f>ISNUMBER(MATCH(Q29,'Returned order'!A:A,0))</f>
        <v>0</v>
      </c>
      <c r="S29" s="22">
        <v>42032.0</v>
      </c>
      <c r="T29" s="15"/>
      <c r="U29" s="15"/>
      <c r="V29" s="15"/>
    </row>
    <row r="30">
      <c r="A30" s="2">
        <v>18552.0</v>
      </c>
      <c r="B30" s="1" t="s">
        <v>49</v>
      </c>
      <c r="C30" s="2">
        <v>0.02</v>
      </c>
      <c r="D30" s="2">
        <v>5.98</v>
      </c>
      <c r="E30" s="2">
        <v>53.0</v>
      </c>
      <c r="F30" s="1" t="s">
        <v>197</v>
      </c>
      <c r="G30" s="1" t="s">
        <v>32</v>
      </c>
      <c r="H30" s="1" t="s">
        <v>23</v>
      </c>
      <c r="I30" s="1" t="s">
        <v>93</v>
      </c>
      <c r="J30" s="1" t="s">
        <v>204</v>
      </c>
      <c r="K30" s="19" t="s">
        <v>34</v>
      </c>
      <c r="L30" s="20" t="s">
        <v>57</v>
      </c>
      <c r="M30" s="21">
        <f t="shared" si="1"/>
        <v>2</v>
      </c>
      <c r="N30" s="2">
        <v>-67.49</v>
      </c>
      <c r="O30" s="2">
        <v>17.0</v>
      </c>
      <c r="P30" s="2">
        <v>110.19</v>
      </c>
      <c r="Q30" s="2">
        <v>88426.0</v>
      </c>
      <c r="R30" s="15" t="b">
        <f>ISNUMBER(MATCH(Q30,'Returned order'!A:A,0))</f>
        <v>0</v>
      </c>
      <c r="S30" s="22">
        <v>42073.0</v>
      </c>
      <c r="T30" s="15"/>
      <c r="U30" s="15"/>
      <c r="V30" s="15"/>
    </row>
    <row r="31">
      <c r="A31" s="2">
        <v>20697.0</v>
      </c>
      <c r="B31" s="1" t="s">
        <v>63</v>
      </c>
      <c r="C31" s="2">
        <v>0.06</v>
      </c>
      <c r="D31" s="2">
        <v>3.8</v>
      </c>
      <c r="E31" s="2">
        <v>56.0</v>
      </c>
      <c r="F31" s="1" t="s">
        <v>21</v>
      </c>
      <c r="G31" s="1" t="s">
        <v>22</v>
      </c>
      <c r="H31" s="1" t="s">
        <v>23</v>
      </c>
      <c r="I31" s="1" t="s">
        <v>24</v>
      </c>
      <c r="J31" s="1" t="s">
        <v>25</v>
      </c>
      <c r="K31" s="19" t="s">
        <v>26</v>
      </c>
      <c r="L31" s="20" t="s">
        <v>27</v>
      </c>
      <c r="M31" s="21">
        <f t="shared" si="1"/>
        <v>1</v>
      </c>
      <c r="N31" s="2">
        <v>19.6282</v>
      </c>
      <c r="O31" s="2">
        <v>20.0</v>
      </c>
      <c r="P31" s="2">
        <v>73.55</v>
      </c>
      <c r="Q31" s="2">
        <v>88075.0</v>
      </c>
      <c r="R31" s="15" t="b">
        <f>ISNUMBER(MATCH(Q31,'Returned order'!A:A,0))</f>
        <v>0</v>
      </c>
      <c r="S31" s="22">
        <v>42114.0</v>
      </c>
      <c r="T31" s="15"/>
      <c r="U31" s="15"/>
      <c r="V31" s="15"/>
    </row>
    <row r="32">
      <c r="A32" s="2">
        <v>20698.0</v>
      </c>
      <c r="B32" s="1" t="s">
        <v>63</v>
      </c>
      <c r="C32" s="2">
        <v>0.06</v>
      </c>
      <c r="D32" s="2">
        <v>1.76</v>
      </c>
      <c r="E32" s="2">
        <v>56.0</v>
      </c>
      <c r="F32" s="1" t="s">
        <v>21</v>
      </c>
      <c r="G32" s="1" t="s">
        <v>22</v>
      </c>
      <c r="H32" s="1" t="s">
        <v>23</v>
      </c>
      <c r="I32" s="1" t="s">
        <v>29</v>
      </c>
      <c r="J32" s="1" t="s">
        <v>30</v>
      </c>
      <c r="K32" s="19" t="s">
        <v>26</v>
      </c>
      <c r="L32" s="20" t="s">
        <v>27</v>
      </c>
      <c r="M32" s="21">
        <f t="shared" si="1"/>
        <v>1</v>
      </c>
      <c r="N32" s="2">
        <v>-1.6524</v>
      </c>
      <c r="O32" s="2">
        <v>17.0</v>
      </c>
      <c r="P32" s="2">
        <v>29.57</v>
      </c>
      <c r="Q32" s="2">
        <v>88075.0</v>
      </c>
      <c r="R32" s="15" t="b">
        <f>ISNUMBER(MATCH(Q32,'Returned order'!A:A,0))</f>
        <v>0</v>
      </c>
      <c r="S32" s="22">
        <v>42114.0</v>
      </c>
      <c r="T32" s="15"/>
      <c r="U32" s="15"/>
      <c r="V32" s="15"/>
    </row>
    <row r="33">
      <c r="A33" s="2">
        <v>22890.0</v>
      </c>
      <c r="B33" s="1" t="s">
        <v>28</v>
      </c>
      <c r="C33" s="2">
        <v>0.02</v>
      </c>
      <c r="D33" s="2">
        <v>5.98</v>
      </c>
      <c r="E33" s="2">
        <v>62.0</v>
      </c>
      <c r="F33" s="1" t="s">
        <v>215</v>
      </c>
      <c r="G33" s="1" t="s">
        <v>32</v>
      </c>
      <c r="H33" s="1" t="s">
        <v>23</v>
      </c>
      <c r="I33" s="1" t="s">
        <v>93</v>
      </c>
      <c r="J33" s="1" t="s">
        <v>217</v>
      </c>
      <c r="K33" s="19" t="s">
        <v>68</v>
      </c>
      <c r="L33" s="20" t="s">
        <v>53</v>
      </c>
      <c r="M33" s="21">
        <f t="shared" si="1"/>
        <v>6</v>
      </c>
      <c r="N33" s="2">
        <v>2.14</v>
      </c>
      <c r="O33" s="2">
        <v>3.0</v>
      </c>
      <c r="P33" s="2">
        <v>22.85</v>
      </c>
      <c r="Q33" s="2">
        <v>87407.0</v>
      </c>
      <c r="R33" s="15" t="b">
        <f>ISNUMBER(MATCH(Q33,'Returned order'!A:A,0))</f>
        <v>0</v>
      </c>
      <c r="S33" s="22">
        <v>42133.0</v>
      </c>
      <c r="T33" s="15"/>
      <c r="U33" s="15"/>
      <c r="V33" s="15"/>
    </row>
    <row r="34">
      <c r="A34" s="2">
        <v>25354.0</v>
      </c>
      <c r="B34" s="1" t="s">
        <v>28</v>
      </c>
      <c r="C34" s="2">
        <v>0.04</v>
      </c>
      <c r="D34" s="2">
        <v>29.14</v>
      </c>
      <c r="E34" s="2">
        <v>62.0</v>
      </c>
      <c r="F34" s="1" t="s">
        <v>215</v>
      </c>
      <c r="G34" s="1" t="s">
        <v>32</v>
      </c>
      <c r="H34" s="1" t="s">
        <v>23</v>
      </c>
      <c r="I34" s="1" t="s">
        <v>93</v>
      </c>
      <c r="J34" s="1" t="s">
        <v>222</v>
      </c>
      <c r="K34" s="19" t="s">
        <v>68</v>
      </c>
      <c r="L34" s="20" t="s">
        <v>76</v>
      </c>
      <c r="M34" s="21">
        <f t="shared" si="1"/>
        <v>5</v>
      </c>
      <c r="N34" s="2">
        <v>349.4091</v>
      </c>
      <c r="O34" s="2">
        <v>17.0</v>
      </c>
      <c r="P34" s="2">
        <v>506.39</v>
      </c>
      <c r="Q34" s="2">
        <v>87408.0</v>
      </c>
      <c r="R34" s="15" t="b">
        <f>ISNUMBER(MATCH(Q34,'Returned order'!A:A,0))</f>
        <v>0</v>
      </c>
      <c r="S34" s="22">
        <v>42167.0</v>
      </c>
      <c r="T34" s="15"/>
      <c r="U34" s="15"/>
      <c r="V34" s="15"/>
    </row>
    <row r="35">
      <c r="A35" s="2">
        <v>21017.0</v>
      </c>
      <c r="B35" s="1" t="s">
        <v>49</v>
      </c>
      <c r="C35" s="2">
        <v>0.0</v>
      </c>
      <c r="D35" s="2">
        <v>3.69</v>
      </c>
      <c r="E35" s="2">
        <v>64.0</v>
      </c>
      <c r="F35" s="1" t="s">
        <v>226</v>
      </c>
      <c r="G35" s="1" t="s">
        <v>66</v>
      </c>
      <c r="H35" s="1" t="s">
        <v>23</v>
      </c>
      <c r="I35" s="1" t="s">
        <v>130</v>
      </c>
      <c r="J35" s="1" t="s">
        <v>228</v>
      </c>
      <c r="K35" s="19" t="s">
        <v>229</v>
      </c>
      <c r="L35" s="20" t="s">
        <v>27</v>
      </c>
      <c r="M35" s="21">
        <f t="shared" si="1"/>
        <v>1</v>
      </c>
      <c r="N35" s="2">
        <v>-37.5291</v>
      </c>
      <c r="O35" s="2">
        <v>1.0</v>
      </c>
      <c r="P35" s="2">
        <v>4.0</v>
      </c>
      <c r="Q35" s="2">
        <v>87406.0</v>
      </c>
      <c r="R35" s="15" t="b">
        <f>ISNUMBER(MATCH(Q35,'Returned order'!A:A,0))</f>
        <v>0</v>
      </c>
      <c r="S35" s="22">
        <v>42065.0</v>
      </c>
      <c r="T35" s="15"/>
      <c r="U35" s="15"/>
      <c r="V35" s="15"/>
    </row>
    <row r="36">
      <c r="A36" s="2">
        <v>21019.0</v>
      </c>
      <c r="B36" s="1" t="s">
        <v>49</v>
      </c>
      <c r="C36" s="2">
        <v>0.02</v>
      </c>
      <c r="D36" s="2">
        <v>175.99</v>
      </c>
      <c r="E36" s="2">
        <v>64.0</v>
      </c>
      <c r="F36" s="1" t="s">
        <v>226</v>
      </c>
      <c r="G36" s="1" t="s">
        <v>66</v>
      </c>
      <c r="H36" s="1" t="s">
        <v>46</v>
      </c>
      <c r="I36" s="1" t="s">
        <v>85</v>
      </c>
      <c r="J36" s="1">
        <v>5165.0</v>
      </c>
      <c r="K36" s="19" t="s">
        <v>229</v>
      </c>
      <c r="L36" s="20" t="s">
        <v>27</v>
      </c>
      <c r="M36" s="21">
        <f t="shared" si="1"/>
        <v>1</v>
      </c>
      <c r="N36" s="2">
        <v>101.49</v>
      </c>
      <c r="O36" s="2">
        <v>4.0</v>
      </c>
      <c r="P36" s="2">
        <v>589.8</v>
      </c>
      <c r="Q36" s="2">
        <v>87406.0</v>
      </c>
      <c r="R36" s="15" t="b">
        <f>ISNUMBER(MATCH(Q36,'Returned order'!A:A,0))</f>
        <v>0</v>
      </c>
      <c r="S36" s="22">
        <v>42065.0</v>
      </c>
      <c r="T36" s="15"/>
      <c r="U36" s="15"/>
      <c r="V36" s="15"/>
    </row>
    <row r="37">
      <c r="A37" s="2">
        <v>23274.0</v>
      </c>
      <c r="B37" s="1" t="s">
        <v>170</v>
      </c>
      <c r="C37" s="2">
        <v>0.05</v>
      </c>
      <c r="D37" s="2">
        <v>155.06</v>
      </c>
      <c r="E37" s="2">
        <v>67.0</v>
      </c>
      <c r="F37" s="1" t="s">
        <v>238</v>
      </c>
      <c r="G37" s="1" t="s">
        <v>32</v>
      </c>
      <c r="H37" s="1" t="s">
        <v>23</v>
      </c>
      <c r="I37" s="1" t="s">
        <v>120</v>
      </c>
      <c r="J37" s="1" t="s">
        <v>240</v>
      </c>
      <c r="K37" s="19" t="s">
        <v>34</v>
      </c>
      <c r="L37" s="20" t="s">
        <v>76</v>
      </c>
      <c r="M37" s="21">
        <f t="shared" si="1"/>
        <v>5</v>
      </c>
      <c r="N37" s="2">
        <v>845.664</v>
      </c>
      <c r="O37" s="2">
        <v>8.0</v>
      </c>
      <c r="P37" s="2">
        <v>1225.6</v>
      </c>
      <c r="Q37" s="2">
        <v>87946.0</v>
      </c>
      <c r="R37" s="15" t="b">
        <f>ISNUMBER(MATCH(Q37,'Returned order'!A:A,0))</f>
        <v>0</v>
      </c>
      <c r="S37" s="22">
        <v>42006.0</v>
      </c>
      <c r="T37" s="15"/>
      <c r="U37" s="15"/>
      <c r="V37" s="15"/>
    </row>
    <row r="38">
      <c r="A38" s="2">
        <v>5272.0</v>
      </c>
      <c r="B38" s="1" t="s">
        <v>170</v>
      </c>
      <c r="C38" s="2">
        <v>0.0</v>
      </c>
      <c r="D38" s="2">
        <v>291.73</v>
      </c>
      <c r="E38" s="2">
        <v>68.0</v>
      </c>
      <c r="F38" s="1" t="s">
        <v>36</v>
      </c>
      <c r="G38" s="1" t="s">
        <v>32</v>
      </c>
      <c r="H38" s="1" t="s">
        <v>37</v>
      </c>
      <c r="I38" s="1" t="s">
        <v>38</v>
      </c>
      <c r="J38" s="1" t="s">
        <v>244</v>
      </c>
      <c r="K38" s="19" t="s">
        <v>26</v>
      </c>
      <c r="L38" s="20" t="s">
        <v>76</v>
      </c>
      <c r="M38" s="21">
        <f t="shared" si="1"/>
        <v>5</v>
      </c>
      <c r="N38" s="2">
        <v>-308.928</v>
      </c>
      <c r="O38" s="2">
        <v>4.0</v>
      </c>
      <c r="P38" s="2">
        <v>1239.06</v>
      </c>
      <c r="Q38" s="2">
        <v>37537.0</v>
      </c>
      <c r="R38" s="15" t="b">
        <f>ISNUMBER(MATCH(Q38,'Returned order'!A:A,0))</f>
        <v>0</v>
      </c>
      <c r="S38" s="22">
        <v>42006.0</v>
      </c>
      <c r="T38" s="15"/>
      <c r="U38" s="15"/>
      <c r="V38" s="15"/>
    </row>
    <row r="39">
      <c r="A39" s="2">
        <v>5273.0</v>
      </c>
      <c r="B39" s="1" t="s">
        <v>170</v>
      </c>
      <c r="C39" s="2">
        <v>0.07</v>
      </c>
      <c r="D39" s="2">
        <v>100.98</v>
      </c>
      <c r="E39" s="2">
        <v>68.0</v>
      </c>
      <c r="F39" s="1" t="s">
        <v>36</v>
      </c>
      <c r="G39" s="1" t="s">
        <v>32</v>
      </c>
      <c r="H39" s="1" t="s">
        <v>37</v>
      </c>
      <c r="I39" s="1" t="s">
        <v>38</v>
      </c>
      <c r="J39" s="1" t="s">
        <v>246</v>
      </c>
      <c r="K39" s="19" t="s">
        <v>26</v>
      </c>
      <c r="L39" s="20" t="s">
        <v>76</v>
      </c>
      <c r="M39" s="21">
        <f t="shared" si="1"/>
        <v>5</v>
      </c>
      <c r="N39" s="2">
        <v>-1679.76</v>
      </c>
      <c r="O39" s="2">
        <v>43.0</v>
      </c>
      <c r="P39" s="2">
        <v>4083.19</v>
      </c>
      <c r="Q39" s="2">
        <v>37537.0</v>
      </c>
      <c r="R39" s="15" t="b">
        <f>ISNUMBER(MATCH(Q39,'Returned order'!A:A,0))</f>
        <v>0</v>
      </c>
      <c r="S39" s="22">
        <v>42006.0</v>
      </c>
      <c r="T39" s="15"/>
      <c r="U39" s="15"/>
      <c r="V39" s="15"/>
    </row>
    <row r="40">
      <c r="A40" s="2">
        <v>5274.0</v>
      </c>
      <c r="B40" s="1" t="s">
        <v>170</v>
      </c>
      <c r="C40" s="2">
        <v>0.05</v>
      </c>
      <c r="D40" s="2">
        <v>155.06</v>
      </c>
      <c r="E40" s="2">
        <v>68.0</v>
      </c>
      <c r="F40" s="1" t="s">
        <v>36</v>
      </c>
      <c r="G40" s="1" t="s">
        <v>32</v>
      </c>
      <c r="H40" s="1" t="s">
        <v>23</v>
      </c>
      <c r="I40" s="1" t="s">
        <v>120</v>
      </c>
      <c r="J40" s="1" t="s">
        <v>240</v>
      </c>
      <c r="K40" s="19" t="s">
        <v>26</v>
      </c>
      <c r="L40" s="20" t="s">
        <v>76</v>
      </c>
      <c r="M40" s="21">
        <f t="shared" si="1"/>
        <v>5</v>
      </c>
      <c r="N40" s="2">
        <v>575.396</v>
      </c>
      <c r="O40" s="2">
        <v>32.0</v>
      </c>
      <c r="P40" s="2">
        <v>4902.38</v>
      </c>
      <c r="Q40" s="2">
        <v>37537.0</v>
      </c>
      <c r="R40" s="15" t="b">
        <f>ISNUMBER(MATCH(Q40,'Returned order'!A:A,0))</f>
        <v>0</v>
      </c>
      <c r="S40" s="22">
        <v>42006.0</v>
      </c>
      <c r="T40" s="15"/>
      <c r="U40" s="15"/>
      <c r="V40" s="15"/>
    </row>
    <row r="41">
      <c r="A41" s="2">
        <v>7786.0</v>
      </c>
      <c r="B41" s="1" t="s">
        <v>28</v>
      </c>
      <c r="C41" s="2">
        <v>0.09</v>
      </c>
      <c r="D41" s="2">
        <v>122.99</v>
      </c>
      <c r="E41" s="2">
        <v>68.0</v>
      </c>
      <c r="F41" s="1" t="s">
        <v>36</v>
      </c>
      <c r="G41" s="1" t="s">
        <v>32</v>
      </c>
      <c r="H41" s="1" t="s">
        <v>37</v>
      </c>
      <c r="I41" s="1" t="s">
        <v>38</v>
      </c>
      <c r="J41" s="1" t="s">
        <v>39</v>
      </c>
      <c r="K41" s="19" t="s">
        <v>26</v>
      </c>
      <c r="L41" s="20" t="s">
        <v>27</v>
      </c>
      <c r="M41" s="21">
        <f t="shared" si="1"/>
        <v>1</v>
      </c>
      <c r="N41" s="2">
        <v>-2426.55</v>
      </c>
      <c r="O41" s="2">
        <v>49.0</v>
      </c>
      <c r="P41" s="2">
        <v>5718.85</v>
      </c>
      <c r="Q41" s="2">
        <v>55713.0</v>
      </c>
      <c r="R41" s="15" t="b">
        <f>ISNUMBER(MATCH(Q41,'Returned order'!A:A,0))</f>
        <v>0</v>
      </c>
      <c r="S41" s="22">
        <v>42037.0</v>
      </c>
      <c r="T41" s="15"/>
      <c r="U41" s="15"/>
      <c r="V41" s="15"/>
    </row>
    <row r="42">
      <c r="A42" s="2">
        <v>25786.0</v>
      </c>
      <c r="B42" s="1" t="s">
        <v>28</v>
      </c>
      <c r="C42" s="2">
        <v>0.09</v>
      </c>
      <c r="D42" s="2">
        <v>122.99</v>
      </c>
      <c r="E42" s="2">
        <v>70.0</v>
      </c>
      <c r="F42" s="1" t="s">
        <v>40</v>
      </c>
      <c r="G42" s="1" t="s">
        <v>32</v>
      </c>
      <c r="H42" s="1" t="s">
        <v>37</v>
      </c>
      <c r="I42" s="1" t="s">
        <v>38</v>
      </c>
      <c r="J42" s="1" t="s">
        <v>39</v>
      </c>
      <c r="K42" s="19" t="s">
        <v>26</v>
      </c>
      <c r="L42" s="20" t="s">
        <v>27</v>
      </c>
      <c r="M42" s="21">
        <f t="shared" si="1"/>
        <v>1</v>
      </c>
      <c r="N42" s="2">
        <v>-2426.55</v>
      </c>
      <c r="O42" s="2">
        <v>12.0</v>
      </c>
      <c r="P42" s="2">
        <v>1400.53</v>
      </c>
      <c r="Q42" s="2">
        <v>87947.0</v>
      </c>
      <c r="R42" s="15" t="b">
        <f>ISNUMBER(MATCH(Q42,'Returned order'!A:A,0))</f>
        <v>0</v>
      </c>
      <c r="S42" s="22">
        <v>42037.0</v>
      </c>
      <c r="T42" s="15"/>
      <c r="U42" s="15"/>
      <c r="V42" s="15"/>
    </row>
    <row r="43">
      <c r="A43" s="2">
        <v>18281.0</v>
      </c>
      <c r="B43" s="1" t="s">
        <v>28</v>
      </c>
      <c r="C43" s="2">
        <v>0.04</v>
      </c>
      <c r="D43" s="2">
        <v>296.18</v>
      </c>
      <c r="E43" s="2">
        <v>83.0</v>
      </c>
      <c r="F43" s="1" t="s">
        <v>247</v>
      </c>
      <c r="G43" s="1" t="s">
        <v>32</v>
      </c>
      <c r="H43" s="1" t="s">
        <v>37</v>
      </c>
      <c r="I43" s="1" t="s">
        <v>73</v>
      </c>
      <c r="J43" s="1" t="s">
        <v>248</v>
      </c>
      <c r="K43" s="19" t="s">
        <v>26</v>
      </c>
      <c r="L43" s="20" t="s">
        <v>61</v>
      </c>
      <c r="M43" s="21">
        <f t="shared" si="1"/>
        <v>7</v>
      </c>
      <c r="N43" s="2">
        <v>-715.778206</v>
      </c>
      <c r="O43" s="2">
        <v>6.0</v>
      </c>
      <c r="P43" s="2">
        <v>1821.89</v>
      </c>
      <c r="Q43" s="2">
        <v>87365.0</v>
      </c>
      <c r="R43" s="15" t="b">
        <f>ISNUMBER(MATCH(Q43,'Returned order'!A:A,0))</f>
        <v>0</v>
      </c>
      <c r="S43" s="22">
        <v>42078.0</v>
      </c>
      <c r="T43" s="15"/>
      <c r="U43" s="15"/>
      <c r="V43" s="15"/>
    </row>
    <row r="44">
      <c r="A44" s="2">
        <v>23639.0</v>
      </c>
      <c r="B44" s="1" t="s">
        <v>49</v>
      </c>
      <c r="C44" s="2">
        <v>0.0</v>
      </c>
      <c r="D44" s="2">
        <v>8.09</v>
      </c>
      <c r="E44" s="2">
        <v>84.0</v>
      </c>
      <c r="F44" s="1" t="s">
        <v>41</v>
      </c>
      <c r="G44" s="1" t="s">
        <v>22</v>
      </c>
      <c r="H44" s="1" t="s">
        <v>37</v>
      </c>
      <c r="I44" s="1" t="s">
        <v>42</v>
      </c>
      <c r="J44" s="1" t="s">
        <v>43</v>
      </c>
      <c r="K44" s="19" t="s">
        <v>26</v>
      </c>
      <c r="L44" s="20" t="s">
        <v>27</v>
      </c>
      <c r="M44" s="21">
        <f t="shared" si="1"/>
        <v>1</v>
      </c>
      <c r="N44" s="2">
        <v>-144.56</v>
      </c>
      <c r="O44" s="2">
        <v>11.0</v>
      </c>
      <c r="P44" s="2">
        <v>90.98</v>
      </c>
      <c r="Q44" s="2">
        <v>87364.0</v>
      </c>
      <c r="R44" s="15" t="b">
        <f>ISNUMBER(MATCH(Q44,'Returned order'!A:A,0))</f>
        <v>0</v>
      </c>
      <c r="S44" s="22">
        <v>42037.0</v>
      </c>
      <c r="T44" s="15"/>
      <c r="U44" s="15"/>
      <c r="V44" s="15"/>
    </row>
    <row r="45">
      <c r="A45" s="2">
        <v>23880.0</v>
      </c>
      <c r="B45" s="1" t="s">
        <v>28</v>
      </c>
      <c r="C45" s="2">
        <v>0.08</v>
      </c>
      <c r="D45" s="2">
        <v>896.99</v>
      </c>
      <c r="E45" s="2">
        <v>84.0</v>
      </c>
      <c r="F45" s="1" t="s">
        <v>41</v>
      </c>
      <c r="G45" s="1" t="s">
        <v>32</v>
      </c>
      <c r="H45" s="1" t="s">
        <v>23</v>
      </c>
      <c r="I45" s="1" t="s">
        <v>24</v>
      </c>
      <c r="J45" s="1" t="s">
        <v>44</v>
      </c>
      <c r="K45" s="19" t="s">
        <v>26</v>
      </c>
      <c r="L45" s="20" t="s">
        <v>27</v>
      </c>
      <c r="M45" s="21">
        <f t="shared" si="1"/>
        <v>1</v>
      </c>
      <c r="N45" s="2">
        <v>7402.32</v>
      </c>
      <c r="O45" s="2">
        <v>13.0</v>
      </c>
      <c r="P45" s="2">
        <v>10728.0</v>
      </c>
      <c r="Q45" s="2">
        <v>87366.0</v>
      </c>
      <c r="R45" s="15" t="b">
        <f>ISNUMBER(MATCH(Q45,'Returned order'!A:A,0))</f>
        <v>0</v>
      </c>
      <c r="S45" s="22">
        <v>42093.0</v>
      </c>
      <c r="T45" s="15"/>
      <c r="U45" s="15"/>
      <c r="V45" s="15"/>
    </row>
    <row r="46">
      <c r="A46" s="2">
        <v>24663.0</v>
      </c>
      <c r="B46" s="1" t="s">
        <v>170</v>
      </c>
      <c r="C46" s="2">
        <v>0.05</v>
      </c>
      <c r="D46" s="2">
        <v>161.55</v>
      </c>
      <c r="E46" s="2">
        <v>87.0</v>
      </c>
      <c r="F46" s="1" t="s">
        <v>249</v>
      </c>
      <c r="G46" s="1" t="s">
        <v>32</v>
      </c>
      <c r="H46" s="1" t="s">
        <v>23</v>
      </c>
      <c r="I46" s="1" t="s">
        <v>120</v>
      </c>
      <c r="J46" s="1" t="s">
        <v>250</v>
      </c>
      <c r="K46" s="19" t="s">
        <v>34</v>
      </c>
      <c r="L46" s="20" t="s">
        <v>35</v>
      </c>
      <c r="M46" s="21">
        <f t="shared" si="1"/>
        <v>3</v>
      </c>
      <c r="N46" s="2">
        <v>1892.424</v>
      </c>
      <c r="O46" s="2">
        <v>19.0</v>
      </c>
      <c r="P46" s="2">
        <v>3127.69</v>
      </c>
      <c r="Q46" s="2">
        <v>90596.0</v>
      </c>
      <c r="R46" s="15" t="b">
        <f>ISNUMBER(MATCH(Q46,'Returned order'!A:A,0))</f>
        <v>0</v>
      </c>
      <c r="S46" s="22">
        <v>42158.0</v>
      </c>
      <c r="T46" s="15"/>
      <c r="U46" s="15"/>
      <c r="V46" s="15"/>
    </row>
    <row r="47">
      <c r="A47" s="2">
        <v>23841.0</v>
      </c>
      <c r="B47" s="1" t="s">
        <v>28</v>
      </c>
      <c r="C47" s="2">
        <v>0.09</v>
      </c>
      <c r="D47" s="2">
        <v>4.91</v>
      </c>
      <c r="E47" s="2">
        <v>87.0</v>
      </c>
      <c r="F47" s="1" t="s">
        <v>249</v>
      </c>
      <c r="G47" s="1" t="s">
        <v>32</v>
      </c>
      <c r="H47" s="1" t="s">
        <v>23</v>
      </c>
      <c r="I47" s="1" t="s">
        <v>130</v>
      </c>
      <c r="J47" s="1" t="s">
        <v>251</v>
      </c>
      <c r="K47" s="19" t="s">
        <v>34</v>
      </c>
      <c r="L47" s="20" t="s">
        <v>61</v>
      </c>
      <c r="M47" s="21">
        <f t="shared" si="1"/>
        <v>7</v>
      </c>
      <c r="N47" s="2">
        <v>28.8558</v>
      </c>
      <c r="O47" s="2">
        <v>9.0</v>
      </c>
      <c r="P47" s="2">
        <v>41.82</v>
      </c>
      <c r="Q47" s="2">
        <v>90597.0</v>
      </c>
      <c r="R47" s="15" t="b">
        <f>ISNUMBER(MATCH(Q47,'Returned order'!A:A,0))</f>
        <v>0</v>
      </c>
      <c r="S47" s="22">
        <v>42085.0</v>
      </c>
      <c r="T47" s="15"/>
      <c r="U47" s="15"/>
      <c r="V47" s="15"/>
    </row>
    <row r="48">
      <c r="A48" s="2">
        <v>23842.0</v>
      </c>
      <c r="B48" s="1" t="s">
        <v>28</v>
      </c>
      <c r="C48" s="2">
        <v>0.01</v>
      </c>
      <c r="D48" s="2">
        <v>296.18</v>
      </c>
      <c r="E48" s="2">
        <v>87.0</v>
      </c>
      <c r="F48" s="1" t="s">
        <v>249</v>
      </c>
      <c r="G48" s="1" t="s">
        <v>32</v>
      </c>
      <c r="H48" s="1" t="s">
        <v>37</v>
      </c>
      <c r="I48" s="1" t="s">
        <v>73</v>
      </c>
      <c r="J48" s="1" t="s">
        <v>248</v>
      </c>
      <c r="K48" s="19" t="s">
        <v>34</v>
      </c>
      <c r="L48" s="20" t="s">
        <v>61</v>
      </c>
      <c r="M48" s="21">
        <f t="shared" si="1"/>
        <v>7</v>
      </c>
      <c r="N48" s="2">
        <v>173.48</v>
      </c>
      <c r="O48" s="2">
        <v>9.0</v>
      </c>
      <c r="P48" s="2">
        <v>2875.72</v>
      </c>
      <c r="Q48" s="2">
        <v>90597.0</v>
      </c>
      <c r="R48" s="15" t="b">
        <f>ISNUMBER(MATCH(Q48,'Returned order'!A:A,0))</f>
        <v>0</v>
      </c>
      <c r="S48" s="22">
        <v>42085.0</v>
      </c>
      <c r="T48" s="15"/>
      <c r="U48" s="15"/>
      <c r="V48" s="15"/>
    </row>
    <row r="49">
      <c r="A49" s="2">
        <v>23071.0</v>
      </c>
      <c r="B49" s="1" t="s">
        <v>28</v>
      </c>
      <c r="C49" s="2">
        <v>0.07</v>
      </c>
      <c r="D49" s="2">
        <v>19.84</v>
      </c>
      <c r="E49" s="2">
        <v>91.0</v>
      </c>
      <c r="F49" s="1" t="s">
        <v>252</v>
      </c>
      <c r="G49" s="1" t="s">
        <v>51</v>
      </c>
      <c r="H49" s="1" t="s">
        <v>23</v>
      </c>
      <c r="I49" s="1" t="s">
        <v>29</v>
      </c>
      <c r="J49" s="1" t="s">
        <v>253</v>
      </c>
      <c r="K49" s="19" t="s">
        <v>34</v>
      </c>
      <c r="L49" s="20" t="s">
        <v>61</v>
      </c>
      <c r="M49" s="21">
        <f t="shared" si="1"/>
        <v>7</v>
      </c>
      <c r="N49" s="2">
        <v>117.852</v>
      </c>
      <c r="O49" s="2">
        <v>9.0</v>
      </c>
      <c r="P49" s="2">
        <v>170.8</v>
      </c>
      <c r="Q49" s="2">
        <v>87175.0</v>
      </c>
      <c r="R49" s="15" t="b">
        <f>ISNUMBER(MATCH(Q49,'Returned order'!A:A,0))</f>
        <v>0</v>
      </c>
      <c r="S49" s="22">
        <v>42141.0</v>
      </c>
      <c r="T49" s="15"/>
      <c r="U49" s="15"/>
      <c r="V49" s="15"/>
    </row>
    <row r="50">
      <c r="A50" s="2">
        <v>19877.0</v>
      </c>
      <c r="B50" s="1" t="s">
        <v>63</v>
      </c>
      <c r="C50" s="2">
        <v>0.05</v>
      </c>
      <c r="D50" s="2">
        <v>5.18</v>
      </c>
      <c r="E50" s="2">
        <v>91.0</v>
      </c>
      <c r="F50" s="1" t="s">
        <v>252</v>
      </c>
      <c r="G50" s="1" t="s">
        <v>51</v>
      </c>
      <c r="H50" s="1" t="s">
        <v>23</v>
      </c>
      <c r="I50" s="1" t="s">
        <v>93</v>
      </c>
      <c r="J50" s="1" t="s">
        <v>254</v>
      </c>
      <c r="K50" s="19" t="s">
        <v>34</v>
      </c>
      <c r="L50" s="20" t="s">
        <v>35</v>
      </c>
      <c r="M50" s="21">
        <f t="shared" si="1"/>
        <v>3</v>
      </c>
      <c r="N50" s="2">
        <v>34.0104</v>
      </c>
      <c r="O50" s="2">
        <v>10.0</v>
      </c>
      <c r="P50" s="2">
        <v>53.54</v>
      </c>
      <c r="Q50" s="2">
        <v>87176.0</v>
      </c>
      <c r="R50" s="15" t="b">
        <f>ISNUMBER(MATCH(Q50,'Returned order'!A:A,0))</f>
        <v>0</v>
      </c>
      <c r="S50" s="22">
        <v>42053.0</v>
      </c>
      <c r="T50" s="15"/>
      <c r="U50" s="15"/>
      <c r="V50" s="15"/>
    </row>
    <row r="51">
      <c r="A51" s="2">
        <v>19611.0</v>
      </c>
      <c r="B51" s="1" t="s">
        <v>63</v>
      </c>
      <c r="C51" s="2">
        <v>0.06</v>
      </c>
      <c r="D51" s="2">
        <v>175.99</v>
      </c>
      <c r="E51" s="2">
        <v>91.0</v>
      </c>
      <c r="F51" s="1" t="s">
        <v>252</v>
      </c>
      <c r="G51" s="1" t="s">
        <v>32</v>
      </c>
      <c r="H51" s="1" t="s">
        <v>46</v>
      </c>
      <c r="I51" s="1" t="s">
        <v>85</v>
      </c>
      <c r="J51" s="1">
        <v>2180.0</v>
      </c>
      <c r="K51" s="19" t="s">
        <v>34</v>
      </c>
      <c r="L51" s="20" t="s">
        <v>35</v>
      </c>
      <c r="M51" s="21">
        <f t="shared" si="1"/>
        <v>3</v>
      </c>
      <c r="N51" s="2">
        <v>2031.507</v>
      </c>
      <c r="O51" s="2">
        <v>23.0</v>
      </c>
      <c r="P51" s="2">
        <v>3363.53</v>
      </c>
      <c r="Q51" s="2">
        <v>87177.0</v>
      </c>
      <c r="R51" s="15" t="b">
        <f>ISNUMBER(MATCH(Q51,'Returned order'!A:A,0))</f>
        <v>0</v>
      </c>
      <c r="S51" s="22">
        <v>42067.0</v>
      </c>
      <c r="T51" s="15"/>
      <c r="U51" s="15"/>
      <c r="V51" s="15"/>
    </row>
    <row r="52">
      <c r="A52" s="2">
        <v>23069.0</v>
      </c>
      <c r="B52" s="1" t="s">
        <v>28</v>
      </c>
      <c r="C52" s="2">
        <v>0.07</v>
      </c>
      <c r="D52" s="2">
        <v>8.34</v>
      </c>
      <c r="E52" s="2">
        <v>92.0</v>
      </c>
      <c r="F52" s="1" t="s">
        <v>255</v>
      </c>
      <c r="G52" s="1" t="s">
        <v>51</v>
      </c>
      <c r="H52" s="1" t="s">
        <v>23</v>
      </c>
      <c r="I52" s="1" t="s">
        <v>93</v>
      </c>
      <c r="J52" s="1" t="s">
        <v>256</v>
      </c>
      <c r="K52" s="19" t="s">
        <v>229</v>
      </c>
      <c r="L52" s="20" t="s">
        <v>61</v>
      </c>
      <c r="M52" s="21">
        <f t="shared" si="1"/>
        <v>7</v>
      </c>
      <c r="N52" s="2">
        <v>-190.68</v>
      </c>
      <c r="O52" s="2">
        <v>16.0</v>
      </c>
      <c r="P52" s="2">
        <v>132.08</v>
      </c>
      <c r="Q52" s="2">
        <v>87175.0</v>
      </c>
      <c r="R52" s="15" t="b">
        <f>ISNUMBER(MATCH(Q52,'Returned order'!A:A,0))</f>
        <v>0</v>
      </c>
      <c r="S52" s="22">
        <v>42141.0</v>
      </c>
      <c r="T52" s="15"/>
      <c r="U52" s="15"/>
      <c r="V52" s="15"/>
    </row>
    <row r="53">
      <c r="A53" s="2">
        <v>23070.0</v>
      </c>
      <c r="B53" s="1" t="s">
        <v>28</v>
      </c>
      <c r="C53" s="2">
        <v>0.09</v>
      </c>
      <c r="D53" s="2">
        <v>4.98</v>
      </c>
      <c r="E53" s="2">
        <v>92.0</v>
      </c>
      <c r="F53" s="1" t="s">
        <v>255</v>
      </c>
      <c r="G53" s="1" t="s">
        <v>51</v>
      </c>
      <c r="H53" s="1" t="s">
        <v>23</v>
      </c>
      <c r="I53" s="1" t="s">
        <v>93</v>
      </c>
      <c r="J53" s="1" t="s">
        <v>140</v>
      </c>
      <c r="K53" s="19" t="s">
        <v>229</v>
      </c>
      <c r="L53" s="20" t="s">
        <v>61</v>
      </c>
      <c r="M53" s="21">
        <f t="shared" si="1"/>
        <v>7</v>
      </c>
      <c r="N53" s="2">
        <v>325.398</v>
      </c>
      <c r="O53" s="2">
        <v>9.0</v>
      </c>
      <c r="P53" s="2">
        <v>45.34</v>
      </c>
      <c r="Q53" s="2">
        <v>87175.0</v>
      </c>
      <c r="R53" s="15" t="b">
        <f>ISNUMBER(MATCH(Q53,'Returned order'!A:A,0))</f>
        <v>0</v>
      </c>
      <c r="S53" s="22">
        <v>42141.0</v>
      </c>
      <c r="T53" s="15"/>
      <c r="U53" s="15"/>
      <c r="V53" s="15"/>
    </row>
    <row r="54">
      <c r="A54" s="2">
        <v>23203.0</v>
      </c>
      <c r="B54" s="1" t="s">
        <v>63</v>
      </c>
      <c r="C54" s="2">
        <v>0.04</v>
      </c>
      <c r="D54" s="2">
        <v>12.98</v>
      </c>
      <c r="E54" s="2">
        <v>92.0</v>
      </c>
      <c r="F54" s="1" t="s">
        <v>255</v>
      </c>
      <c r="G54" s="1" t="s">
        <v>32</v>
      </c>
      <c r="H54" s="1" t="s">
        <v>23</v>
      </c>
      <c r="I54" s="1" t="s">
        <v>257</v>
      </c>
      <c r="J54" s="1" t="s">
        <v>258</v>
      </c>
      <c r="K54" s="19" t="s">
        <v>229</v>
      </c>
      <c r="L54" s="20" t="s">
        <v>61</v>
      </c>
      <c r="M54" s="21">
        <f t="shared" si="1"/>
        <v>7</v>
      </c>
      <c r="N54" s="2">
        <v>22.818</v>
      </c>
      <c r="O54" s="2">
        <v>16.0</v>
      </c>
      <c r="P54" s="2">
        <v>216.04</v>
      </c>
      <c r="Q54" s="2">
        <v>87178.0</v>
      </c>
      <c r="R54" s="15" t="b">
        <f>ISNUMBER(MATCH(Q54,'Returned order'!A:A,0))</f>
        <v>0</v>
      </c>
      <c r="S54" s="22">
        <v>42162.0</v>
      </c>
      <c r="T54" s="15"/>
      <c r="U54" s="15"/>
      <c r="V54" s="15"/>
    </row>
    <row r="55">
      <c r="A55" s="2">
        <v>6243.0</v>
      </c>
      <c r="B55" s="1" t="s">
        <v>49</v>
      </c>
      <c r="C55" s="2">
        <v>0.04</v>
      </c>
      <c r="D55" s="2">
        <v>160.98</v>
      </c>
      <c r="E55" s="2">
        <v>94.0</v>
      </c>
      <c r="F55" s="1" t="s">
        <v>259</v>
      </c>
      <c r="G55" s="1" t="s">
        <v>51</v>
      </c>
      <c r="H55" s="1" t="s">
        <v>37</v>
      </c>
      <c r="I55" s="1" t="s">
        <v>38</v>
      </c>
      <c r="J55" s="1" t="s">
        <v>260</v>
      </c>
      <c r="K55" s="19" t="s">
        <v>68</v>
      </c>
      <c r="L55" s="20" t="s">
        <v>61</v>
      </c>
      <c r="M55" s="21">
        <f t="shared" si="1"/>
        <v>7</v>
      </c>
      <c r="N55" s="2">
        <v>116.1</v>
      </c>
      <c r="O55" s="2">
        <v>37.0</v>
      </c>
      <c r="P55" s="2">
        <v>6276.34</v>
      </c>
      <c r="Q55" s="2">
        <v>44231.0</v>
      </c>
      <c r="R55" s="15" t="b">
        <f>ISNUMBER(MATCH(Q55,'Returned order'!A:A,0))</f>
        <v>0</v>
      </c>
      <c r="S55" s="22">
        <v>42127.0</v>
      </c>
      <c r="T55" s="15"/>
      <c r="U55" s="15"/>
      <c r="V55" s="15"/>
    </row>
    <row r="56">
      <c r="A56" s="2">
        <v>6244.0</v>
      </c>
      <c r="B56" s="1" t="s">
        <v>49</v>
      </c>
      <c r="C56" s="2">
        <v>0.01</v>
      </c>
      <c r="D56" s="2">
        <v>17.98</v>
      </c>
      <c r="E56" s="2">
        <v>94.0</v>
      </c>
      <c r="F56" s="1" t="s">
        <v>259</v>
      </c>
      <c r="G56" s="1" t="s">
        <v>51</v>
      </c>
      <c r="H56" s="1" t="s">
        <v>46</v>
      </c>
      <c r="I56" s="1" t="s">
        <v>47</v>
      </c>
      <c r="J56" s="1" t="s">
        <v>261</v>
      </c>
      <c r="K56" s="19" t="s">
        <v>68</v>
      </c>
      <c r="L56" s="20" t="s">
        <v>61</v>
      </c>
      <c r="M56" s="21">
        <f t="shared" si="1"/>
        <v>7</v>
      </c>
      <c r="N56" s="2">
        <v>-87.96</v>
      </c>
      <c r="O56" s="2">
        <v>146.0</v>
      </c>
      <c r="P56" s="2">
        <v>2664.4</v>
      </c>
      <c r="Q56" s="2">
        <v>44231.0</v>
      </c>
      <c r="R56" s="15" t="b">
        <f>ISNUMBER(MATCH(Q56,'Returned order'!A:A,0))</f>
        <v>0</v>
      </c>
      <c r="S56" s="22">
        <v>42127.0</v>
      </c>
      <c r="T56" s="15"/>
      <c r="U56" s="15"/>
      <c r="V56" s="15"/>
    </row>
    <row r="57">
      <c r="A57" s="2">
        <v>24243.0</v>
      </c>
      <c r="B57" s="1" t="s">
        <v>49</v>
      </c>
      <c r="C57" s="2">
        <v>0.04</v>
      </c>
      <c r="D57" s="2">
        <v>160.98</v>
      </c>
      <c r="E57" s="2">
        <v>97.0</v>
      </c>
      <c r="F57" s="1" t="s">
        <v>262</v>
      </c>
      <c r="G57" s="1" t="s">
        <v>51</v>
      </c>
      <c r="H57" s="1" t="s">
        <v>37</v>
      </c>
      <c r="I57" s="1" t="s">
        <v>38</v>
      </c>
      <c r="J57" s="1" t="s">
        <v>260</v>
      </c>
      <c r="K57" s="19" t="s">
        <v>68</v>
      </c>
      <c r="L57" s="20" t="s">
        <v>61</v>
      </c>
      <c r="M57" s="21">
        <f t="shared" si="1"/>
        <v>7</v>
      </c>
      <c r="N57" s="2">
        <v>255.42</v>
      </c>
      <c r="O57" s="2">
        <v>9.0</v>
      </c>
      <c r="P57" s="2">
        <v>1526.68</v>
      </c>
      <c r="Q57" s="2">
        <v>87306.0</v>
      </c>
      <c r="R57" s="15" t="b">
        <f>ISNUMBER(MATCH(Q57,'Returned order'!A:A,0))</f>
        <v>0</v>
      </c>
      <c r="S57" s="22">
        <v>42127.0</v>
      </c>
      <c r="T57" s="15"/>
      <c r="U57" s="15"/>
      <c r="V57" s="15"/>
    </row>
    <row r="58">
      <c r="A58" s="2">
        <v>24245.0</v>
      </c>
      <c r="B58" s="1" t="s">
        <v>49</v>
      </c>
      <c r="C58" s="2">
        <v>0.06</v>
      </c>
      <c r="D58" s="2">
        <v>115.99</v>
      </c>
      <c r="E58" s="2">
        <v>97.0</v>
      </c>
      <c r="F58" s="1" t="s">
        <v>262</v>
      </c>
      <c r="G58" s="1" t="s">
        <v>51</v>
      </c>
      <c r="H58" s="1" t="s">
        <v>46</v>
      </c>
      <c r="I58" s="1" t="s">
        <v>85</v>
      </c>
      <c r="J58" s="1">
        <v>5185.0</v>
      </c>
      <c r="K58" s="19" t="s">
        <v>68</v>
      </c>
      <c r="L58" s="20" t="s">
        <v>61</v>
      </c>
      <c r="M58" s="21">
        <f t="shared" si="1"/>
        <v>7</v>
      </c>
      <c r="N58" s="2">
        <v>685.6146</v>
      </c>
      <c r="O58" s="2">
        <v>20.0</v>
      </c>
      <c r="P58" s="2">
        <v>1952.56</v>
      </c>
      <c r="Q58" s="2">
        <v>87306.0</v>
      </c>
      <c r="R58" s="15" t="b">
        <f>ISNUMBER(MATCH(Q58,'Returned order'!A:A,0))</f>
        <v>0</v>
      </c>
      <c r="S58" s="22">
        <v>42127.0</v>
      </c>
      <c r="T58" s="15"/>
      <c r="U58" s="15"/>
      <c r="V58" s="15"/>
    </row>
    <row r="59">
      <c r="A59" s="2">
        <v>18494.0</v>
      </c>
      <c r="B59" s="1" t="s">
        <v>63</v>
      </c>
      <c r="C59" s="2">
        <v>0.1</v>
      </c>
      <c r="D59" s="2">
        <v>19.98</v>
      </c>
      <c r="E59" s="2">
        <v>101.0</v>
      </c>
      <c r="F59" s="1" t="s">
        <v>45</v>
      </c>
      <c r="G59" s="1" t="s">
        <v>22</v>
      </c>
      <c r="H59" s="1" t="s">
        <v>46</v>
      </c>
      <c r="I59" s="1" t="s">
        <v>47</v>
      </c>
      <c r="J59" s="1" t="s">
        <v>48</v>
      </c>
      <c r="K59" s="19" t="s">
        <v>26</v>
      </c>
      <c r="L59" s="20" t="s">
        <v>27</v>
      </c>
      <c r="M59" s="21">
        <f t="shared" si="1"/>
        <v>1</v>
      </c>
      <c r="N59" s="2">
        <v>-16.2</v>
      </c>
      <c r="O59" s="2">
        <v>16.0</v>
      </c>
      <c r="P59" s="2">
        <v>303.59</v>
      </c>
      <c r="Q59" s="2">
        <v>88205.0</v>
      </c>
      <c r="R59" s="15" t="b">
        <f>ISNUMBER(MATCH(Q59,'Returned order'!A:A,0))</f>
        <v>0</v>
      </c>
      <c r="S59" s="22">
        <v>42177.0</v>
      </c>
      <c r="T59" s="15"/>
      <c r="U59" s="15"/>
      <c r="V59" s="15"/>
    </row>
    <row r="60">
      <c r="A60" s="2">
        <v>6014.0</v>
      </c>
      <c r="B60" s="1" t="s">
        <v>63</v>
      </c>
      <c r="C60" s="2">
        <v>0.04</v>
      </c>
      <c r="D60" s="2">
        <v>300.98</v>
      </c>
      <c r="E60" s="2">
        <v>102.0</v>
      </c>
      <c r="F60" s="1" t="s">
        <v>54</v>
      </c>
      <c r="G60" s="1" t="s">
        <v>22</v>
      </c>
      <c r="H60" s="1" t="s">
        <v>37</v>
      </c>
      <c r="I60" s="1" t="s">
        <v>55</v>
      </c>
      <c r="J60" s="1" t="s">
        <v>56</v>
      </c>
      <c r="K60" s="19" t="s">
        <v>26</v>
      </c>
      <c r="L60" s="20" t="s">
        <v>27</v>
      </c>
      <c r="M60" s="21">
        <f t="shared" si="1"/>
        <v>1</v>
      </c>
      <c r="N60" s="2">
        <v>2023.75</v>
      </c>
      <c r="O60" s="2">
        <v>31.0</v>
      </c>
      <c r="P60" s="2">
        <v>9459.94</v>
      </c>
      <c r="Q60" s="2">
        <v>42599.0</v>
      </c>
      <c r="R60" s="15" t="b">
        <f>ISNUMBER(MATCH(Q60,'Returned order'!A:A,0))</f>
        <v>0</v>
      </c>
      <c r="S60" s="22">
        <v>42100.0</v>
      </c>
      <c r="T60" s="15"/>
      <c r="U60" s="15"/>
      <c r="V60" s="15"/>
    </row>
    <row r="61">
      <c r="A61" s="2">
        <v>494.0</v>
      </c>
      <c r="B61" s="1" t="s">
        <v>63</v>
      </c>
      <c r="C61" s="2">
        <v>0.1</v>
      </c>
      <c r="D61" s="2">
        <v>19.98</v>
      </c>
      <c r="E61" s="2">
        <v>102.0</v>
      </c>
      <c r="F61" s="1" t="s">
        <v>54</v>
      </c>
      <c r="G61" s="1" t="s">
        <v>22</v>
      </c>
      <c r="H61" s="1" t="s">
        <v>46</v>
      </c>
      <c r="I61" s="1" t="s">
        <v>47</v>
      </c>
      <c r="J61" s="1" t="s">
        <v>48</v>
      </c>
      <c r="K61" s="19" t="s">
        <v>26</v>
      </c>
      <c r="L61" s="20" t="s">
        <v>27</v>
      </c>
      <c r="M61" s="21">
        <f t="shared" si="1"/>
        <v>1</v>
      </c>
      <c r="N61" s="2">
        <v>-20.25</v>
      </c>
      <c r="O61" s="2">
        <v>65.0</v>
      </c>
      <c r="P61" s="2">
        <v>1233.32</v>
      </c>
      <c r="Q61" s="2">
        <v>3397.0</v>
      </c>
      <c r="R61" s="15" t="b">
        <f>ISNUMBER(MATCH(Q61,'Returned order'!A:A,0))</f>
        <v>0</v>
      </c>
      <c r="S61" s="22">
        <v>42177.0</v>
      </c>
      <c r="T61" s="15"/>
      <c r="U61" s="15"/>
      <c r="V61" s="15"/>
    </row>
    <row r="62">
      <c r="A62" s="2">
        <v>495.0</v>
      </c>
      <c r="B62" s="1" t="s">
        <v>63</v>
      </c>
      <c r="C62" s="2">
        <v>0.09</v>
      </c>
      <c r="D62" s="2">
        <v>2.88</v>
      </c>
      <c r="E62" s="2">
        <v>102.0</v>
      </c>
      <c r="F62" s="1" t="s">
        <v>54</v>
      </c>
      <c r="G62" s="1" t="s">
        <v>22</v>
      </c>
      <c r="H62" s="1" t="s">
        <v>23</v>
      </c>
      <c r="I62" s="1" t="s">
        <v>24</v>
      </c>
      <c r="J62" s="1" t="s">
        <v>62</v>
      </c>
      <c r="K62" s="19" t="s">
        <v>26</v>
      </c>
      <c r="L62" s="20" t="s">
        <v>27</v>
      </c>
      <c r="M62" s="21">
        <f t="shared" si="1"/>
        <v>1</v>
      </c>
      <c r="N62" s="2">
        <v>-3.381</v>
      </c>
      <c r="O62" s="2">
        <v>17.0</v>
      </c>
      <c r="P62" s="2">
        <v>47.31</v>
      </c>
      <c r="Q62" s="2">
        <v>3397.0</v>
      </c>
      <c r="R62" s="15" t="b">
        <f>ISNUMBER(MATCH(Q62,'Returned order'!A:A,0))</f>
        <v>0</v>
      </c>
      <c r="S62" s="22">
        <v>42177.0</v>
      </c>
      <c r="T62" s="15"/>
      <c r="U62" s="15"/>
      <c r="V62" s="15"/>
    </row>
    <row r="63">
      <c r="A63" s="2">
        <v>24014.0</v>
      </c>
      <c r="B63" s="1" t="s">
        <v>63</v>
      </c>
      <c r="C63" s="2">
        <v>0.04</v>
      </c>
      <c r="D63" s="2">
        <v>300.98</v>
      </c>
      <c r="E63" s="2">
        <v>107.0</v>
      </c>
      <c r="F63" s="1" t="s">
        <v>64</v>
      </c>
      <c r="G63" s="1" t="s">
        <v>22</v>
      </c>
      <c r="H63" s="1" t="s">
        <v>37</v>
      </c>
      <c r="I63" s="1" t="s">
        <v>55</v>
      </c>
      <c r="J63" s="1" t="s">
        <v>56</v>
      </c>
      <c r="K63" s="19" t="s">
        <v>26</v>
      </c>
      <c r="L63" s="20" t="s">
        <v>27</v>
      </c>
      <c r="M63" s="21">
        <f t="shared" si="1"/>
        <v>1</v>
      </c>
      <c r="N63" s="2">
        <v>1684.4763</v>
      </c>
      <c r="O63" s="2">
        <v>8.0</v>
      </c>
      <c r="P63" s="2">
        <v>2441.27</v>
      </c>
      <c r="Q63" s="2">
        <v>88204.0</v>
      </c>
      <c r="R63" s="15" t="b">
        <f>ISNUMBER(MATCH(Q63,'Returned order'!A:A,0))</f>
        <v>0</v>
      </c>
      <c r="S63" s="22">
        <v>42100.0</v>
      </c>
      <c r="T63" s="15"/>
      <c r="U63" s="15"/>
      <c r="V63" s="15"/>
    </row>
    <row r="64">
      <c r="A64" s="2">
        <v>18495.0</v>
      </c>
      <c r="B64" s="1" t="s">
        <v>63</v>
      </c>
      <c r="C64" s="2">
        <v>0.09</v>
      </c>
      <c r="D64" s="2">
        <v>2.88</v>
      </c>
      <c r="E64" s="2">
        <v>109.0</v>
      </c>
      <c r="F64" s="1" t="s">
        <v>69</v>
      </c>
      <c r="G64" s="1" t="s">
        <v>22</v>
      </c>
      <c r="H64" s="1" t="s">
        <v>23</v>
      </c>
      <c r="I64" s="1" t="s">
        <v>24</v>
      </c>
      <c r="J64" s="1" t="s">
        <v>62</v>
      </c>
      <c r="K64" s="19" t="s">
        <v>26</v>
      </c>
      <c r="L64" s="20" t="s">
        <v>27</v>
      </c>
      <c r="M64" s="21">
        <f t="shared" si="1"/>
        <v>1</v>
      </c>
      <c r="N64" s="2">
        <v>-2.7048</v>
      </c>
      <c r="O64" s="2">
        <v>4.0</v>
      </c>
      <c r="P64" s="2">
        <v>11.13</v>
      </c>
      <c r="Q64" s="2">
        <v>88205.0</v>
      </c>
      <c r="R64" s="15" t="b">
        <f>ISNUMBER(MATCH(Q64,'Returned order'!A:A,0))</f>
        <v>0</v>
      </c>
      <c r="S64" s="22">
        <v>42177.0</v>
      </c>
      <c r="T64" s="15"/>
      <c r="U64" s="15"/>
      <c r="V64" s="15"/>
    </row>
    <row r="65">
      <c r="A65" s="2">
        <v>19074.0</v>
      </c>
      <c r="B65" s="1" t="s">
        <v>28</v>
      </c>
      <c r="C65" s="2">
        <v>0.03</v>
      </c>
      <c r="D65" s="2">
        <v>4.26</v>
      </c>
      <c r="E65" s="2">
        <v>114.0</v>
      </c>
      <c r="F65" s="1" t="s">
        <v>263</v>
      </c>
      <c r="G65" s="1" t="s">
        <v>51</v>
      </c>
      <c r="H65" s="1" t="s">
        <v>23</v>
      </c>
      <c r="I65" s="1" t="s">
        <v>29</v>
      </c>
      <c r="J65" s="1" t="s">
        <v>264</v>
      </c>
      <c r="K65" s="19" t="s">
        <v>34</v>
      </c>
      <c r="L65" s="20" t="s">
        <v>53</v>
      </c>
      <c r="M65" s="21">
        <f t="shared" si="1"/>
        <v>6</v>
      </c>
      <c r="N65" s="2">
        <v>18.658</v>
      </c>
      <c r="O65" s="2">
        <v>7.0</v>
      </c>
      <c r="P65" s="2">
        <v>29.5</v>
      </c>
      <c r="Q65" s="2">
        <v>89583.0</v>
      </c>
      <c r="R65" s="15" t="b">
        <f>ISNUMBER(MATCH(Q65,'Returned order'!A:A,0))</f>
        <v>0</v>
      </c>
      <c r="S65" s="22">
        <v>42007.0</v>
      </c>
      <c r="T65" s="15"/>
      <c r="U65" s="15"/>
      <c r="V65" s="15"/>
    </row>
    <row r="66">
      <c r="A66" s="2">
        <v>19950.0</v>
      </c>
      <c r="B66" s="1" t="s">
        <v>63</v>
      </c>
      <c r="C66" s="2">
        <v>0.01</v>
      </c>
      <c r="D66" s="2">
        <v>4.91</v>
      </c>
      <c r="E66" s="2">
        <v>114.0</v>
      </c>
      <c r="F66" s="1" t="s">
        <v>263</v>
      </c>
      <c r="G66" s="1" t="s">
        <v>51</v>
      </c>
      <c r="H66" s="1" t="s">
        <v>23</v>
      </c>
      <c r="I66" s="1" t="s">
        <v>130</v>
      </c>
      <c r="J66" s="1" t="s">
        <v>251</v>
      </c>
      <c r="K66" s="19" t="s">
        <v>34</v>
      </c>
      <c r="L66" s="20" t="s">
        <v>53</v>
      </c>
      <c r="M66" s="21">
        <f t="shared" si="1"/>
        <v>6</v>
      </c>
      <c r="N66" s="2">
        <v>40.2477</v>
      </c>
      <c r="O66" s="2">
        <v>12.0</v>
      </c>
      <c r="P66" s="2">
        <v>58.33</v>
      </c>
      <c r="Q66" s="2">
        <v>89584.0</v>
      </c>
      <c r="R66" s="15" t="b">
        <f>ISNUMBER(MATCH(Q66,'Returned order'!A:A,0))</f>
        <v>0</v>
      </c>
      <c r="S66" s="22">
        <v>42098.0</v>
      </c>
      <c r="T66" s="15"/>
      <c r="U66" s="15"/>
      <c r="V66" s="15"/>
    </row>
    <row r="67">
      <c r="A67" s="2">
        <v>19951.0</v>
      </c>
      <c r="B67" s="1" t="s">
        <v>63</v>
      </c>
      <c r="C67" s="2">
        <v>0.09</v>
      </c>
      <c r="D67" s="2">
        <v>4.0</v>
      </c>
      <c r="E67" s="2">
        <v>114.0</v>
      </c>
      <c r="F67" s="1" t="s">
        <v>263</v>
      </c>
      <c r="G67" s="1" t="s">
        <v>51</v>
      </c>
      <c r="H67" s="1" t="s">
        <v>23</v>
      </c>
      <c r="I67" s="1" t="s">
        <v>93</v>
      </c>
      <c r="J67" s="1" t="s">
        <v>265</v>
      </c>
      <c r="K67" s="19" t="s">
        <v>34</v>
      </c>
      <c r="L67" s="20" t="s">
        <v>53</v>
      </c>
      <c r="M67" s="21">
        <f t="shared" si="1"/>
        <v>6</v>
      </c>
      <c r="N67" s="2">
        <v>14.0898</v>
      </c>
      <c r="O67" s="2">
        <v>5.0</v>
      </c>
      <c r="P67" s="2">
        <v>20.42</v>
      </c>
      <c r="Q67" s="2">
        <v>89584.0</v>
      </c>
      <c r="R67" s="15" t="b">
        <f>ISNUMBER(MATCH(Q67,'Returned order'!A:A,0))</f>
        <v>0</v>
      </c>
      <c r="S67" s="22">
        <v>42098.0</v>
      </c>
      <c r="T67" s="15"/>
      <c r="U67" s="15"/>
      <c r="V67" s="15"/>
    </row>
    <row r="68">
      <c r="A68" s="2">
        <v>26241.0</v>
      </c>
      <c r="B68" s="1" t="s">
        <v>170</v>
      </c>
      <c r="C68" s="2">
        <v>0.07</v>
      </c>
      <c r="D68" s="2">
        <v>2.12</v>
      </c>
      <c r="E68" s="2">
        <v>115.0</v>
      </c>
      <c r="F68" s="1" t="s">
        <v>266</v>
      </c>
      <c r="G68" s="1" t="s">
        <v>51</v>
      </c>
      <c r="H68" s="1" t="s">
        <v>46</v>
      </c>
      <c r="I68" s="1" t="s">
        <v>47</v>
      </c>
      <c r="J68" s="1" t="s">
        <v>267</v>
      </c>
      <c r="K68" s="19" t="s">
        <v>34</v>
      </c>
      <c r="L68" s="20" t="s">
        <v>70</v>
      </c>
      <c r="M68" s="21">
        <f t="shared" si="1"/>
        <v>4</v>
      </c>
      <c r="N68" s="2">
        <v>-55.84</v>
      </c>
      <c r="O68" s="2">
        <v>12.0</v>
      </c>
      <c r="P68" s="2">
        <v>26.07</v>
      </c>
      <c r="Q68" s="2">
        <v>89585.0</v>
      </c>
      <c r="R68" s="15" t="b">
        <f>ISNUMBER(MATCH(Q68,'Returned order'!A:A,0))</f>
        <v>0</v>
      </c>
      <c r="S68" s="22">
        <v>42103.0</v>
      </c>
      <c r="T68" s="15"/>
      <c r="U68" s="15"/>
      <c r="V68" s="15"/>
    </row>
    <row r="69">
      <c r="A69" s="2">
        <v>1074.0</v>
      </c>
      <c r="B69" s="1" t="s">
        <v>28</v>
      </c>
      <c r="C69" s="2">
        <v>0.03</v>
      </c>
      <c r="D69" s="2">
        <v>4.26</v>
      </c>
      <c r="E69" s="2">
        <v>117.0</v>
      </c>
      <c r="F69" s="1" t="s">
        <v>268</v>
      </c>
      <c r="G69" s="1" t="s">
        <v>51</v>
      </c>
      <c r="H69" s="1" t="s">
        <v>23</v>
      </c>
      <c r="I69" s="1" t="s">
        <v>29</v>
      </c>
      <c r="J69" s="1" t="s">
        <v>264</v>
      </c>
      <c r="K69" s="19" t="s">
        <v>34</v>
      </c>
      <c r="L69" s="20" t="s">
        <v>53</v>
      </c>
      <c r="M69" s="21">
        <f t="shared" si="1"/>
        <v>6</v>
      </c>
      <c r="N69" s="2">
        <v>9.82</v>
      </c>
      <c r="O69" s="2">
        <v>29.0</v>
      </c>
      <c r="P69" s="2">
        <v>122.23</v>
      </c>
      <c r="Q69" s="2">
        <v>7909.0</v>
      </c>
      <c r="R69" s="15" t="b">
        <f>ISNUMBER(MATCH(Q69,'Returned order'!A:A,0))</f>
        <v>0</v>
      </c>
      <c r="S69" s="22">
        <v>42007.0</v>
      </c>
      <c r="T69" s="15"/>
      <c r="U69" s="15"/>
      <c r="V69" s="15"/>
    </row>
    <row r="70">
      <c r="A70" s="2">
        <v>1950.0</v>
      </c>
      <c r="B70" s="1" t="s">
        <v>63</v>
      </c>
      <c r="C70" s="2">
        <v>0.01</v>
      </c>
      <c r="D70" s="2">
        <v>4.91</v>
      </c>
      <c r="E70" s="2">
        <v>117.0</v>
      </c>
      <c r="F70" s="1" t="s">
        <v>268</v>
      </c>
      <c r="G70" s="1" t="s">
        <v>51</v>
      </c>
      <c r="H70" s="1" t="s">
        <v>23</v>
      </c>
      <c r="I70" s="1" t="s">
        <v>130</v>
      </c>
      <c r="J70" s="1" t="s">
        <v>251</v>
      </c>
      <c r="K70" s="19" t="s">
        <v>34</v>
      </c>
      <c r="L70" s="20" t="s">
        <v>53</v>
      </c>
      <c r="M70" s="21">
        <f t="shared" si="1"/>
        <v>6</v>
      </c>
      <c r="N70" s="2">
        <v>112.06</v>
      </c>
      <c r="O70" s="2">
        <v>47.0</v>
      </c>
      <c r="P70" s="2">
        <v>228.46</v>
      </c>
      <c r="Q70" s="2">
        <v>13959.0</v>
      </c>
      <c r="R70" s="15" t="b">
        <f>ISNUMBER(MATCH(Q70,'Returned order'!A:A,0))</f>
        <v>1</v>
      </c>
      <c r="S70" s="22">
        <v>42098.0</v>
      </c>
      <c r="T70" s="15"/>
      <c r="U70" s="15"/>
      <c r="V70" s="15"/>
    </row>
    <row r="71">
      <c r="A71" s="2">
        <v>1951.0</v>
      </c>
      <c r="B71" s="1" t="s">
        <v>63</v>
      </c>
      <c r="C71" s="2">
        <v>0.09</v>
      </c>
      <c r="D71" s="2">
        <v>4.0</v>
      </c>
      <c r="E71" s="2">
        <v>117.0</v>
      </c>
      <c r="F71" s="1" t="s">
        <v>268</v>
      </c>
      <c r="G71" s="1" t="s">
        <v>51</v>
      </c>
      <c r="H71" s="1" t="s">
        <v>23</v>
      </c>
      <c r="I71" s="1" t="s">
        <v>93</v>
      </c>
      <c r="J71" s="1" t="s">
        <v>265</v>
      </c>
      <c r="K71" s="19" t="s">
        <v>34</v>
      </c>
      <c r="L71" s="20" t="s">
        <v>53</v>
      </c>
      <c r="M71" s="21">
        <f t="shared" si="1"/>
        <v>6</v>
      </c>
      <c r="N71" s="2">
        <v>16.79</v>
      </c>
      <c r="O71" s="2">
        <v>19.0</v>
      </c>
      <c r="P71" s="2">
        <v>77.61</v>
      </c>
      <c r="Q71" s="2">
        <v>13959.0</v>
      </c>
      <c r="R71" s="15" t="b">
        <f>ISNUMBER(MATCH(Q71,'Returned order'!A:A,0))</f>
        <v>1</v>
      </c>
      <c r="S71" s="22">
        <v>42098.0</v>
      </c>
      <c r="T71" s="15"/>
      <c r="U71" s="15"/>
      <c r="V71" s="15"/>
    </row>
    <row r="72">
      <c r="A72" s="2">
        <v>8241.0</v>
      </c>
      <c r="B72" s="1" t="s">
        <v>170</v>
      </c>
      <c r="C72" s="2">
        <v>0.07</v>
      </c>
      <c r="D72" s="2">
        <v>2.12</v>
      </c>
      <c r="E72" s="2">
        <v>117.0</v>
      </c>
      <c r="F72" s="1" t="s">
        <v>268</v>
      </c>
      <c r="G72" s="1" t="s">
        <v>51</v>
      </c>
      <c r="H72" s="1" t="s">
        <v>46</v>
      </c>
      <c r="I72" s="1" t="s">
        <v>47</v>
      </c>
      <c r="J72" s="1" t="s">
        <v>267</v>
      </c>
      <c r="K72" s="19" t="s">
        <v>34</v>
      </c>
      <c r="L72" s="20" t="s">
        <v>70</v>
      </c>
      <c r="M72" s="21">
        <f t="shared" si="1"/>
        <v>4</v>
      </c>
      <c r="N72" s="2">
        <v>-55.84</v>
      </c>
      <c r="O72" s="2">
        <v>46.0</v>
      </c>
      <c r="P72" s="2">
        <v>99.94</v>
      </c>
      <c r="Q72" s="2">
        <v>58914.0</v>
      </c>
      <c r="R72" s="15" t="b">
        <f>ISNUMBER(MATCH(Q72,'Returned order'!A:A,0))</f>
        <v>0</v>
      </c>
      <c r="S72" s="22">
        <v>42103.0</v>
      </c>
      <c r="T72" s="15"/>
      <c r="U72" s="15"/>
      <c r="V72" s="15"/>
    </row>
    <row r="73">
      <c r="A73" s="2">
        <v>20688.0</v>
      </c>
      <c r="B73" s="1" t="s">
        <v>28</v>
      </c>
      <c r="C73" s="2">
        <v>0.05</v>
      </c>
      <c r="D73" s="2">
        <v>6.3</v>
      </c>
      <c r="E73" s="2">
        <v>120.0</v>
      </c>
      <c r="F73" s="1" t="s">
        <v>269</v>
      </c>
      <c r="G73" s="1" t="s">
        <v>32</v>
      </c>
      <c r="H73" s="1" t="s">
        <v>23</v>
      </c>
      <c r="I73" s="1" t="s">
        <v>130</v>
      </c>
      <c r="J73" s="1" t="s">
        <v>270</v>
      </c>
      <c r="K73" s="19" t="s">
        <v>34</v>
      </c>
      <c r="L73" s="20" t="s">
        <v>27</v>
      </c>
      <c r="M73" s="21">
        <f t="shared" si="1"/>
        <v>1</v>
      </c>
      <c r="N73" s="2">
        <v>41.2965</v>
      </c>
      <c r="O73" s="2">
        <v>10.0</v>
      </c>
      <c r="P73" s="2">
        <v>59.85</v>
      </c>
      <c r="Q73" s="2">
        <v>86520.0</v>
      </c>
      <c r="R73" s="15" t="b">
        <f>ISNUMBER(MATCH(Q73,'Returned order'!A:A,0))</f>
        <v>0</v>
      </c>
      <c r="S73" s="22">
        <v>42016.0</v>
      </c>
      <c r="T73" s="15"/>
      <c r="U73" s="15"/>
      <c r="V73" s="15"/>
    </row>
    <row r="74">
      <c r="A74" s="2">
        <v>20689.0</v>
      </c>
      <c r="B74" s="1" t="s">
        <v>28</v>
      </c>
      <c r="C74" s="2">
        <v>0.09</v>
      </c>
      <c r="D74" s="2">
        <v>205.99</v>
      </c>
      <c r="E74" s="2">
        <v>120.0</v>
      </c>
      <c r="F74" s="1" t="s">
        <v>269</v>
      </c>
      <c r="G74" s="1" t="s">
        <v>32</v>
      </c>
      <c r="H74" s="1" t="s">
        <v>46</v>
      </c>
      <c r="I74" s="1" t="s">
        <v>85</v>
      </c>
      <c r="J74" s="1">
        <v>6185.0</v>
      </c>
      <c r="K74" s="19" t="s">
        <v>34</v>
      </c>
      <c r="L74" s="20" t="s">
        <v>27</v>
      </c>
      <c r="M74" s="21">
        <f t="shared" si="1"/>
        <v>1</v>
      </c>
      <c r="N74" s="2">
        <v>1179.0237</v>
      </c>
      <c r="O74" s="2">
        <v>10.0</v>
      </c>
      <c r="P74" s="2">
        <v>1708.73</v>
      </c>
      <c r="Q74" s="2">
        <v>86520.0</v>
      </c>
      <c r="R74" s="15" t="b">
        <f>ISNUMBER(MATCH(Q74,'Returned order'!A:A,0))</f>
        <v>0</v>
      </c>
      <c r="S74" s="22">
        <v>42016.0</v>
      </c>
      <c r="T74" s="15"/>
      <c r="U74" s="15"/>
      <c r="V74" s="15"/>
    </row>
    <row r="75">
      <c r="A75" s="2">
        <v>19942.0</v>
      </c>
      <c r="B75" s="1" t="s">
        <v>58</v>
      </c>
      <c r="C75" s="2">
        <v>0.06</v>
      </c>
      <c r="D75" s="2">
        <v>8.57</v>
      </c>
      <c r="E75" s="2">
        <v>123.0</v>
      </c>
      <c r="F75" s="1" t="s">
        <v>271</v>
      </c>
      <c r="G75" s="1" t="s">
        <v>51</v>
      </c>
      <c r="H75" s="1" t="s">
        <v>23</v>
      </c>
      <c r="I75" s="1" t="s">
        <v>257</v>
      </c>
      <c r="J75" s="1" t="s">
        <v>272</v>
      </c>
      <c r="K75" s="19" t="s">
        <v>229</v>
      </c>
      <c r="L75" s="20" t="s">
        <v>70</v>
      </c>
      <c r="M75" s="21">
        <f t="shared" si="1"/>
        <v>4</v>
      </c>
      <c r="N75" s="2">
        <v>105.678</v>
      </c>
      <c r="O75" s="2">
        <v>11.0</v>
      </c>
      <c r="P75" s="2">
        <v>94.97</v>
      </c>
      <c r="Q75" s="2">
        <v>90669.0</v>
      </c>
      <c r="R75" s="15" t="b">
        <f>ISNUMBER(MATCH(Q75,'Returned order'!A:A,0))</f>
        <v>0</v>
      </c>
      <c r="S75" s="22">
        <v>42103.0</v>
      </c>
      <c r="T75" s="15"/>
      <c r="U75" s="15"/>
      <c r="V75" s="15"/>
    </row>
    <row r="76">
      <c r="A76" s="2">
        <v>24319.0</v>
      </c>
      <c r="B76" s="1" t="s">
        <v>49</v>
      </c>
      <c r="C76" s="2">
        <v>0.02</v>
      </c>
      <c r="D76" s="2">
        <v>1.74</v>
      </c>
      <c r="E76" s="2">
        <v>129.0</v>
      </c>
      <c r="F76" s="1" t="s">
        <v>273</v>
      </c>
      <c r="G76" s="1" t="s">
        <v>66</v>
      </c>
      <c r="H76" s="1" t="s">
        <v>37</v>
      </c>
      <c r="I76" s="1" t="s">
        <v>42</v>
      </c>
      <c r="J76" s="1" t="s">
        <v>274</v>
      </c>
      <c r="K76" s="19" t="s">
        <v>68</v>
      </c>
      <c r="L76" s="20" t="s">
        <v>57</v>
      </c>
      <c r="M76" s="21">
        <f t="shared" si="1"/>
        <v>2</v>
      </c>
      <c r="N76" s="2">
        <v>-37.39</v>
      </c>
      <c r="O76" s="2">
        <v>5.0</v>
      </c>
      <c r="P76" s="2">
        <v>10.23</v>
      </c>
      <c r="Q76" s="2">
        <v>86693.0</v>
      </c>
      <c r="R76" s="15" t="b">
        <f>ISNUMBER(MATCH(Q76,'Returned order'!A:A,0))</f>
        <v>0</v>
      </c>
      <c r="S76" s="22">
        <v>42031.0</v>
      </c>
      <c r="T76" s="15"/>
      <c r="U76" s="15"/>
      <c r="V76" s="15"/>
    </row>
    <row r="77">
      <c r="A77" s="2">
        <v>18161.0</v>
      </c>
      <c r="B77" s="1" t="s">
        <v>49</v>
      </c>
      <c r="C77" s="2">
        <v>0.07</v>
      </c>
      <c r="D77" s="2">
        <v>15.74</v>
      </c>
      <c r="E77" s="2">
        <v>129.0</v>
      </c>
      <c r="F77" s="1" t="s">
        <v>273</v>
      </c>
      <c r="G77" s="1" t="s">
        <v>66</v>
      </c>
      <c r="H77" s="1" t="s">
        <v>23</v>
      </c>
      <c r="I77" s="1" t="s">
        <v>88</v>
      </c>
      <c r="J77" s="1" t="s">
        <v>275</v>
      </c>
      <c r="K77" s="19" t="s">
        <v>68</v>
      </c>
      <c r="L77" s="20" t="s">
        <v>27</v>
      </c>
      <c r="M77" s="21">
        <f t="shared" si="1"/>
        <v>1</v>
      </c>
      <c r="N77" s="2">
        <v>149.8887</v>
      </c>
      <c r="O77" s="2">
        <v>14.0</v>
      </c>
      <c r="P77" s="2">
        <v>217.23</v>
      </c>
      <c r="Q77" s="2">
        <v>86694.0</v>
      </c>
      <c r="R77" s="15" t="b">
        <f>ISNUMBER(MATCH(Q77,'Returned order'!A:A,0))</f>
        <v>0</v>
      </c>
      <c r="S77" s="22">
        <v>42149.0</v>
      </c>
      <c r="T77" s="15"/>
      <c r="U77" s="15"/>
      <c r="V77" s="15"/>
    </row>
    <row r="78">
      <c r="A78" s="2">
        <v>25762.0</v>
      </c>
      <c r="B78" s="1" t="s">
        <v>58</v>
      </c>
      <c r="C78" s="2">
        <v>0.04</v>
      </c>
      <c r="D78" s="2">
        <v>18.97</v>
      </c>
      <c r="E78" s="2">
        <v>136.0</v>
      </c>
      <c r="F78" s="1" t="s">
        <v>276</v>
      </c>
      <c r="G78" s="1" t="s">
        <v>66</v>
      </c>
      <c r="H78" s="1" t="s">
        <v>23</v>
      </c>
      <c r="I78" s="1" t="s">
        <v>93</v>
      </c>
      <c r="J78" s="1" t="s">
        <v>277</v>
      </c>
      <c r="K78" s="19" t="s">
        <v>34</v>
      </c>
      <c r="L78" s="20" t="s">
        <v>53</v>
      </c>
      <c r="M78" s="21">
        <f t="shared" si="1"/>
        <v>6</v>
      </c>
      <c r="N78" s="2">
        <v>3.04</v>
      </c>
      <c r="O78" s="2">
        <v>5.0</v>
      </c>
      <c r="P78" s="2">
        <v>101.74</v>
      </c>
      <c r="Q78" s="2">
        <v>88534.0</v>
      </c>
      <c r="R78" s="15" t="b">
        <f>ISNUMBER(MATCH(Q78,'Returned order'!A:A,0))</f>
        <v>0</v>
      </c>
      <c r="S78" s="22">
        <v>42140.0</v>
      </c>
      <c r="T78" s="15"/>
      <c r="U78" s="15"/>
      <c r="V78" s="15"/>
    </row>
    <row r="79">
      <c r="A79" s="2">
        <v>25764.0</v>
      </c>
      <c r="B79" s="1" t="s">
        <v>58</v>
      </c>
      <c r="C79" s="2">
        <v>0.09</v>
      </c>
      <c r="D79" s="2">
        <v>10.98</v>
      </c>
      <c r="E79" s="2">
        <v>136.0</v>
      </c>
      <c r="F79" s="1" t="s">
        <v>276</v>
      </c>
      <c r="G79" s="1" t="s">
        <v>66</v>
      </c>
      <c r="H79" s="1" t="s">
        <v>23</v>
      </c>
      <c r="I79" s="1" t="s">
        <v>257</v>
      </c>
      <c r="J79" s="1" t="s">
        <v>278</v>
      </c>
      <c r="K79" s="19" t="s">
        <v>34</v>
      </c>
      <c r="L79" s="20" t="s">
        <v>53</v>
      </c>
      <c r="M79" s="21">
        <f t="shared" si="1"/>
        <v>6</v>
      </c>
      <c r="N79" s="2">
        <v>2.706</v>
      </c>
      <c r="O79" s="2">
        <v>8.0</v>
      </c>
      <c r="P79" s="2">
        <v>84.52</v>
      </c>
      <c r="Q79" s="2">
        <v>88534.0</v>
      </c>
      <c r="R79" s="15" t="b">
        <f>ISNUMBER(MATCH(Q79,'Returned order'!A:A,0))</f>
        <v>0</v>
      </c>
      <c r="S79" s="22">
        <v>42140.0</v>
      </c>
      <c r="T79" s="15"/>
      <c r="U79" s="15"/>
      <c r="V79" s="15"/>
    </row>
    <row r="80">
      <c r="A80" s="2">
        <v>24803.0</v>
      </c>
      <c r="B80" s="1" t="s">
        <v>58</v>
      </c>
      <c r="C80" s="2">
        <v>0.03</v>
      </c>
      <c r="D80" s="2">
        <v>22.84</v>
      </c>
      <c r="E80" s="2">
        <v>142.0</v>
      </c>
      <c r="F80" s="1" t="s">
        <v>279</v>
      </c>
      <c r="G80" s="1" t="s">
        <v>66</v>
      </c>
      <c r="H80" s="1" t="s">
        <v>23</v>
      </c>
      <c r="I80" s="1" t="s">
        <v>93</v>
      </c>
      <c r="J80" s="1" t="s">
        <v>280</v>
      </c>
      <c r="K80" s="19" t="s">
        <v>26</v>
      </c>
      <c r="L80" s="20" t="s">
        <v>57</v>
      </c>
      <c r="M80" s="21">
        <f t="shared" si="1"/>
        <v>2</v>
      </c>
      <c r="N80" s="2">
        <v>91.956</v>
      </c>
      <c r="O80" s="2">
        <v>13.0</v>
      </c>
      <c r="P80" s="2">
        <v>312.59</v>
      </c>
      <c r="Q80" s="2">
        <v>91087.0</v>
      </c>
      <c r="R80" s="15" t="b">
        <f>ISNUMBER(MATCH(Q80,'Returned order'!A:A,0))</f>
        <v>0</v>
      </c>
      <c r="S80" s="22">
        <v>42157.0</v>
      </c>
      <c r="T80" s="15"/>
      <c r="U80" s="15"/>
      <c r="V80" s="15"/>
    </row>
    <row r="81">
      <c r="A81" s="2">
        <v>24805.0</v>
      </c>
      <c r="B81" s="1" t="s">
        <v>58</v>
      </c>
      <c r="C81" s="2">
        <v>0.05</v>
      </c>
      <c r="D81" s="2">
        <v>10.98</v>
      </c>
      <c r="E81" s="2">
        <v>144.0</v>
      </c>
      <c r="F81" s="1" t="s">
        <v>281</v>
      </c>
      <c r="G81" s="1" t="s">
        <v>66</v>
      </c>
      <c r="H81" s="1" t="s">
        <v>23</v>
      </c>
      <c r="I81" s="1" t="s">
        <v>257</v>
      </c>
      <c r="J81" s="1" t="s">
        <v>278</v>
      </c>
      <c r="K81" s="19" t="s">
        <v>26</v>
      </c>
      <c r="L81" s="20" t="s">
        <v>57</v>
      </c>
      <c r="M81" s="21">
        <f t="shared" si="1"/>
        <v>2</v>
      </c>
      <c r="N81" s="2">
        <v>-2.544</v>
      </c>
      <c r="O81" s="2">
        <v>6.0</v>
      </c>
      <c r="P81" s="2">
        <v>64.4</v>
      </c>
      <c r="Q81" s="2">
        <v>91087.0</v>
      </c>
      <c r="R81" s="15" t="b">
        <f>ISNUMBER(MATCH(Q81,'Returned order'!A:A,0))</f>
        <v>0</v>
      </c>
      <c r="S81" s="22">
        <v>42157.0</v>
      </c>
      <c r="T81" s="15"/>
      <c r="U81" s="15"/>
      <c r="V81" s="15"/>
    </row>
    <row r="82">
      <c r="A82" s="2">
        <v>24849.0</v>
      </c>
      <c r="B82" s="1" t="s">
        <v>63</v>
      </c>
      <c r="C82" s="2">
        <v>0.06</v>
      </c>
      <c r="D82" s="2">
        <v>7.04</v>
      </c>
      <c r="E82" s="2">
        <v>145.0</v>
      </c>
      <c r="F82" s="1" t="s">
        <v>71</v>
      </c>
      <c r="G82" s="1" t="s">
        <v>66</v>
      </c>
      <c r="H82" s="1" t="s">
        <v>23</v>
      </c>
      <c r="I82" s="1" t="s">
        <v>93</v>
      </c>
      <c r="J82" s="1" t="s">
        <v>282</v>
      </c>
      <c r="K82" s="19" t="s">
        <v>26</v>
      </c>
      <c r="L82" s="20" t="s">
        <v>70</v>
      </c>
      <c r="M82" s="21">
        <f t="shared" si="1"/>
        <v>4</v>
      </c>
      <c r="N82" s="2">
        <v>2.4852</v>
      </c>
      <c r="O82" s="2">
        <v>2.0</v>
      </c>
      <c r="P82" s="2">
        <v>14.65</v>
      </c>
      <c r="Q82" s="2">
        <v>91086.0</v>
      </c>
      <c r="R82" s="15" t="b">
        <f>ISNUMBER(MATCH(Q82,'Returned order'!A:A,0))</f>
        <v>0</v>
      </c>
      <c r="S82" s="22">
        <v>42019.0</v>
      </c>
      <c r="T82" s="15"/>
      <c r="U82" s="15"/>
      <c r="V82" s="15"/>
    </row>
    <row r="83">
      <c r="A83" s="2">
        <v>25582.0</v>
      </c>
      <c r="B83" s="1" t="s">
        <v>170</v>
      </c>
      <c r="C83" s="2">
        <v>0.07</v>
      </c>
      <c r="D83" s="2">
        <v>154.13</v>
      </c>
      <c r="E83" s="2">
        <v>145.0</v>
      </c>
      <c r="F83" s="1" t="s">
        <v>71</v>
      </c>
      <c r="G83" s="1" t="s">
        <v>51</v>
      </c>
      <c r="H83" s="1" t="s">
        <v>37</v>
      </c>
      <c r="I83" s="1" t="s">
        <v>73</v>
      </c>
      <c r="J83" s="1" t="s">
        <v>74</v>
      </c>
      <c r="K83" s="19" t="s">
        <v>26</v>
      </c>
      <c r="L83" s="20" t="s">
        <v>27</v>
      </c>
      <c r="M83" s="21">
        <f t="shared" si="1"/>
        <v>1</v>
      </c>
      <c r="N83" s="2">
        <v>-634.7341</v>
      </c>
      <c r="O83" s="2">
        <v>3.0</v>
      </c>
      <c r="P83" s="2">
        <v>453.62</v>
      </c>
      <c r="Q83" s="2">
        <v>91089.0</v>
      </c>
      <c r="R83" s="15" t="b">
        <f>ISNUMBER(MATCH(Q83,'Returned order'!A:A,0))</f>
        <v>0</v>
      </c>
      <c r="S83" s="22">
        <v>42079.0</v>
      </c>
      <c r="T83" s="15"/>
      <c r="U83" s="15"/>
      <c r="V83" s="15"/>
    </row>
    <row r="84">
      <c r="A84" s="2">
        <v>23365.0</v>
      </c>
      <c r="B84" s="1" t="s">
        <v>49</v>
      </c>
      <c r="C84" s="2">
        <v>0.01</v>
      </c>
      <c r="D84" s="2">
        <v>45.98</v>
      </c>
      <c r="E84" s="2">
        <v>146.0</v>
      </c>
      <c r="F84" s="1" t="s">
        <v>283</v>
      </c>
      <c r="G84" s="1" t="s">
        <v>66</v>
      </c>
      <c r="H84" s="1" t="s">
        <v>37</v>
      </c>
      <c r="I84" s="1" t="s">
        <v>42</v>
      </c>
      <c r="J84" s="1" t="s">
        <v>284</v>
      </c>
      <c r="K84" s="19" t="s">
        <v>68</v>
      </c>
      <c r="L84" s="20" t="s">
        <v>70</v>
      </c>
      <c r="M84" s="21">
        <f t="shared" si="1"/>
        <v>4</v>
      </c>
      <c r="N84" s="2">
        <v>133.5771</v>
      </c>
      <c r="O84" s="2">
        <v>4.0</v>
      </c>
      <c r="P84" s="2">
        <v>193.59</v>
      </c>
      <c r="Q84" s="2">
        <v>91088.0</v>
      </c>
      <c r="R84" s="15" t="b">
        <f>ISNUMBER(MATCH(Q84,'Returned order'!A:A,0))</f>
        <v>0</v>
      </c>
      <c r="S84" s="22">
        <v>42075.0</v>
      </c>
      <c r="T84" s="15"/>
      <c r="U84" s="15"/>
      <c r="V84" s="15"/>
    </row>
    <row r="85">
      <c r="A85" s="2">
        <v>22907.0</v>
      </c>
      <c r="B85" s="1" t="s">
        <v>63</v>
      </c>
      <c r="C85" s="2">
        <v>0.06</v>
      </c>
      <c r="D85" s="2">
        <v>180.98</v>
      </c>
      <c r="E85" s="2">
        <v>146.0</v>
      </c>
      <c r="F85" s="1" t="s">
        <v>283</v>
      </c>
      <c r="G85" s="1" t="s">
        <v>32</v>
      </c>
      <c r="H85" s="1" t="s">
        <v>37</v>
      </c>
      <c r="I85" s="1" t="s">
        <v>38</v>
      </c>
      <c r="J85" s="1" t="s">
        <v>285</v>
      </c>
      <c r="K85" s="19" t="s">
        <v>68</v>
      </c>
      <c r="L85" s="20" t="s">
        <v>70</v>
      </c>
      <c r="M85" s="21">
        <f t="shared" si="1"/>
        <v>4</v>
      </c>
      <c r="N85" s="2">
        <v>251.4084</v>
      </c>
      <c r="O85" s="2">
        <v>5.0</v>
      </c>
      <c r="P85" s="2">
        <v>929.57</v>
      </c>
      <c r="Q85" s="2">
        <v>91090.0</v>
      </c>
      <c r="R85" s="15" t="b">
        <f>ISNUMBER(MATCH(Q85,'Returned order'!A:A,0))</f>
        <v>0</v>
      </c>
      <c r="S85" s="22">
        <v>42117.0</v>
      </c>
      <c r="T85" s="15"/>
      <c r="U85" s="15"/>
      <c r="V85" s="15"/>
    </row>
    <row r="86">
      <c r="A86" s="2">
        <v>19058.0</v>
      </c>
      <c r="B86" s="1" t="s">
        <v>58</v>
      </c>
      <c r="C86" s="2">
        <v>0.09</v>
      </c>
      <c r="D86" s="2">
        <v>32.98</v>
      </c>
      <c r="E86" s="2">
        <v>151.0</v>
      </c>
      <c r="F86" s="1" t="s">
        <v>286</v>
      </c>
      <c r="G86" s="1" t="s">
        <v>51</v>
      </c>
      <c r="H86" s="1" t="s">
        <v>46</v>
      </c>
      <c r="I86" s="1" t="s">
        <v>47</v>
      </c>
      <c r="J86" s="1" t="s">
        <v>287</v>
      </c>
      <c r="K86" s="19" t="s">
        <v>229</v>
      </c>
      <c r="L86" s="20" t="s">
        <v>70</v>
      </c>
      <c r="M86" s="21">
        <f t="shared" si="1"/>
        <v>4</v>
      </c>
      <c r="N86" s="2">
        <v>-20.258</v>
      </c>
      <c r="O86" s="2">
        <v>2.0</v>
      </c>
      <c r="P86" s="2">
        <v>62.46</v>
      </c>
      <c r="Q86" s="2">
        <v>89521.0</v>
      </c>
      <c r="R86" s="15" t="b">
        <f>ISNUMBER(MATCH(Q86,'Returned order'!A:A,0))</f>
        <v>0</v>
      </c>
      <c r="S86" s="22">
        <v>42026.0</v>
      </c>
      <c r="T86" s="15"/>
      <c r="U86" s="15"/>
      <c r="V86" s="15"/>
    </row>
    <row r="87">
      <c r="A87" s="2">
        <v>20679.0</v>
      </c>
      <c r="B87" s="1" t="s">
        <v>28</v>
      </c>
      <c r="C87" s="2">
        <v>0.09</v>
      </c>
      <c r="D87" s="2">
        <v>5.98</v>
      </c>
      <c r="E87" s="2">
        <v>151.0</v>
      </c>
      <c r="F87" s="1" t="s">
        <v>286</v>
      </c>
      <c r="G87" s="1" t="s">
        <v>51</v>
      </c>
      <c r="H87" s="1" t="s">
        <v>23</v>
      </c>
      <c r="I87" s="1" t="s">
        <v>88</v>
      </c>
      <c r="J87" s="1" t="s">
        <v>288</v>
      </c>
      <c r="K87" s="19" t="s">
        <v>229</v>
      </c>
      <c r="L87" s="20" t="s">
        <v>27</v>
      </c>
      <c r="M87" s="21">
        <f t="shared" si="1"/>
        <v>1</v>
      </c>
      <c r="N87" s="2">
        <v>13.896</v>
      </c>
      <c r="O87" s="2">
        <v>5.0</v>
      </c>
      <c r="P87" s="2">
        <v>28.11</v>
      </c>
      <c r="Q87" s="2">
        <v>89523.0</v>
      </c>
      <c r="R87" s="15" t="b">
        <f>ISNUMBER(MATCH(Q87,'Returned order'!A:A,0))</f>
        <v>0</v>
      </c>
      <c r="S87" s="22">
        <v>42114.0</v>
      </c>
      <c r="T87" s="15"/>
      <c r="U87" s="15"/>
      <c r="V87" s="15"/>
    </row>
    <row r="88">
      <c r="A88" s="2">
        <v>21103.0</v>
      </c>
      <c r="B88" s="1" t="s">
        <v>58</v>
      </c>
      <c r="C88" s="2">
        <v>0.09</v>
      </c>
      <c r="D88" s="2">
        <v>2.88</v>
      </c>
      <c r="E88" s="2">
        <v>152.0</v>
      </c>
      <c r="F88" s="1" t="s">
        <v>289</v>
      </c>
      <c r="G88" s="1" t="s">
        <v>22</v>
      </c>
      <c r="H88" s="1" t="s">
        <v>23</v>
      </c>
      <c r="I88" s="1" t="s">
        <v>29</v>
      </c>
      <c r="J88" s="1" t="s">
        <v>290</v>
      </c>
      <c r="K88" s="19" t="s">
        <v>229</v>
      </c>
      <c r="L88" s="20" t="s">
        <v>70</v>
      </c>
      <c r="M88" s="21">
        <f t="shared" si="1"/>
        <v>4</v>
      </c>
      <c r="N88" s="2">
        <v>-172.718</v>
      </c>
      <c r="O88" s="2">
        <v>2.0</v>
      </c>
      <c r="P88" s="2">
        <v>5.5</v>
      </c>
      <c r="Q88" s="2">
        <v>89520.0</v>
      </c>
      <c r="R88" s="15" t="b">
        <f>ISNUMBER(MATCH(Q88,'Returned order'!A:A,0))</f>
        <v>0</v>
      </c>
      <c r="S88" s="22">
        <v>42019.0</v>
      </c>
      <c r="T88" s="15"/>
      <c r="U88" s="15"/>
      <c r="V88" s="15"/>
    </row>
    <row r="89">
      <c r="A89" s="2">
        <v>22243.0</v>
      </c>
      <c r="B89" s="1" t="s">
        <v>170</v>
      </c>
      <c r="C89" s="2">
        <v>0.01</v>
      </c>
      <c r="D89" s="2">
        <v>79.52</v>
      </c>
      <c r="E89" s="2">
        <v>152.0</v>
      </c>
      <c r="F89" s="1" t="s">
        <v>289</v>
      </c>
      <c r="G89" s="1" t="s">
        <v>51</v>
      </c>
      <c r="H89" s="1" t="s">
        <v>37</v>
      </c>
      <c r="I89" s="1" t="s">
        <v>42</v>
      </c>
      <c r="J89" s="1" t="s">
        <v>291</v>
      </c>
      <c r="K89" s="19" t="s">
        <v>229</v>
      </c>
      <c r="L89" s="20" t="s">
        <v>61</v>
      </c>
      <c r="M89" s="21">
        <f t="shared" si="1"/>
        <v>7</v>
      </c>
      <c r="N89" s="2">
        <v>-40.684</v>
      </c>
      <c r="O89" s="2">
        <v>8.0</v>
      </c>
      <c r="P89" s="2">
        <v>667.84</v>
      </c>
      <c r="Q89" s="2">
        <v>89522.0</v>
      </c>
      <c r="R89" s="15" t="b">
        <f>ISNUMBER(MATCH(Q89,'Returned order'!A:A,0))</f>
        <v>0</v>
      </c>
      <c r="S89" s="22">
        <v>42113.0</v>
      </c>
      <c r="T89" s="15"/>
      <c r="U89" s="15"/>
      <c r="V89" s="15"/>
    </row>
    <row r="90">
      <c r="A90" s="2">
        <v>21767.0</v>
      </c>
      <c r="B90" s="1" t="s">
        <v>28</v>
      </c>
      <c r="C90" s="2">
        <v>0.01</v>
      </c>
      <c r="D90" s="2">
        <v>65.99</v>
      </c>
      <c r="E90" s="2">
        <v>152.0</v>
      </c>
      <c r="F90" s="1" t="s">
        <v>289</v>
      </c>
      <c r="G90" s="1" t="s">
        <v>22</v>
      </c>
      <c r="H90" s="1" t="s">
        <v>46</v>
      </c>
      <c r="I90" s="1" t="s">
        <v>85</v>
      </c>
      <c r="J90" s="1" t="s">
        <v>292</v>
      </c>
      <c r="K90" s="19" t="s">
        <v>229</v>
      </c>
      <c r="L90" s="20" t="s">
        <v>61</v>
      </c>
      <c r="M90" s="21">
        <f t="shared" si="1"/>
        <v>7</v>
      </c>
      <c r="N90" s="2">
        <v>97.86</v>
      </c>
      <c r="O90" s="2">
        <v>5.0</v>
      </c>
      <c r="P90" s="2">
        <v>292.23</v>
      </c>
      <c r="Q90" s="2">
        <v>89524.0</v>
      </c>
      <c r="R90" s="15" t="b">
        <f>ISNUMBER(MATCH(Q90,'Returned order'!A:A,0))</f>
        <v>0</v>
      </c>
      <c r="S90" s="22">
        <v>42092.0</v>
      </c>
      <c r="T90" s="15"/>
      <c r="U90" s="15"/>
      <c r="V90" s="15"/>
    </row>
    <row r="91">
      <c r="A91" s="2">
        <v>22470.0</v>
      </c>
      <c r="B91" s="1" t="s">
        <v>170</v>
      </c>
      <c r="C91" s="2">
        <v>0.1</v>
      </c>
      <c r="D91" s="2">
        <v>39.98</v>
      </c>
      <c r="E91" s="2">
        <v>152.0</v>
      </c>
      <c r="F91" s="1" t="s">
        <v>289</v>
      </c>
      <c r="G91" s="1" t="s">
        <v>66</v>
      </c>
      <c r="H91" s="1" t="s">
        <v>46</v>
      </c>
      <c r="I91" s="1" t="s">
        <v>47</v>
      </c>
      <c r="J91" s="1" t="s">
        <v>293</v>
      </c>
      <c r="K91" s="19" t="s">
        <v>229</v>
      </c>
      <c r="L91" s="20" t="s">
        <v>70</v>
      </c>
      <c r="M91" s="21">
        <f t="shared" si="1"/>
        <v>4</v>
      </c>
      <c r="N91" s="2">
        <v>360.24</v>
      </c>
      <c r="O91" s="2">
        <v>21.0</v>
      </c>
      <c r="P91" s="2">
        <v>772.56</v>
      </c>
      <c r="Q91" s="2">
        <v>89525.0</v>
      </c>
      <c r="R91" s="15" t="b">
        <f>ISNUMBER(MATCH(Q91,'Returned order'!A:A,0))</f>
        <v>0</v>
      </c>
      <c r="S91" s="22">
        <v>42173.0</v>
      </c>
      <c r="T91" s="15"/>
      <c r="U91" s="15"/>
      <c r="V91" s="15"/>
    </row>
    <row r="92">
      <c r="A92" s="2">
        <v>22329.0</v>
      </c>
      <c r="B92" s="1" t="s">
        <v>58</v>
      </c>
      <c r="C92" s="2">
        <v>0.01</v>
      </c>
      <c r="D92" s="2">
        <v>95.99</v>
      </c>
      <c r="E92" s="2">
        <v>156.0</v>
      </c>
      <c r="F92" s="1" t="s">
        <v>294</v>
      </c>
      <c r="G92" s="1" t="s">
        <v>32</v>
      </c>
      <c r="H92" s="1" t="s">
        <v>46</v>
      </c>
      <c r="I92" s="1" t="s">
        <v>85</v>
      </c>
      <c r="J92" s="1" t="s">
        <v>295</v>
      </c>
      <c r="K92" s="19" t="s">
        <v>34</v>
      </c>
      <c r="L92" s="20" t="s">
        <v>70</v>
      </c>
      <c r="M92" s="21">
        <f t="shared" si="1"/>
        <v>4</v>
      </c>
      <c r="N92" s="2">
        <v>713.88</v>
      </c>
      <c r="O92" s="2">
        <v>13.0</v>
      </c>
      <c r="P92" s="2">
        <v>1050.08</v>
      </c>
      <c r="Q92" s="2">
        <v>87671.0</v>
      </c>
      <c r="R92" s="15" t="b">
        <f>ISNUMBER(MATCH(Q92,'Returned order'!A:A,0))</f>
        <v>0</v>
      </c>
      <c r="S92" s="22">
        <v>42138.0</v>
      </c>
      <c r="T92" s="15"/>
      <c r="U92" s="15"/>
      <c r="V92" s="15"/>
    </row>
    <row r="93">
      <c r="A93" s="2">
        <v>20324.0</v>
      </c>
      <c r="B93" s="1" t="s">
        <v>28</v>
      </c>
      <c r="C93" s="2">
        <v>0.03</v>
      </c>
      <c r="D93" s="2">
        <v>10.89</v>
      </c>
      <c r="E93" s="2">
        <v>156.0</v>
      </c>
      <c r="F93" s="1" t="s">
        <v>294</v>
      </c>
      <c r="G93" s="1" t="s">
        <v>32</v>
      </c>
      <c r="H93" s="1" t="s">
        <v>23</v>
      </c>
      <c r="I93" s="1" t="s">
        <v>151</v>
      </c>
      <c r="J93" s="1" t="s">
        <v>296</v>
      </c>
      <c r="K93" s="19" t="s">
        <v>34</v>
      </c>
      <c r="L93" s="20" t="s">
        <v>61</v>
      </c>
      <c r="M93" s="21">
        <f t="shared" si="1"/>
        <v>7</v>
      </c>
      <c r="N93" s="2">
        <v>-18.64</v>
      </c>
      <c r="O93" s="2">
        <v>3.0</v>
      </c>
      <c r="P93" s="2">
        <v>33.82</v>
      </c>
      <c r="Q93" s="2">
        <v>87672.0</v>
      </c>
      <c r="R93" s="15" t="b">
        <f>ISNUMBER(MATCH(Q93,'Returned order'!A:A,0))</f>
        <v>0</v>
      </c>
      <c r="S93" s="22">
        <v>42029.0</v>
      </c>
      <c r="T93" s="15"/>
      <c r="U93" s="15"/>
      <c r="V93" s="15"/>
    </row>
    <row r="94">
      <c r="A94" s="2">
        <v>26102.0</v>
      </c>
      <c r="B94" s="1" t="s">
        <v>63</v>
      </c>
      <c r="C94" s="2">
        <v>0.05</v>
      </c>
      <c r="D94" s="2">
        <v>100.98</v>
      </c>
      <c r="E94" s="2">
        <v>164.0</v>
      </c>
      <c r="F94" s="1" t="s">
        <v>297</v>
      </c>
      <c r="G94" s="1" t="s">
        <v>51</v>
      </c>
      <c r="H94" s="1" t="s">
        <v>37</v>
      </c>
      <c r="I94" s="1" t="s">
        <v>55</v>
      </c>
      <c r="J94" s="1" t="s">
        <v>298</v>
      </c>
      <c r="K94" s="19" t="s">
        <v>34</v>
      </c>
      <c r="L94" s="20" t="s">
        <v>76</v>
      </c>
      <c r="M94" s="21">
        <f t="shared" si="1"/>
        <v>5</v>
      </c>
      <c r="N94" s="2">
        <v>-111.4</v>
      </c>
      <c r="O94" s="2">
        <v>7.0</v>
      </c>
      <c r="P94" s="2">
        <v>715.55</v>
      </c>
      <c r="Q94" s="2">
        <v>89961.0</v>
      </c>
      <c r="R94" s="15" t="b">
        <f>ISNUMBER(MATCH(Q94,'Returned order'!A:A,0))</f>
        <v>0</v>
      </c>
      <c r="S94" s="22">
        <v>42006.0</v>
      </c>
      <c r="T94" s="15"/>
      <c r="U94" s="15"/>
      <c r="V94" s="15"/>
    </row>
    <row r="95">
      <c r="A95" s="2">
        <v>26103.0</v>
      </c>
      <c r="B95" s="1" t="s">
        <v>63</v>
      </c>
      <c r="C95" s="2">
        <v>0.02</v>
      </c>
      <c r="D95" s="2">
        <v>4.98</v>
      </c>
      <c r="E95" s="2">
        <v>164.0</v>
      </c>
      <c r="F95" s="1" t="s">
        <v>297</v>
      </c>
      <c r="G95" s="1" t="s">
        <v>51</v>
      </c>
      <c r="H95" s="1" t="s">
        <v>23</v>
      </c>
      <c r="I95" s="1" t="s">
        <v>93</v>
      </c>
      <c r="J95" s="1" t="s">
        <v>299</v>
      </c>
      <c r="K95" s="19" t="s">
        <v>34</v>
      </c>
      <c r="L95" s="20" t="s">
        <v>76</v>
      </c>
      <c r="M95" s="21">
        <f t="shared" si="1"/>
        <v>5</v>
      </c>
      <c r="N95" s="2">
        <v>-77.03</v>
      </c>
      <c r="O95" s="2">
        <v>9.0</v>
      </c>
      <c r="P95" s="2">
        <v>45.63</v>
      </c>
      <c r="Q95" s="2">
        <v>89961.0</v>
      </c>
      <c r="R95" s="15" t="b">
        <f>ISNUMBER(MATCH(Q95,'Returned order'!A:A,0))</f>
        <v>0</v>
      </c>
      <c r="S95" s="22">
        <v>42006.0</v>
      </c>
      <c r="T95" s="15"/>
      <c r="U95" s="15"/>
      <c r="V95" s="15"/>
    </row>
    <row r="96">
      <c r="A96" s="2">
        <v>21040.0</v>
      </c>
      <c r="B96" s="1" t="s">
        <v>170</v>
      </c>
      <c r="C96" s="2">
        <v>0.08</v>
      </c>
      <c r="D96" s="2">
        <v>399.98</v>
      </c>
      <c r="E96" s="2">
        <v>166.0</v>
      </c>
      <c r="F96" s="1" t="s">
        <v>300</v>
      </c>
      <c r="G96" s="1" t="s">
        <v>22</v>
      </c>
      <c r="H96" s="1" t="s">
        <v>46</v>
      </c>
      <c r="I96" s="1" t="s">
        <v>103</v>
      </c>
      <c r="J96" s="1" t="s">
        <v>301</v>
      </c>
      <c r="K96" s="19" t="s">
        <v>229</v>
      </c>
      <c r="L96" s="20" t="s">
        <v>61</v>
      </c>
      <c r="M96" s="21">
        <f t="shared" si="1"/>
        <v>7</v>
      </c>
      <c r="N96" s="2">
        <v>28.5141</v>
      </c>
      <c r="O96" s="2">
        <v>5.0</v>
      </c>
      <c r="P96" s="2">
        <v>1839.91</v>
      </c>
      <c r="Q96" s="2">
        <v>89426.0</v>
      </c>
      <c r="R96" s="15" t="b">
        <f>ISNUMBER(MATCH(Q96,'Returned order'!A:A,0))</f>
        <v>0</v>
      </c>
      <c r="S96" s="22">
        <v>42015.0</v>
      </c>
      <c r="T96" s="15"/>
      <c r="U96" s="15"/>
      <c r="V96" s="15"/>
    </row>
    <row r="97">
      <c r="A97" s="2">
        <v>19315.0</v>
      </c>
      <c r="B97" s="1" t="s">
        <v>170</v>
      </c>
      <c r="C97" s="2">
        <v>0.08</v>
      </c>
      <c r="D97" s="2">
        <v>43.22</v>
      </c>
      <c r="E97" s="2">
        <v>169.0</v>
      </c>
      <c r="F97" s="1" t="s">
        <v>302</v>
      </c>
      <c r="G97" s="1" t="s">
        <v>32</v>
      </c>
      <c r="H97" s="1" t="s">
        <v>46</v>
      </c>
      <c r="I97" s="1" t="s">
        <v>47</v>
      </c>
      <c r="J97" s="1" t="s">
        <v>303</v>
      </c>
      <c r="K97" s="19" t="s">
        <v>229</v>
      </c>
      <c r="L97" s="20" t="s">
        <v>53</v>
      </c>
      <c r="M97" s="21">
        <f t="shared" si="1"/>
        <v>6</v>
      </c>
      <c r="N97" s="2">
        <v>280.27458</v>
      </c>
      <c r="O97" s="2">
        <v>3.0</v>
      </c>
      <c r="P97" s="2">
        <v>130.62</v>
      </c>
      <c r="Q97" s="2">
        <v>87463.0</v>
      </c>
      <c r="R97" s="15" t="b">
        <f>ISNUMBER(MATCH(Q97,'Returned order'!A:A,0))</f>
        <v>0</v>
      </c>
      <c r="S97" s="22">
        <v>42007.0</v>
      </c>
      <c r="T97" s="15"/>
      <c r="U97" s="15"/>
      <c r="V97" s="15"/>
    </row>
    <row r="98">
      <c r="A98" s="2">
        <v>19316.0</v>
      </c>
      <c r="B98" s="1" t="s">
        <v>170</v>
      </c>
      <c r="C98" s="2">
        <v>0.05</v>
      </c>
      <c r="D98" s="2">
        <v>574.74</v>
      </c>
      <c r="E98" s="2">
        <v>169.0</v>
      </c>
      <c r="F98" s="1" t="s">
        <v>302</v>
      </c>
      <c r="G98" s="1" t="s">
        <v>32</v>
      </c>
      <c r="H98" s="1" t="s">
        <v>46</v>
      </c>
      <c r="I98" s="1" t="s">
        <v>103</v>
      </c>
      <c r="J98" s="1" t="s">
        <v>304</v>
      </c>
      <c r="K98" s="19" t="s">
        <v>229</v>
      </c>
      <c r="L98" s="20" t="s">
        <v>53</v>
      </c>
      <c r="M98" s="21">
        <f t="shared" si="1"/>
        <v>6</v>
      </c>
      <c r="N98" s="2">
        <v>-112.4263</v>
      </c>
      <c r="O98" s="2">
        <v>12.0</v>
      </c>
      <c r="P98" s="2">
        <v>6945.16</v>
      </c>
      <c r="Q98" s="2">
        <v>87463.0</v>
      </c>
      <c r="R98" s="15" t="b">
        <f>ISNUMBER(MATCH(Q98,'Returned order'!A:A,0))</f>
        <v>0</v>
      </c>
      <c r="S98" s="22">
        <v>42007.0</v>
      </c>
      <c r="T98" s="15"/>
      <c r="U98" s="15"/>
      <c r="V98" s="15"/>
    </row>
    <row r="99">
      <c r="A99" s="2">
        <v>19317.0</v>
      </c>
      <c r="B99" s="1" t="s">
        <v>170</v>
      </c>
      <c r="C99" s="2">
        <v>0.04</v>
      </c>
      <c r="D99" s="2">
        <v>10.14</v>
      </c>
      <c r="E99" s="2">
        <v>169.0</v>
      </c>
      <c r="F99" s="1" t="s">
        <v>302</v>
      </c>
      <c r="G99" s="1" t="s">
        <v>32</v>
      </c>
      <c r="H99" s="1" t="s">
        <v>23</v>
      </c>
      <c r="I99" s="1" t="s">
        <v>93</v>
      </c>
      <c r="J99" s="1" t="s">
        <v>305</v>
      </c>
      <c r="K99" s="19" t="s">
        <v>229</v>
      </c>
      <c r="L99" s="20" t="s">
        <v>53</v>
      </c>
      <c r="M99" s="21">
        <f t="shared" si="1"/>
        <v>6</v>
      </c>
      <c r="N99" s="2">
        <v>24.924</v>
      </c>
      <c r="O99" s="2">
        <v>3.0</v>
      </c>
      <c r="P99" s="2">
        <v>30.94</v>
      </c>
      <c r="Q99" s="2">
        <v>87463.0</v>
      </c>
      <c r="R99" s="15" t="b">
        <f>ISNUMBER(MATCH(Q99,'Returned order'!A:A,0))</f>
        <v>0</v>
      </c>
      <c r="S99" s="22">
        <v>42007.0</v>
      </c>
      <c r="T99" s="15"/>
      <c r="U99" s="15"/>
      <c r="V99" s="15"/>
    </row>
    <row r="100">
      <c r="A100" s="2">
        <v>19314.0</v>
      </c>
      <c r="B100" s="1" t="s">
        <v>58</v>
      </c>
      <c r="C100" s="2">
        <v>0.05</v>
      </c>
      <c r="D100" s="2">
        <v>1.88</v>
      </c>
      <c r="E100" s="2">
        <v>171.0</v>
      </c>
      <c r="F100" s="1" t="s">
        <v>75</v>
      </c>
      <c r="G100" s="1" t="s">
        <v>32</v>
      </c>
      <c r="H100" s="1" t="s">
        <v>23</v>
      </c>
      <c r="I100" s="1" t="s">
        <v>24</v>
      </c>
      <c r="J100" s="1" t="s">
        <v>78</v>
      </c>
      <c r="K100" s="19" t="s">
        <v>26</v>
      </c>
      <c r="L100" s="20" t="s">
        <v>27</v>
      </c>
      <c r="M100" s="21">
        <f t="shared" si="1"/>
        <v>1</v>
      </c>
      <c r="N100" s="2">
        <v>-2.9095</v>
      </c>
      <c r="O100" s="2">
        <v>1.0</v>
      </c>
      <c r="P100" s="2">
        <v>3.42</v>
      </c>
      <c r="Q100" s="2">
        <v>87464.0</v>
      </c>
      <c r="R100" s="15" t="b">
        <f>ISNUMBER(MATCH(Q100,'Returned order'!A:A,0))</f>
        <v>0</v>
      </c>
      <c r="S100" s="22">
        <v>42107.0</v>
      </c>
      <c r="T100" s="15"/>
      <c r="U100" s="15"/>
      <c r="V100" s="15"/>
    </row>
    <row r="101">
      <c r="A101" s="2">
        <v>5361.0</v>
      </c>
      <c r="B101" s="1" t="s">
        <v>58</v>
      </c>
      <c r="C101" s="2">
        <v>0.02</v>
      </c>
      <c r="D101" s="2">
        <v>49.99</v>
      </c>
      <c r="E101" s="2">
        <v>181.0</v>
      </c>
      <c r="F101" s="1" t="s">
        <v>306</v>
      </c>
      <c r="G101" s="1" t="s">
        <v>66</v>
      </c>
      <c r="H101" s="1" t="s">
        <v>46</v>
      </c>
      <c r="I101" s="1" t="s">
        <v>47</v>
      </c>
      <c r="J101" s="1" t="s">
        <v>307</v>
      </c>
      <c r="K101" s="19" t="s">
        <v>34</v>
      </c>
      <c r="L101" s="20" t="s">
        <v>53</v>
      </c>
      <c r="M101" s="21">
        <f t="shared" si="1"/>
        <v>6</v>
      </c>
      <c r="N101" s="2">
        <v>-76.89</v>
      </c>
      <c r="O101" s="2">
        <v>18.0</v>
      </c>
      <c r="P101" s="2">
        <v>901.81</v>
      </c>
      <c r="Q101" s="2">
        <v>38087.0</v>
      </c>
      <c r="R101" s="15" t="b">
        <f>ISNUMBER(MATCH(Q101,'Returned order'!A:A,0))</f>
        <v>0</v>
      </c>
      <c r="S101" s="22">
        <v>42056.0</v>
      </c>
      <c r="T101" s="15"/>
      <c r="U101" s="15"/>
      <c r="V101" s="15"/>
    </row>
    <row r="102">
      <c r="A102" s="2">
        <v>522.0</v>
      </c>
      <c r="B102" s="1" t="s">
        <v>28</v>
      </c>
      <c r="C102" s="2">
        <v>0.07</v>
      </c>
      <c r="D102" s="2">
        <v>1.68</v>
      </c>
      <c r="E102" s="2">
        <v>181.0</v>
      </c>
      <c r="F102" s="1" t="s">
        <v>306</v>
      </c>
      <c r="G102" s="1" t="s">
        <v>32</v>
      </c>
      <c r="H102" s="1" t="s">
        <v>23</v>
      </c>
      <c r="I102" s="1" t="s">
        <v>29</v>
      </c>
      <c r="J102" s="1" t="s">
        <v>141</v>
      </c>
      <c r="K102" s="19" t="s">
        <v>34</v>
      </c>
      <c r="L102" s="20" t="s">
        <v>76</v>
      </c>
      <c r="M102" s="21">
        <f t="shared" si="1"/>
        <v>5</v>
      </c>
      <c r="N102" s="2">
        <v>-35.75</v>
      </c>
      <c r="O102" s="2">
        <v>116.0</v>
      </c>
      <c r="P102" s="2">
        <v>186.59</v>
      </c>
      <c r="Q102" s="2">
        <v>3585.0</v>
      </c>
      <c r="R102" s="15" t="b">
        <f>ISNUMBER(MATCH(Q102,'Returned order'!A:A,0))</f>
        <v>0</v>
      </c>
      <c r="S102" s="22">
        <v>42146.0</v>
      </c>
      <c r="T102" s="15"/>
      <c r="U102" s="15"/>
      <c r="V102" s="15"/>
    </row>
    <row r="103">
      <c r="A103" s="2">
        <v>23361.0</v>
      </c>
      <c r="B103" s="1" t="s">
        <v>58</v>
      </c>
      <c r="C103" s="2">
        <v>0.02</v>
      </c>
      <c r="D103" s="2">
        <v>49.99</v>
      </c>
      <c r="E103" s="2">
        <v>184.0</v>
      </c>
      <c r="F103" s="1" t="s">
        <v>308</v>
      </c>
      <c r="G103" s="1" t="s">
        <v>66</v>
      </c>
      <c r="H103" s="1" t="s">
        <v>46</v>
      </c>
      <c r="I103" s="1" t="s">
        <v>47</v>
      </c>
      <c r="J103" s="1" t="s">
        <v>307</v>
      </c>
      <c r="K103" s="19" t="s">
        <v>26</v>
      </c>
      <c r="L103" s="20" t="s">
        <v>53</v>
      </c>
      <c r="M103" s="21">
        <f t="shared" si="1"/>
        <v>6</v>
      </c>
      <c r="N103" s="2">
        <v>-76.89</v>
      </c>
      <c r="O103" s="2">
        <v>5.0</v>
      </c>
      <c r="P103" s="2">
        <v>250.5</v>
      </c>
      <c r="Q103" s="2">
        <v>88360.0</v>
      </c>
      <c r="R103" s="15" t="b">
        <f>ISNUMBER(MATCH(Q103,'Returned order'!A:A,0))</f>
        <v>0</v>
      </c>
      <c r="S103" s="22">
        <v>42056.0</v>
      </c>
      <c r="T103" s="15"/>
      <c r="U103" s="15"/>
      <c r="V103" s="15"/>
    </row>
    <row r="104">
      <c r="A104" s="2">
        <v>18521.0</v>
      </c>
      <c r="B104" s="1" t="s">
        <v>28</v>
      </c>
      <c r="C104" s="2">
        <v>0.07</v>
      </c>
      <c r="D104" s="2">
        <v>10.06</v>
      </c>
      <c r="E104" s="2">
        <v>188.0</v>
      </c>
      <c r="F104" s="1" t="s">
        <v>309</v>
      </c>
      <c r="G104" s="1" t="s">
        <v>32</v>
      </c>
      <c r="H104" s="1" t="s">
        <v>23</v>
      </c>
      <c r="I104" s="1" t="s">
        <v>93</v>
      </c>
      <c r="J104" s="1" t="s">
        <v>310</v>
      </c>
      <c r="K104" s="19" t="s">
        <v>68</v>
      </c>
      <c r="L104" s="20" t="s">
        <v>76</v>
      </c>
      <c r="M104" s="21">
        <f t="shared" si="1"/>
        <v>5</v>
      </c>
      <c r="N104" s="2">
        <v>152.6556</v>
      </c>
      <c r="O104" s="2">
        <v>23.0</v>
      </c>
      <c r="P104" s="2">
        <v>221.24</v>
      </c>
      <c r="Q104" s="2">
        <v>88361.0</v>
      </c>
      <c r="R104" s="15" t="b">
        <f>ISNUMBER(MATCH(Q104,'Returned order'!A:A,0))</f>
        <v>0</v>
      </c>
      <c r="S104" s="22">
        <v>42146.0</v>
      </c>
      <c r="T104" s="15"/>
      <c r="U104" s="15"/>
      <c r="V104" s="15"/>
    </row>
    <row r="105">
      <c r="A105" s="2">
        <v>18522.0</v>
      </c>
      <c r="B105" s="1" t="s">
        <v>28</v>
      </c>
      <c r="C105" s="2">
        <v>0.07</v>
      </c>
      <c r="D105" s="2">
        <v>1.68</v>
      </c>
      <c r="E105" s="2">
        <v>188.0</v>
      </c>
      <c r="F105" s="1" t="s">
        <v>309</v>
      </c>
      <c r="G105" s="1" t="s">
        <v>32</v>
      </c>
      <c r="H105" s="1" t="s">
        <v>23</v>
      </c>
      <c r="I105" s="1" t="s">
        <v>29</v>
      </c>
      <c r="J105" s="1" t="s">
        <v>141</v>
      </c>
      <c r="K105" s="19" t="s">
        <v>68</v>
      </c>
      <c r="L105" s="20" t="s">
        <v>76</v>
      </c>
      <c r="M105" s="21">
        <f t="shared" si="1"/>
        <v>5</v>
      </c>
      <c r="N105" s="2">
        <v>7.15</v>
      </c>
      <c r="O105" s="2">
        <v>29.0</v>
      </c>
      <c r="P105" s="2">
        <v>46.65</v>
      </c>
      <c r="Q105" s="2">
        <v>88361.0</v>
      </c>
      <c r="R105" s="15" t="b">
        <f>ISNUMBER(MATCH(Q105,'Returned order'!A:A,0))</f>
        <v>0</v>
      </c>
      <c r="S105" s="22">
        <v>42146.0</v>
      </c>
      <c r="T105" s="15"/>
      <c r="U105" s="15"/>
      <c r="V105" s="15"/>
    </row>
    <row r="106">
      <c r="A106" s="2">
        <v>18817.0</v>
      </c>
      <c r="B106" s="1" t="s">
        <v>28</v>
      </c>
      <c r="C106" s="2">
        <v>0.1</v>
      </c>
      <c r="D106" s="2">
        <v>58.1</v>
      </c>
      <c r="E106" s="2">
        <v>190.0</v>
      </c>
      <c r="F106" s="1" t="s">
        <v>311</v>
      </c>
      <c r="G106" s="1" t="s">
        <v>32</v>
      </c>
      <c r="H106" s="1" t="s">
        <v>23</v>
      </c>
      <c r="I106" s="1" t="s">
        <v>24</v>
      </c>
      <c r="J106" s="1" t="s">
        <v>312</v>
      </c>
      <c r="K106" s="19" t="s">
        <v>68</v>
      </c>
      <c r="L106" s="20" t="s">
        <v>70</v>
      </c>
      <c r="M106" s="21">
        <f t="shared" si="1"/>
        <v>4</v>
      </c>
      <c r="N106" s="2">
        <v>113.6499</v>
      </c>
      <c r="O106" s="2">
        <v>3.0</v>
      </c>
      <c r="P106" s="2">
        <v>164.71</v>
      </c>
      <c r="Q106" s="2">
        <v>89092.0</v>
      </c>
      <c r="R106" s="15" t="b">
        <f>ISNUMBER(MATCH(Q106,'Returned order'!A:A,0))</f>
        <v>0</v>
      </c>
      <c r="S106" s="22">
        <v>42047.0</v>
      </c>
      <c r="T106" s="15"/>
      <c r="U106" s="15"/>
      <c r="V106" s="15"/>
    </row>
    <row r="107">
      <c r="A107" s="2">
        <v>18818.0</v>
      </c>
      <c r="B107" s="1" t="s">
        <v>28</v>
      </c>
      <c r="C107" s="2">
        <v>0.01</v>
      </c>
      <c r="D107" s="2">
        <v>80.48</v>
      </c>
      <c r="E107" s="2">
        <v>191.0</v>
      </c>
      <c r="F107" s="1" t="s">
        <v>313</v>
      </c>
      <c r="G107" s="1" t="s">
        <v>32</v>
      </c>
      <c r="H107" s="1" t="s">
        <v>23</v>
      </c>
      <c r="I107" s="1" t="s">
        <v>151</v>
      </c>
      <c r="J107" s="1" t="s">
        <v>314</v>
      </c>
      <c r="K107" s="19" t="s">
        <v>68</v>
      </c>
      <c r="L107" s="20" t="s">
        <v>70</v>
      </c>
      <c r="M107" s="21">
        <f t="shared" si="1"/>
        <v>4</v>
      </c>
      <c r="N107" s="2">
        <v>-35.4744</v>
      </c>
      <c r="O107" s="2">
        <v>1.0</v>
      </c>
      <c r="P107" s="2">
        <v>79.68</v>
      </c>
      <c r="Q107" s="2">
        <v>89092.0</v>
      </c>
      <c r="R107" s="15" t="b">
        <f>ISNUMBER(MATCH(Q107,'Returned order'!A:A,0))</f>
        <v>0</v>
      </c>
      <c r="S107" s="22">
        <v>42047.0</v>
      </c>
      <c r="T107" s="15"/>
      <c r="U107" s="15"/>
      <c r="V107" s="15"/>
    </row>
    <row r="108">
      <c r="A108" s="2">
        <v>20520.0</v>
      </c>
      <c r="B108" s="1" t="s">
        <v>49</v>
      </c>
      <c r="C108" s="2">
        <v>0.05</v>
      </c>
      <c r="D108" s="2">
        <v>3.8</v>
      </c>
      <c r="E108" s="2">
        <v>191.0</v>
      </c>
      <c r="F108" s="1" t="s">
        <v>313</v>
      </c>
      <c r="G108" s="1" t="s">
        <v>32</v>
      </c>
      <c r="H108" s="1" t="s">
        <v>23</v>
      </c>
      <c r="I108" s="1" t="s">
        <v>24</v>
      </c>
      <c r="J108" s="1" t="s">
        <v>25</v>
      </c>
      <c r="K108" s="19" t="s">
        <v>68</v>
      </c>
      <c r="L108" s="20" t="s">
        <v>70</v>
      </c>
      <c r="M108" s="21">
        <f t="shared" si="1"/>
        <v>4</v>
      </c>
      <c r="N108" s="2">
        <v>14.467</v>
      </c>
      <c r="O108" s="2">
        <v>14.0</v>
      </c>
      <c r="P108" s="2">
        <v>53.26</v>
      </c>
      <c r="Q108" s="2">
        <v>89093.0</v>
      </c>
      <c r="R108" s="15" t="b">
        <f>ISNUMBER(MATCH(Q108,'Returned order'!A:A,0))</f>
        <v>0</v>
      </c>
      <c r="S108" s="22">
        <v>42103.0</v>
      </c>
      <c r="T108" s="15"/>
      <c r="U108" s="15"/>
      <c r="V108" s="15"/>
    </row>
    <row r="109">
      <c r="A109" s="2">
        <v>20521.0</v>
      </c>
      <c r="B109" s="1" t="s">
        <v>49</v>
      </c>
      <c r="C109" s="2">
        <v>0.09</v>
      </c>
      <c r="D109" s="2">
        <v>30.73</v>
      </c>
      <c r="E109" s="2">
        <v>191.0</v>
      </c>
      <c r="F109" s="1" t="s">
        <v>313</v>
      </c>
      <c r="G109" s="1" t="s">
        <v>32</v>
      </c>
      <c r="H109" s="1" t="s">
        <v>46</v>
      </c>
      <c r="I109" s="1" t="s">
        <v>47</v>
      </c>
      <c r="J109" s="1" t="s">
        <v>315</v>
      </c>
      <c r="K109" s="19" t="s">
        <v>68</v>
      </c>
      <c r="L109" s="20" t="s">
        <v>70</v>
      </c>
      <c r="M109" s="21">
        <f t="shared" si="1"/>
        <v>4</v>
      </c>
      <c r="N109" s="2">
        <v>-99.9864</v>
      </c>
      <c r="O109" s="2">
        <v>7.0</v>
      </c>
      <c r="P109" s="2">
        <v>203.49</v>
      </c>
      <c r="Q109" s="2">
        <v>89093.0</v>
      </c>
      <c r="R109" s="15" t="b">
        <f>ISNUMBER(MATCH(Q109,'Returned order'!A:A,0))</f>
        <v>0</v>
      </c>
      <c r="S109" s="22">
        <v>42103.0</v>
      </c>
      <c r="T109" s="15"/>
      <c r="U109" s="15"/>
      <c r="V109" s="15"/>
    </row>
    <row r="110">
      <c r="A110" s="2">
        <v>20522.0</v>
      </c>
      <c r="B110" s="1" t="s">
        <v>49</v>
      </c>
      <c r="C110" s="2">
        <v>0.0</v>
      </c>
      <c r="D110" s="2">
        <v>125.99</v>
      </c>
      <c r="E110" s="2">
        <v>191.0</v>
      </c>
      <c r="F110" s="1" t="s">
        <v>313</v>
      </c>
      <c r="G110" s="1" t="s">
        <v>32</v>
      </c>
      <c r="H110" s="1" t="s">
        <v>46</v>
      </c>
      <c r="I110" s="1" t="s">
        <v>85</v>
      </c>
      <c r="J110" s="1" t="s">
        <v>86</v>
      </c>
      <c r="K110" s="19" t="s">
        <v>68</v>
      </c>
      <c r="L110" s="20" t="s">
        <v>70</v>
      </c>
      <c r="M110" s="21">
        <f t="shared" si="1"/>
        <v>4</v>
      </c>
      <c r="N110" s="2">
        <v>1348.59672</v>
      </c>
      <c r="O110" s="2">
        <v>22.0</v>
      </c>
      <c r="P110" s="2">
        <v>2356.01</v>
      </c>
      <c r="Q110" s="2">
        <v>89093.0</v>
      </c>
      <c r="R110" s="15" t="b">
        <f>ISNUMBER(MATCH(Q110,'Returned order'!A:A,0))</f>
        <v>0</v>
      </c>
      <c r="S110" s="22">
        <v>42103.0</v>
      </c>
      <c r="T110" s="15"/>
      <c r="U110" s="15"/>
      <c r="V110" s="15"/>
    </row>
    <row r="111">
      <c r="A111" s="2">
        <v>19663.0</v>
      </c>
      <c r="B111" s="1" t="s">
        <v>49</v>
      </c>
      <c r="C111" s="2">
        <v>0.0</v>
      </c>
      <c r="D111" s="2">
        <v>213.45</v>
      </c>
      <c r="E111" s="2">
        <v>193.0</v>
      </c>
      <c r="F111" s="1" t="s">
        <v>316</v>
      </c>
      <c r="G111" s="1" t="s">
        <v>32</v>
      </c>
      <c r="H111" s="1" t="s">
        <v>46</v>
      </c>
      <c r="I111" s="1" t="s">
        <v>103</v>
      </c>
      <c r="J111" s="1" t="s">
        <v>317</v>
      </c>
      <c r="K111" s="19" t="s">
        <v>34</v>
      </c>
      <c r="L111" s="20" t="s">
        <v>53</v>
      </c>
      <c r="M111" s="21">
        <f t="shared" si="1"/>
        <v>6</v>
      </c>
      <c r="N111" s="2">
        <v>-560.81418</v>
      </c>
      <c r="O111" s="2">
        <v>1.0</v>
      </c>
      <c r="P111" s="2">
        <v>224.12</v>
      </c>
      <c r="Q111" s="2">
        <v>90430.0</v>
      </c>
      <c r="R111" s="15" t="b">
        <f>ISNUMBER(MATCH(Q111,'Returned order'!A:A,0))</f>
        <v>0</v>
      </c>
      <c r="S111" s="22">
        <v>42007.0</v>
      </c>
      <c r="T111" s="15"/>
      <c r="U111" s="15"/>
      <c r="V111" s="15"/>
    </row>
    <row r="112">
      <c r="A112" s="2">
        <v>20645.0</v>
      </c>
      <c r="B112" s="1" t="s">
        <v>63</v>
      </c>
      <c r="C112" s="2">
        <v>0.07</v>
      </c>
      <c r="D112" s="2">
        <v>6.54</v>
      </c>
      <c r="E112" s="2">
        <v>193.0</v>
      </c>
      <c r="F112" s="1" t="s">
        <v>316</v>
      </c>
      <c r="G112" s="1" t="s">
        <v>32</v>
      </c>
      <c r="H112" s="1" t="s">
        <v>23</v>
      </c>
      <c r="I112" s="1" t="s">
        <v>24</v>
      </c>
      <c r="J112" s="1" t="s">
        <v>318</v>
      </c>
      <c r="K112" s="19" t="s">
        <v>34</v>
      </c>
      <c r="L112" s="20" t="s">
        <v>27</v>
      </c>
      <c r="M112" s="21">
        <f t="shared" si="1"/>
        <v>1</v>
      </c>
      <c r="N112" s="2">
        <v>-66.0445</v>
      </c>
      <c r="O112" s="2">
        <v>21.0</v>
      </c>
      <c r="P112" s="2">
        <v>140.3</v>
      </c>
      <c r="Q112" s="2">
        <v>90432.0</v>
      </c>
      <c r="R112" s="15" t="b">
        <f>ISNUMBER(MATCH(Q112,'Returned order'!A:A,0))</f>
        <v>0</v>
      </c>
      <c r="S112" s="22">
        <v>42093.0</v>
      </c>
      <c r="T112" s="15"/>
      <c r="U112" s="15"/>
      <c r="V112" s="15"/>
    </row>
    <row r="113">
      <c r="A113" s="2">
        <v>24273.0</v>
      </c>
      <c r="B113" s="1" t="s">
        <v>49</v>
      </c>
      <c r="C113" s="2">
        <v>0.02</v>
      </c>
      <c r="D113" s="2">
        <v>6.48</v>
      </c>
      <c r="E113" s="2">
        <v>194.0</v>
      </c>
      <c r="F113" s="1" t="s">
        <v>319</v>
      </c>
      <c r="G113" s="1" t="s">
        <v>32</v>
      </c>
      <c r="H113" s="1" t="s">
        <v>23</v>
      </c>
      <c r="I113" s="1" t="s">
        <v>93</v>
      </c>
      <c r="J113" s="1" t="s">
        <v>320</v>
      </c>
      <c r="K113" s="19" t="s">
        <v>34</v>
      </c>
      <c r="L113" s="20" t="s">
        <v>53</v>
      </c>
      <c r="M113" s="21">
        <f t="shared" si="1"/>
        <v>6</v>
      </c>
      <c r="N113" s="2">
        <v>-105.6852</v>
      </c>
      <c r="O113" s="2">
        <v>4.0</v>
      </c>
      <c r="P113" s="2">
        <v>28.2</v>
      </c>
      <c r="Q113" s="2">
        <v>90431.0</v>
      </c>
      <c r="R113" s="15" t="b">
        <f>ISNUMBER(MATCH(Q113,'Returned order'!A:A,0))</f>
        <v>0</v>
      </c>
      <c r="S113" s="22">
        <v>42014.0</v>
      </c>
      <c r="T113" s="15"/>
      <c r="U113" s="15"/>
      <c r="V113" s="15"/>
    </row>
    <row r="114">
      <c r="A114" s="2">
        <v>20646.0</v>
      </c>
      <c r="B114" s="1" t="s">
        <v>63</v>
      </c>
      <c r="C114" s="2">
        <v>0.09</v>
      </c>
      <c r="D114" s="2">
        <v>3.29</v>
      </c>
      <c r="E114" s="2">
        <v>194.0</v>
      </c>
      <c r="F114" s="1" t="s">
        <v>319</v>
      </c>
      <c r="G114" s="1" t="s">
        <v>32</v>
      </c>
      <c r="H114" s="1" t="s">
        <v>23</v>
      </c>
      <c r="I114" s="1" t="s">
        <v>81</v>
      </c>
      <c r="J114" s="1" t="s">
        <v>321</v>
      </c>
      <c r="K114" s="19" t="s">
        <v>34</v>
      </c>
      <c r="L114" s="20" t="s">
        <v>27</v>
      </c>
      <c r="M114" s="21">
        <f t="shared" si="1"/>
        <v>1</v>
      </c>
      <c r="N114" s="2">
        <v>15.66</v>
      </c>
      <c r="O114" s="2">
        <v>23.0</v>
      </c>
      <c r="P114" s="2">
        <v>71.55</v>
      </c>
      <c r="Q114" s="2">
        <v>90432.0</v>
      </c>
      <c r="R114" s="15" t="b">
        <f>ISNUMBER(MATCH(Q114,'Returned order'!A:A,0))</f>
        <v>0</v>
      </c>
      <c r="S114" s="22">
        <v>42093.0</v>
      </c>
      <c r="T114" s="15"/>
      <c r="U114" s="15"/>
      <c r="V114" s="15"/>
    </row>
    <row r="115">
      <c r="A115" s="2">
        <v>25158.0</v>
      </c>
      <c r="B115" s="1" t="s">
        <v>58</v>
      </c>
      <c r="C115" s="2">
        <v>0.0</v>
      </c>
      <c r="D115" s="2">
        <v>161.55</v>
      </c>
      <c r="E115" s="2">
        <v>197.0</v>
      </c>
      <c r="F115" s="1" t="s">
        <v>322</v>
      </c>
      <c r="G115" s="1" t="s">
        <v>66</v>
      </c>
      <c r="H115" s="1" t="s">
        <v>23</v>
      </c>
      <c r="I115" s="1" t="s">
        <v>120</v>
      </c>
      <c r="J115" s="1" t="s">
        <v>250</v>
      </c>
      <c r="K115" s="19" t="s">
        <v>68</v>
      </c>
      <c r="L115" s="20" t="s">
        <v>70</v>
      </c>
      <c r="M115" s="21">
        <f t="shared" si="1"/>
        <v>4</v>
      </c>
      <c r="N115" s="2">
        <v>1167.158</v>
      </c>
      <c r="O115" s="2">
        <v>19.0</v>
      </c>
      <c r="P115" s="2">
        <v>3108.98</v>
      </c>
      <c r="Q115" s="2">
        <v>88921.0</v>
      </c>
      <c r="R115" s="15" t="b">
        <f>ISNUMBER(MATCH(Q115,'Returned order'!A:A,0))</f>
        <v>0</v>
      </c>
      <c r="S115" s="22">
        <v>42096.0</v>
      </c>
      <c r="T115" s="15"/>
      <c r="U115" s="15"/>
      <c r="V115" s="15"/>
    </row>
    <row r="116">
      <c r="A116" s="2">
        <v>7158.0</v>
      </c>
      <c r="B116" s="1" t="s">
        <v>58</v>
      </c>
      <c r="C116" s="2">
        <v>0.0</v>
      </c>
      <c r="D116" s="2">
        <v>161.55</v>
      </c>
      <c r="E116" s="2">
        <v>198.0</v>
      </c>
      <c r="F116" s="1" t="s">
        <v>323</v>
      </c>
      <c r="G116" s="1" t="s">
        <v>66</v>
      </c>
      <c r="H116" s="1" t="s">
        <v>23</v>
      </c>
      <c r="I116" s="1" t="s">
        <v>120</v>
      </c>
      <c r="J116" s="1" t="s">
        <v>250</v>
      </c>
      <c r="K116" s="19" t="s">
        <v>68</v>
      </c>
      <c r="L116" s="20" t="s">
        <v>70</v>
      </c>
      <c r="M116" s="21">
        <f t="shared" si="1"/>
        <v>4</v>
      </c>
      <c r="N116" s="2">
        <v>1014.92</v>
      </c>
      <c r="O116" s="2">
        <v>77.0</v>
      </c>
      <c r="P116" s="2">
        <v>12599.55</v>
      </c>
      <c r="Q116" s="2">
        <v>51072.0</v>
      </c>
      <c r="R116" s="15" t="b">
        <f>ISNUMBER(MATCH(Q116,'Returned order'!A:A,0))</f>
        <v>0</v>
      </c>
      <c r="S116" s="22">
        <v>42096.0</v>
      </c>
      <c r="T116" s="15"/>
      <c r="U116" s="15"/>
      <c r="V116" s="15"/>
    </row>
    <row r="117">
      <c r="A117" s="2">
        <v>22136.0</v>
      </c>
      <c r="B117" s="1" t="s">
        <v>49</v>
      </c>
      <c r="C117" s="2">
        <v>0.09</v>
      </c>
      <c r="D117" s="2">
        <v>12.28</v>
      </c>
      <c r="E117" s="2">
        <v>202.0</v>
      </c>
      <c r="F117" s="1" t="s">
        <v>324</v>
      </c>
      <c r="G117" s="1" t="s">
        <v>32</v>
      </c>
      <c r="H117" s="1" t="s">
        <v>23</v>
      </c>
      <c r="I117" s="1" t="s">
        <v>93</v>
      </c>
      <c r="J117" s="1" t="s">
        <v>94</v>
      </c>
      <c r="K117" s="19" t="s">
        <v>68</v>
      </c>
      <c r="L117" s="20" t="s">
        <v>27</v>
      </c>
      <c r="M117" s="21">
        <f t="shared" si="1"/>
        <v>1</v>
      </c>
      <c r="N117" s="2">
        <v>1.73</v>
      </c>
      <c r="O117" s="2">
        <v>3.0</v>
      </c>
      <c r="P117" s="2">
        <v>34.65</v>
      </c>
      <c r="Q117" s="2">
        <v>88971.0</v>
      </c>
      <c r="R117" s="15" t="b">
        <f>ISNUMBER(MATCH(Q117,'Returned order'!A:A,0))</f>
        <v>0</v>
      </c>
      <c r="S117" s="22">
        <v>42121.0</v>
      </c>
      <c r="T117" s="15"/>
      <c r="U117" s="15"/>
      <c r="V117" s="15"/>
    </row>
    <row r="118">
      <c r="A118" s="2">
        <v>18783.0</v>
      </c>
      <c r="B118" s="1" t="s">
        <v>28</v>
      </c>
      <c r="C118" s="2">
        <v>0.03</v>
      </c>
      <c r="D118" s="2">
        <v>7.37</v>
      </c>
      <c r="E118" s="2">
        <v>202.0</v>
      </c>
      <c r="F118" s="1" t="s">
        <v>324</v>
      </c>
      <c r="G118" s="1" t="s">
        <v>32</v>
      </c>
      <c r="H118" s="1" t="s">
        <v>46</v>
      </c>
      <c r="I118" s="1" t="s">
        <v>47</v>
      </c>
      <c r="J118" s="1" t="s">
        <v>325</v>
      </c>
      <c r="K118" s="19" t="s">
        <v>68</v>
      </c>
      <c r="L118" s="20" t="s">
        <v>76</v>
      </c>
      <c r="M118" s="21">
        <f t="shared" si="1"/>
        <v>5</v>
      </c>
      <c r="N118" s="2">
        <v>-133.7</v>
      </c>
      <c r="O118" s="2">
        <v>11.0</v>
      </c>
      <c r="P118" s="2">
        <v>85.79</v>
      </c>
      <c r="Q118" s="2">
        <v>88972.0</v>
      </c>
      <c r="R118" s="15" t="b">
        <f>ISNUMBER(MATCH(Q118,'Returned order'!A:A,0))</f>
        <v>0</v>
      </c>
      <c r="S118" s="22">
        <v>42020.0</v>
      </c>
      <c r="T118" s="15"/>
      <c r="U118" s="15"/>
      <c r="V118" s="15"/>
    </row>
    <row r="119">
      <c r="A119" s="2">
        <v>21401.0</v>
      </c>
      <c r="B119" s="1" t="s">
        <v>170</v>
      </c>
      <c r="C119" s="2">
        <v>0.05</v>
      </c>
      <c r="D119" s="2">
        <v>1.86</v>
      </c>
      <c r="E119" s="2">
        <v>210.0</v>
      </c>
      <c r="F119" s="1" t="s">
        <v>326</v>
      </c>
      <c r="G119" s="1" t="s">
        <v>51</v>
      </c>
      <c r="H119" s="1" t="s">
        <v>23</v>
      </c>
      <c r="I119" s="1" t="s">
        <v>81</v>
      </c>
      <c r="J119" s="1" t="s">
        <v>327</v>
      </c>
      <c r="K119" s="19" t="s">
        <v>26</v>
      </c>
      <c r="L119" s="20" t="s">
        <v>53</v>
      </c>
      <c r="M119" s="21">
        <f t="shared" si="1"/>
        <v>6</v>
      </c>
      <c r="N119" s="2">
        <v>-66.62</v>
      </c>
      <c r="O119" s="2">
        <v>9.0</v>
      </c>
      <c r="P119" s="2">
        <v>17.61</v>
      </c>
      <c r="Q119" s="2">
        <v>85965.0</v>
      </c>
      <c r="R119" s="15" t="b">
        <f>ISNUMBER(MATCH(Q119,'Returned order'!A:A,0))</f>
        <v>0</v>
      </c>
      <c r="S119" s="22">
        <v>42021.0</v>
      </c>
      <c r="T119" s="15"/>
      <c r="U119" s="15"/>
      <c r="V119" s="15"/>
    </row>
    <row r="120">
      <c r="A120" s="2">
        <v>23097.0</v>
      </c>
      <c r="B120" s="1" t="s">
        <v>63</v>
      </c>
      <c r="C120" s="2">
        <v>0.09</v>
      </c>
      <c r="D120" s="2">
        <v>5.4</v>
      </c>
      <c r="E120" s="2">
        <v>210.0</v>
      </c>
      <c r="F120" s="1" t="s">
        <v>326</v>
      </c>
      <c r="G120" s="1" t="s">
        <v>51</v>
      </c>
      <c r="H120" s="1" t="s">
        <v>23</v>
      </c>
      <c r="I120" s="1" t="s">
        <v>24</v>
      </c>
      <c r="J120" s="1" t="s">
        <v>328</v>
      </c>
      <c r="K120" s="19" t="s">
        <v>26</v>
      </c>
      <c r="L120" s="20" t="s">
        <v>57</v>
      </c>
      <c r="M120" s="21">
        <f t="shared" si="1"/>
        <v>2</v>
      </c>
      <c r="N120" s="2">
        <v>-21.48775</v>
      </c>
      <c r="O120" s="2">
        <v>4.0</v>
      </c>
      <c r="P120" s="2">
        <v>27.3</v>
      </c>
      <c r="Q120" s="2">
        <v>85966.0</v>
      </c>
      <c r="R120" s="15" t="b">
        <f>ISNUMBER(MATCH(Q120,'Returned order'!A:A,0))</f>
        <v>0</v>
      </c>
      <c r="S120" s="22">
        <v>42157.0</v>
      </c>
      <c r="T120" s="15"/>
      <c r="U120" s="15"/>
      <c r="V120" s="15"/>
    </row>
    <row r="121">
      <c r="A121" s="2">
        <v>23098.0</v>
      </c>
      <c r="B121" s="1" t="s">
        <v>63</v>
      </c>
      <c r="C121" s="2">
        <v>0.02</v>
      </c>
      <c r="D121" s="2">
        <v>20.28</v>
      </c>
      <c r="E121" s="2">
        <v>210.0</v>
      </c>
      <c r="F121" s="1" t="s">
        <v>326</v>
      </c>
      <c r="G121" s="1" t="s">
        <v>51</v>
      </c>
      <c r="H121" s="1" t="s">
        <v>37</v>
      </c>
      <c r="I121" s="1" t="s">
        <v>42</v>
      </c>
      <c r="J121" s="1" t="s">
        <v>329</v>
      </c>
      <c r="K121" s="19" t="s">
        <v>26</v>
      </c>
      <c r="L121" s="20" t="s">
        <v>57</v>
      </c>
      <c r="M121" s="21">
        <f t="shared" si="1"/>
        <v>2</v>
      </c>
      <c r="N121" s="2">
        <v>44.6775</v>
      </c>
      <c r="O121" s="2">
        <v>3.0</v>
      </c>
      <c r="P121" s="2">
        <v>64.75</v>
      </c>
      <c r="Q121" s="2">
        <v>85966.0</v>
      </c>
      <c r="R121" s="15" t="b">
        <f>ISNUMBER(MATCH(Q121,'Returned order'!A:A,0))</f>
        <v>0</v>
      </c>
      <c r="S121" s="22">
        <v>42157.0</v>
      </c>
      <c r="T121" s="15"/>
      <c r="U121" s="15"/>
      <c r="V121" s="15"/>
    </row>
    <row r="122">
      <c r="A122" s="2">
        <v>23099.0</v>
      </c>
      <c r="B122" s="1" t="s">
        <v>63</v>
      </c>
      <c r="C122" s="2">
        <v>0.0</v>
      </c>
      <c r="D122" s="2">
        <v>11.55</v>
      </c>
      <c r="E122" s="2">
        <v>210.0</v>
      </c>
      <c r="F122" s="1" t="s">
        <v>326</v>
      </c>
      <c r="G122" s="1" t="s">
        <v>51</v>
      </c>
      <c r="H122" s="1" t="s">
        <v>23</v>
      </c>
      <c r="I122" s="1" t="s">
        <v>29</v>
      </c>
      <c r="J122" s="1" t="s">
        <v>330</v>
      </c>
      <c r="K122" s="19" t="s">
        <v>26</v>
      </c>
      <c r="L122" s="20" t="s">
        <v>57</v>
      </c>
      <c r="M122" s="21">
        <f t="shared" si="1"/>
        <v>2</v>
      </c>
      <c r="N122" s="2">
        <v>23.595</v>
      </c>
      <c r="O122" s="2">
        <v>5.0</v>
      </c>
      <c r="P122" s="2">
        <v>62.98</v>
      </c>
      <c r="Q122" s="2">
        <v>85966.0</v>
      </c>
      <c r="R122" s="15" t="b">
        <f>ISNUMBER(MATCH(Q122,'Returned order'!A:A,0))</f>
        <v>0</v>
      </c>
      <c r="S122" s="22">
        <v>42157.0</v>
      </c>
      <c r="T122" s="15"/>
      <c r="U122" s="15"/>
      <c r="V122" s="15"/>
    </row>
    <row r="123">
      <c r="A123" s="2">
        <v>23605.0</v>
      </c>
      <c r="B123" s="1" t="s">
        <v>63</v>
      </c>
      <c r="C123" s="2">
        <v>0.01</v>
      </c>
      <c r="D123" s="2">
        <v>10.06</v>
      </c>
      <c r="E123" s="2">
        <v>211.0</v>
      </c>
      <c r="F123" s="1" t="s">
        <v>331</v>
      </c>
      <c r="G123" s="1" t="s">
        <v>22</v>
      </c>
      <c r="H123" s="1" t="s">
        <v>23</v>
      </c>
      <c r="I123" s="1" t="s">
        <v>93</v>
      </c>
      <c r="J123" s="1" t="s">
        <v>310</v>
      </c>
      <c r="K123" s="19" t="s">
        <v>26</v>
      </c>
      <c r="L123" s="20" t="s">
        <v>57</v>
      </c>
      <c r="M123" s="21">
        <f t="shared" si="1"/>
        <v>2</v>
      </c>
      <c r="N123" s="2">
        <v>7.59</v>
      </c>
      <c r="O123" s="2">
        <v>2.0</v>
      </c>
      <c r="P123" s="2">
        <v>21.2</v>
      </c>
      <c r="Q123" s="2">
        <v>85964.0</v>
      </c>
      <c r="R123" s="15" t="b">
        <f>ISNUMBER(MATCH(Q123,'Returned order'!A:A,0))</f>
        <v>0</v>
      </c>
      <c r="S123" s="22">
        <v>42010.0</v>
      </c>
      <c r="T123" s="15"/>
      <c r="U123" s="15"/>
      <c r="V123" s="15"/>
    </row>
    <row r="124">
      <c r="A124" s="2">
        <v>23606.0</v>
      </c>
      <c r="B124" s="1" t="s">
        <v>63</v>
      </c>
      <c r="C124" s="2">
        <v>0.0</v>
      </c>
      <c r="D124" s="2">
        <v>65.99</v>
      </c>
      <c r="E124" s="2">
        <v>211.0</v>
      </c>
      <c r="F124" s="1" t="s">
        <v>331</v>
      </c>
      <c r="G124" s="1" t="s">
        <v>22</v>
      </c>
      <c r="H124" s="1" t="s">
        <v>46</v>
      </c>
      <c r="I124" s="1" t="s">
        <v>85</v>
      </c>
      <c r="J124" s="1">
        <v>252.0</v>
      </c>
      <c r="K124" s="19" t="s">
        <v>26</v>
      </c>
      <c r="L124" s="20" t="s">
        <v>57</v>
      </c>
      <c r="M124" s="21">
        <f t="shared" si="1"/>
        <v>2</v>
      </c>
      <c r="N124" s="2">
        <v>-107.987</v>
      </c>
      <c r="O124" s="2">
        <v>3.0</v>
      </c>
      <c r="P124" s="2">
        <v>173.32</v>
      </c>
      <c r="Q124" s="2">
        <v>85964.0</v>
      </c>
      <c r="R124" s="15" t="b">
        <f>ISNUMBER(MATCH(Q124,'Returned order'!A:A,0))</f>
        <v>0</v>
      </c>
      <c r="S124" s="22">
        <v>42010.0</v>
      </c>
      <c r="T124" s="15"/>
      <c r="U124" s="15"/>
      <c r="V124" s="15"/>
    </row>
    <row r="125">
      <c r="A125" s="2">
        <v>23100.0</v>
      </c>
      <c r="B125" s="1" t="s">
        <v>63</v>
      </c>
      <c r="C125" s="2">
        <v>0.05</v>
      </c>
      <c r="D125" s="2">
        <v>2.08</v>
      </c>
      <c r="E125" s="2">
        <v>211.0</v>
      </c>
      <c r="F125" s="1" t="s">
        <v>331</v>
      </c>
      <c r="G125" s="1" t="s">
        <v>51</v>
      </c>
      <c r="H125" s="1" t="s">
        <v>23</v>
      </c>
      <c r="I125" s="1" t="s">
        <v>257</v>
      </c>
      <c r="J125" s="1" t="s">
        <v>332</v>
      </c>
      <c r="K125" s="19" t="s">
        <v>26</v>
      </c>
      <c r="L125" s="20" t="s">
        <v>57</v>
      </c>
      <c r="M125" s="21">
        <f t="shared" si="1"/>
        <v>2</v>
      </c>
      <c r="N125" s="2">
        <v>-36.25</v>
      </c>
      <c r="O125" s="2">
        <v>20.0</v>
      </c>
      <c r="P125" s="2">
        <v>42.29</v>
      </c>
      <c r="Q125" s="2">
        <v>85966.0</v>
      </c>
      <c r="R125" s="15" t="b">
        <f>ISNUMBER(MATCH(Q125,'Returned order'!A:A,0))</f>
        <v>0</v>
      </c>
      <c r="S125" s="22">
        <v>42157.0</v>
      </c>
      <c r="T125" s="15"/>
      <c r="U125" s="15"/>
      <c r="V125" s="15"/>
    </row>
    <row r="126">
      <c r="A126" s="2">
        <v>26303.0</v>
      </c>
      <c r="B126" s="1" t="s">
        <v>63</v>
      </c>
      <c r="C126" s="2">
        <v>0.05</v>
      </c>
      <c r="D126" s="2">
        <v>119.99</v>
      </c>
      <c r="E126" s="2">
        <v>218.0</v>
      </c>
      <c r="F126" s="1" t="s">
        <v>333</v>
      </c>
      <c r="G126" s="1" t="s">
        <v>22</v>
      </c>
      <c r="H126" s="1" t="s">
        <v>46</v>
      </c>
      <c r="I126" s="1" t="s">
        <v>103</v>
      </c>
      <c r="J126" s="1" t="s">
        <v>104</v>
      </c>
      <c r="K126" s="19" t="s">
        <v>34</v>
      </c>
      <c r="L126" s="20" t="s">
        <v>57</v>
      </c>
      <c r="M126" s="21">
        <f t="shared" si="1"/>
        <v>2</v>
      </c>
      <c r="N126" s="2">
        <v>-102.5121</v>
      </c>
      <c r="O126" s="2">
        <v>6.0</v>
      </c>
      <c r="P126" s="2">
        <v>730.37</v>
      </c>
      <c r="Q126" s="2">
        <v>88048.0</v>
      </c>
      <c r="R126" s="15" t="b">
        <f>ISNUMBER(MATCH(Q126,'Returned order'!A:A,0))</f>
        <v>0</v>
      </c>
      <c r="S126" s="22">
        <v>42164.0</v>
      </c>
      <c r="T126" s="15"/>
      <c r="U126" s="15"/>
      <c r="V126" s="15"/>
    </row>
    <row r="127">
      <c r="A127" s="2">
        <v>21203.0</v>
      </c>
      <c r="B127" s="1" t="s">
        <v>63</v>
      </c>
      <c r="C127" s="2">
        <v>0.03</v>
      </c>
      <c r="D127" s="2">
        <v>60.89</v>
      </c>
      <c r="E127" s="2">
        <v>228.0</v>
      </c>
      <c r="F127" s="1" t="s">
        <v>334</v>
      </c>
      <c r="G127" s="1" t="s">
        <v>66</v>
      </c>
      <c r="H127" s="1" t="s">
        <v>37</v>
      </c>
      <c r="I127" s="1" t="s">
        <v>38</v>
      </c>
      <c r="J127" s="1" t="s">
        <v>335</v>
      </c>
      <c r="K127" s="19" t="s">
        <v>229</v>
      </c>
      <c r="L127" s="20" t="s">
        <v>70</v>
      </c>
      <c r="M127" s="21">
        <f t="shared" si="1"/>
        <v>4</v>
      </c>
      <c r="N127" s="2">
        <v>36.354</v>
      </c>
      <c r="O127" s="2">
        <v>7.0</v>
      </c>
      <c r="P127" s="2">
        <v>450.49</v>
      </c>
      <c r="Q127" s="2">
        <v>88527.0</v>
      </c>
      <c r="R127" s="15" t="b">
        <f>ISNUMBER(MATCH(Q127,'Returned order'!A:A,0))</f>
        <v>0</v>
      </c>
      <c r="S127" s="22">
        <v>42096.0</v>
      </c>
      <c r="T127" s="15"/>
      <c r="U127" s="15"/>
      <c r="V127" s="15"/>
    </row>
    <row r="128">
      <c r="A128" s="2">
        <v>25500.0</v>
      </c>
      <c r="B128" s="1" t="s">
        <v>63</v>
      </c>
      <c r="C128" s="2">
        <v>0.07</v>
      </c>
      <c r="D128" s="2">
        <v>5.81</v>
      </c>
      <c r="E128" s="2">
        <v>233.0</v>
      </c>
      <c r="F128" s="1" t="s">
        <v>336</v>
      </c>
      <c r="G128" s="1" t="s">
        <v>66</v>
      </c>
      <c r="H128" s="1" t="s">
        <v>23</v>
      </c>
      <c r="I128" s="1" t="s">
        <v>24</v>
      </c>
      <c r="J128" s="1" t="s">
        <v>337</v>
      </c>
      <c r="K128" s="19" t="s">
        <v>68</v>
      </c>
      <c r="L128" s="20" t="s">
        <v>76</v>
      </c>
      <c r="M128" s="21">
        <f t="shared" si="1"/>
        <v>5</v>
      </c>
      <c r="N128" s="2">
        <v>-243.2365</v>
      </c>
      <c r="O128" s="2">
        <v>10.0</v>
      </c>
      <c r="P128" s="2">
        <v>58.8</v>
      </c>
      <c r="Q128" s="2">
        <v>90237.0</v>
      </c>
      <c r="R128" s="15" t="b">
        <f>ISNUMBER(MATCH(Q128,'Returned order'!A:A,0))</f>
        <v>0</v>
      </c>
      <c r="S128" s="22">
        <v>42055.0</v>
      </c>
      <c r="T128" s="15"/>
      <c r="U128" s="15"/>
      <c r="V128" s="15"/>
    </row>
    <row r="129">
      <c r="A129" s="2">
        <v>25501.0</v>
      </c>
      <c r="B129" s="1" t="s">
        <v>63</v>
      </c>
      <c r="C129" s="2">
        <v>0.04</v>
      </c>
      <c r="D129" s="2">
        <v>9.65</v>
      </c>
      <c r="E129" s="2">
        <v>233.0</v>
      </c>
      <c r="F129" s="1" t="s">
        <v>336</v>
      </c>
      <c r="G129" s="1" t="s">
        <v>66</v>
      </c>
      <c r="H129" s="1" t="s">
        <v>37</v>
      </c>
      <c r="I129" s="1" t="s">
        <v>42</v>
      </c>
      <c r="J129" s="1" t="s">
        <v>338</v>
      </c>
      <c r="K129" s="19" t="s">
        <v>68</v>
      </c>
      <c r="L129" s="20" t="s">
        <v>76</v>
      </c>
      <c r="M129" s="21">
        <f t="shared" si="1"/>
        <v>5</v>
      </c>
      <c r="N129" s="2">
        <v>-53.62</v>
      </c>
      <c r="O129" s="2">
        <v>12.0</v>
      </c>
      <c r="P129" s="2">
        <v>120.47</v>
      </c>
      <c r="Q129" s="2">
        <v>90237.0</v>
      </c>
      <c r="R129" s="15" t="b">
        <f>ISNUMBER(MATCH(Q129,'Returned order'!A:A,0))</f>
        <v>0</v>
      </c>
      <c r="S129" s="22">
        <v>42055.0</v>
      </c>
      <c r="T129" s="15"/>
      <c r="U129" s="15"/>
      <c r="V129" s="15"/>
    </row>
    <row r="130">
      <c r="A130" s="2">
        <v>23058.0</v>
      </c>
      <c r="B130" s="1" t="s">
        <v>58</v>
      </c>
      <c r="C130" s="2">
        <v>0.06</v>
      </c>
      <c r="D130" s="2">
        <v>279.81</v>
      </c>
      <c r="E130" s="2">
        <v>234.0</v>
      </c>
      <c r="F130" s="1" t="s">
        <v>339</v>
      </c>
      <c r="G130" s="1" t="s">
        <v>66</v>
      </c>
      <c r="H130" s="1" t="s">
        <v>23</v>
      </c>
      <c r="I130" s="1" t="s">
        <v>151</v>
      </c>
      <c r="J130" s="1" t="s">
        <v>340</v>
      </c>
      <c r="K130" s="19" t="s">
        <v>68</v>
      </c>
      <c r="L130" s="20" t="s">
        <v>70</v>
      </c>
      <c r="M130" s="21">
        <f t="shared" si="1"/>
        <v>4</v>
      </c>
      <c r="N130" s="2">
        <v>1103.9724</v>
      </c>
      <c r="O130" s="2">
        <v>6.0</v>
      </c>
      <c r="P130" s="2">
        <v>1599.96</v>
      </c>
      <c r="Q130" s="2">
        <v>90236.0</v>
      </c>
      <c r="R130" s="15" t="b">
        <f>ISNUMBER(MATCH(Q130,'Returned order'!A:A,0))</f>
        <v>0</v>
      </c>
      <c r="S130" s="22">
        <v>42040.0</v>
      </c>
      <c r="T130" s="15"/>
      <c r="U130" s="15"/>
      <c r="V130" s="15"/>
    </row>
    <row r="131">
      <c r="A131" s="2">
        <v>25121.0</v>
      </c>
      <c r="B131" s="1" t="s">
        <v>28</v>
      </c>
      <c r="C131" s="2">
        <v>0.03</v>
      </c>
      <c r="D131" s="2">
        <v>28.53</v>
      </c>
      <c r="E131" s="2">
        <v>234.0</v>
      </c>
      <c r="F131" s="1" t="s">
        <v>339</v>
      </c>
      <c r="G131" s="1" t="s">
        <v>66</v>
      </c>
      <c r="H131" s="1" t="s">
        <v>23</v>
      </c>
      <c r="I131" s="1" t="s">
        <v>24</v>
      </c>
      <c r="J131" s="1" t="s">
        <v>341</v>
      </c>
      <c r="K131" s="19" t="s">
        <v>68</v>
      </c>
      <c r="L131" s="20" t="s">
        <v>76</v>
      </c>
      <c r="M131" s="21">
        <f t="shared" si="1"/>
        <v>5</v>
      </c>
      <c r="N131" s="2">
        <v>136.3371</v>
      </c>
      <c r="O131" s="2">
        <v>7.0</v>
      </c>
      <c r="P131" s="2">
        <v>197.59</v>
      </c>
      <c r="Q131" s="2">
        <v>90238.0</v>
      </c>
      <c r="R131" s="15" t="b">
        <f>ISNUMBER(MATCH(Q131,'Returned order'!A:A,0))</f>
        <v>0</v>
      </c>
      <c r="S131" s="22">
        <v>42090.0</v>
      </c>
      <c r="T131" s="15"/>
      <c r="U131" s="15"/>
      <c r="V131" s="15"/>
    </row>
    <row r="132">
      <c r="A132" s="2">
        <v>25122.0</v>
      </c>
      <c r="B132" s="1" t="s">
        <v>28</v>
      </c>
      <c r="C132" s="2">
        <v>0.01</v>
      </c>
      <c r="D132" s="2">
        <v>15.28</v>
      </c>
      <c r="E132" s="2">
        <v>234.0</v>
      </c>
      <c r="F132" s="1" t="s">
        <v>339</v>
      </c>
      <c r="G132" s="1" t="s">
        <v>66</v>
      </c>
      <c r="H132" s="1" t="s">
        <v>46</v>
      </c>
      <c r="I132" s="1" t="s">
        <v>47</v>
      </c>
      <c r="J132" s="1" t="s">
        <v>342</v>
      </c>
      <c r="K132" s="19" t="s">
        <v>68</v>
      </c>
      <c r="L132" s="20" t="s">
        <v>76</v>
      </c>
      <c r="M132" s="21">
        <f t="shared" si="1"/>
        <v>5</v>
      </c>
      <c r="N132" s="2">
        <v>-12.46</v>
      </c>
      <c r="O132" s="2">
        <v>2.0</v>
      </c>
      <c r="P132" s="2">
        <v>33.04</v>
      </c>
      <c r="Q132" s="2">
        <v>90238.0</v>
      </c>
      <c r="R132" s="15" t="b">
        <f>ISNUMBER(MATCH(Q132,'Returned order'!A:A,0))</f>
        <v>0</v>
      </c>
      <c r="S132" s="22">
        <v>42090.0</v>
      </c>
      <c r="T132" s="15"/>
      <c r="U132" s="15"/>
      <c r="V132" s="15"/>
    </row>
    <row r="133">
      <c r="A133" s="2">
        <v>22044.0</v>
      </c>
      <c r="B133" s="1" t="s">
        <v>170</v>
      </c>
      <c r="C133" s="2">
        <v>0.06</v>
      </c>
      <c r="D133" s="2">
        <v>3.34</v>
      </c>
      <c r="E133" s="2">
        <v>234.0</v>
      </c>
      <c r="F133" s="1" t="s">
        <v>339</v>
      </c>
      <c r="G133" s="1" t="s">
        <v>66</v>
      </c>
      <c r="H133" s="1" t="s">
        <v>23</v>
      </c>
      <c r="I133" s="1" t="s">
        <v>29</v>
      </c>
      <c r="J133" s="1" t="s">
        <v>343</v>
      </c>
      <c r="K133" s="19" t="s">
        <v>68</v>
      </c>
      <c r="L133" s="20" t="s">
        <v>57</v>
      </c>
      <c r="M133" s="21">
        <f t="shared" si="1"/>
        <v>2</v>
      </c>
      <c r="N133" s="2">
        <v>-175.86</v>
      </c>
      <c r="O133" s="2">
        <v>8.0</v>
      </c>
      <c r="P133" s="2">
        <v>27.45</v>
      </c>
      <c r="Q133" s="2">
        <v>90239.0</v>
      </c>
      <c r="R133" s="15" t="b">
        <f>ISNUMBER(MATCH(Q133,'Returned order'!A:A,0))</f>
        <v>0</v>
      </c>
      <c r="S133" s="22">
        <v>42122.0</v>
      </c>
      <c r="T133" s="15"/>
      <c r="U133" s="15"/>
      <c r="V133" s="15"/>
    </row>
    <row r="134">
      <c r="A134" s="2">
        <v>18885.0</v>
      </c>
      <c r="B134" s="1" t="s">
        <v>49</v>
      </c>
      <c r="C134" s="2">
        <v>0.0</v>
      </c>
      <c r="D134" s="2">
        <v>442.14</v>
      </c>
      <c r="E134" s="2">
        <v>236.0</v>
      </c>
      <c r="F134" s="1" t="s">
        <v>344</v>
      </c>
      <c r="G134" s="1" t="s">
        <v>32</v>
      </c>
      <c r="H134" s="1" t="s">
        <v>46</v>
      </c>
      <c r="I134" s="1" t="s">
        <v>103</v>
      </c>
      <c r="J134" s="1" t="s">
        <v>345</v>
      </c>
      <c r="K134" s="19" t="s">
        <v>34</v>
      </c>
      <c r="L134" s="20" t="s">
        <v>61</v>
      </c>
      <c r="M134" s="21">
        <f t="shared" si="1"/>
        <v>7</v>
      </c>
      <c r="N134" s="2">
        <v>3294.8259</v>
      </c>
      <c r="O134" s="2">
        <v>10.0</v>
      </c>
      <c r="P134" s="2">
        <v>4775.11</v>
      </c>
      <c r="Q134" s="2">
        <v>86621.0</v>
      </c>
      <c r="R134" s="15" t="b">
        <f>ISNUMBER(MATCH(Q134,'Returned order'!A:A,0))</f>
        <v>0</v>
      </c>
      <c r="S134" s="22">
        <v>42057.0</v>
      </c>
      <c r="T134" s="15"/>
      <c r="U134" s="15"/>
      <c r="V134" s="15"/>
    </row>
    <row r="135">
      <c r="A135" s="2">
        <v>24327.0</v>
      </c>
      <c r="B135" s="1" t="s">
        <v>63</v>
      </c>
      <c r="C135" s="2">
        <v>0.1</v>
      </c>
      <c r="D135" s="2">
        <v>19.98</v>
      </c>
      <c r="E135" s="2">
        <v>240.0</v>
      </c>
      <c r="F135" s="1" t="s">
        <v>346</v>
      </c>
      <c r="G135" s="1" t="s">
        <v>66</v>
      </c>
      <c r="H135" s="1" t="s">
        <v>23</v>
      </c>
      <c r="I135" s="1" t="s">
        <v>93</v>
      </c>
      <c r="J135" s="1" t="s">
        <v>347</v>
      </c>
      <c r="K135" s="19" t="s">
        <v>34</v>
      </c>
      <c r="L135" s="20" t="s">
        <v>27</v>
      </c>
      <c r="M135" s="21">
        <f t="shared" si="1"/>
        <v>1</v>
      </c>
      <c r="N135" s="2">
        <v>35.09</v>
      </c>
      <c r="O135" s="2">
        <v>3.0</v>
      </c>
      <c r="P135" s="2">
        <v>57.41</v>
      </c>
      <c r="Q135" s="2">
        <v>90479.0</v>
      </c>
      <c r="R135" s="15" t="b">
        <f>ISNUMBER(MATCH(Q135,'Returned order'!A:A,0))</f>
        <v>0</v>
      </c>
      <c r="S135" s="22">
        <v>42114.0</v>
      </c>
      <c r="T135" s="15"/>
      <c r="U135" s="15"/>
      <c r="V135" s="15"/>
    </row>
    <row r="136">
      <c r="A136" s="2">
        <v>24328.0</v>
      </c>
      <c r="B136" s="1" t="s">
        <v>63</v>
      </c>
      <c r="C136" s="2">
        <v>0.06</v>
      </c>
      <c r="D136" s="2">
        <v>259.71</v>
      </c>
      <c r="E136" s="2">
        <v>241.0</v>
      </c>
      <c r="F136" s="1" t="s">
        <v>348</v>
      </c>
      <c r="G136" s="1" t="s">
        <v>66</v>
      </c>
      <c r="H136" s="1" t="s">
        <v>37</v>
      </c>
      <c r="I136" s="1" t="s">
        <v>73</v>
      </c>
      <c r="J136" s="1" t="s">
        <v>349</v>
      </c>
      <c r="K136" s="19" t="s">
        <v>34</v>
      </c>
      <c r="L136" s="20" t="s">
        <v>27</v>
      </c>
      <c r="M136" s="21">
        <f t="shared" si="1"/>
        <v>1</v>
      </c>
      <c r="N136" s="2">
        <v>785.63</v>
      </c>
      <c r="O136" s="2">
        <v>11.0</v>
      </c>
      <c r="P136" s="2">
        <v>2809.87</v>
      </c>
      <c r="Q136" s="2">
        <v>90479.0</v>
      </c>
      <c r="R136" s="15" t="b">
        <f>ISNUMBER(MATCH(Q136,'Returned order'!A:A,0))</f>
        <v>0</v>
      </c>
      <c r="S136" s="22">
        <v>42114.0</v>
      </c>
      <c r="T136" s="15"/>
      <c r="U136" s="15"/>
      <c r="V136" s="15"/>
    </row>
    <row r="137">
      <c r="A137" s="2">
        <v>25264.0</v>
      </c>
      <c r="B137" s="1" t="s">
        <v>170</v>
      </c>
      <c r="C137" s="2">
        <v>0.01</v>
      </c>
      <c r="D137" s="2">
        <v>5.94</v>
      </c>
      <c r="E137" s="2">
        <v>241.0</v>
      </c>
      <c r="F137" s="1" t="s">
        <v>348</v>
      </c>
      <c r="G137" s="1" t="s">
        <v>66</v>
      </c>
      <c r="H137" s="1" t="s">
        <v>23</v>
      </c>
      <c r="I137" s="1" t="s">
        <v>24</v>
      </c>
      <c r="J137" s="1" t="s">
        <v>350</v>
      </c>
      <c r="K137" s="19" t="s">
        <v>34</v>
      </c>
      <c r="L137" s="20" t="s">
        <v>57</v>
      </c>
      <c r="M137" s="21">
        <f t="shared" si="1"/>
        <v>2</v>
      </c>
      <c r="N137" s="2">
        <v>-256.519</v>
      </c>
      <c r="O137" s="2">
        <v>13.0</v>
      </c>
      <c r="P137" s="2">
        <v>79.93</v>
      </c>
      <c r="Q137" s="2">
        <v>90480.0</v>
      </c>
      <c r="R137" s="15" t="b">
        <f>ISNUMBER(MATCH(Q137,'Returned order'!A:A,0))</f>
        <v>0</v>
      </c>
      <c r="S137" s="22">
        <v>42150.0</v>
      </c>
      <c r="T137" s="15"/>
      <c r="U137" s="15"/>
      <c r="V137" s="15"/>
    </row>
    <row r="138">
      <c r="A138" s="2">
        <v>25265.0</v>
      </c>
      <c r="B138" s="1" t="s">
        <v>170</v>
      </c>
      <c r="C138" s="2">
        <v>0.02</v>
      </c>
      <c r="D138" s="2">
        <v>125.99</v>
      </c>
      <c r="E138" s="2">
        <v>241.0</v>
      </c>
      <c r="F138" s="1" t="s">
        <v>348</v>
      </c>
      <c r="G138" s="1" t="s">
        <v>66</v>
      </c>
      <c r="H138" s="1" t="s">
        <v>46</v>
      </c>
      <c r="I138" s="1" t="s">
        <v>85</v>
      </c>
      <c r="J138" s="1" t="s">
        <v>351</v>
      </c>
      <c r="K138" s="19" t="s">
        <v>34</v>
      </c>
      <c r="L138" s="20" t="s">
        <v>57</v>
      </c>
      <c r="M138" s="21">
        <f t="shared" si="1"/>
        <v>2</v>
      </c>
      <c r="N138" s="2">
        <v>398.358</v>
      </c>
      <c r="O138" s="2">
        <v>8.0</v>
      </c>
      <c r="P138" s="2">
        <v>873.18</v>
      </c>
      <c r="Q138" s="2">
        <v>90480.0</v>
      </c>
      <c r="R138" s="15" t="b">
        <f>ISNUMBER(MATCH(Q138,'Returned order'!A:A,0))</f>
        <v>0</v>
      </c>
      <c r="S138" s="22">
        <v>42150.0</v>
      </c>
      <c r="T138" s="15"/>
      <c r="U138" s="15"/>
      <c r="V138" s="15"/>
    </row>
    <row r="139">
      <c r="A139" s="2">
        <v>18849.0</v>
      </c>
      <c r="B139" s="1" t="s">
        <v>63</v>
      </c>
      <c r="C139" s="2">
        <v>0.02</v>
      </c>
      <c r="D139" s="2">
        <v>146.05</v>
      </c>
      <c r="E139" s="2">
        <v>247.0</v>
      </c>
      <c r="F139" s="1" t="s">
        <v>352</v>
      </c>
      <c r="G139" s="1" t="s">
        <v>32</v>
      </c>
      <c r="H139" s="1" t="s">
        <v>37</v>
      </c>
      <c r="I139" s="1" t="s">
        <v>73</v>
      </c>
      <c r="J139" s="1" t="s">
        <v>353</v>
      </c>
      <c r="K139" s="19" t="s">
        <v>229</v>
      </c>
      <c r="L139" s="20" t="s">
        <v>27</v>
      </c>
      <c r="M139" s="21">
        <f t="shared" si="1"/>
        <v>1</v>
      </c>
      <c r="N139" s="2">
        <v>-101.192</v>
      </c>
      <c r="O139" s="2">
        <v>5.0</v>
      </c>
      <c r="P139" s="2">
        <v>798.69</v>
      </c>
      <c r="Q139" s="2">
        <v>89139.0</v>
      </c>
      <c r="R139" s="15" t="b">
        <f>ISNUMBER(MATCH(Q139,'Returned order'!A:A,0))</f>
        <v>0</v>
      </c>
      <c r="S139" s="22">
        <v>42058.0</v>
      </c>
      <c r="T139" s="15"/>
      <c r="U139" s="15"/>
      <c r="V139" s="15"/>
    </row>
    <row r="140">
      <c r="A140" s="2">
        <v>18850.0</v>
      </c>
      <c r="B140" s="1" t="s">
        <v>63</v>
      </c>
      <c r="C140" s="2">
        <v>0.06</v>
      </c>
      <c r="D140" s="2">
        <v>65.99</v>
      </c>
      <c r="E140" s="2">
        <v>247.0</v>
      </c>
      <c r="F140" s="1" t="s">
        <v>352</v>
      </c>
      <c r="G140" s="1" t="s">
        <v>32</v>
      </c>
      <c r="H140" s="1" t="s">
        <v>46</v>
      </c>
      <c r="I140" s="1" t="s">
        <v>85</v>
      </c>
      <c r="J140" s="1">
        <v>252.0</v>
      </c>
      <c r="K140" s="19" t="s">
        <v>229</v>
      </c>
      <c r="L140" s="20" t="s">
        <v>27</v>
      </c>
      <c r="M140" s="21">
        <f t="shared" si="1"/>
        <v>1</v>
      </c>
      <c r="N140" s="2">
        <v>-3.332</v>
      </c>
      <c r="O140" s="2">
        <v>14.0</v>
      </c>
      <c r="P140" s="2">
        <v>792.11</v>
      </c>
      <c r="Q140" s="2">
        <v>89139.0</v>
      </c>
      <c r="R140" s="15" t="b">
        <f>ISNUMBER(MATCH(Q140,'Returned order'!A:A,0))</f>
        <v>0</v>
      </c>
      <c r="S140" s="22">
        <v>42058.0</v>
      </c>
      <c r="T140" s="15"/>
      <c r="U140" s="15"/>
      <c r="V140" s="15"/>
    </row>
    <row r="141">
      <c r="A141" s="2">
        <v>18842.0</v>
      </c>
      <c r="B141" s="1" t="s">
        <v>63</v>
      </c>
      <c r="C141" s="2">
        <v>0.09</v>
      </c>
      <c r="D141" s="2">
        <v>2.88</v>
      </c>
      <c r="E141" s="2">
        <v>247.0</v>
      </c>
      <c r="F141" s="1" t="s">
        <v>352</v>
      </c>
      <c r="G141" s="1" t="s">
        <v>32</v>
      </c>
      <c r="H141" s="1" t="s">
        <v>23</v>
      </c>
      <c r="I141" s="1" t="s">
        <v>130</v>
      </c>
      <c r="J141" s="1" t="s">
        <v>354</v>
      </c>
      <c r="K141" s="19" t="s">
        <v>229</v>
      </c>
      <c r="L141" s="20" t="s">
        <v>53</v>
      </c>
      <c r="M141" s="21">
        <f t="shared" si="1"/>
        <v>6</v>
      </c>
      <c r="N141" s="2">
        <v>-145.082</v>
      </c>
      <c r="O141" s="2">
        <v>10.0</v>
      </c>
      <c r="P141" s="2">
        <v>28.73</v>
      </c>
      <c r="Q141" s="2">
        <v>89140.0</v>
      </c>
      <c r="R141" s="15" t="b">
        <f>ISNUMBER(MATCH(Q141,'Returned order'!A:A,0))</f>
        <v>0</v>
      </c>
      <c r="S141" s="22">
        <v>42084.0</v>
      </c>
      <c r="T141" s="15"/>
      <c r="U141" s="15"/>
      <c r="V141" s="15"/>
    </row>
    <row r="142">
      <c r="A142" s="2">
        <v>18773.0</v>
      </c>
      <c r="B142" s="1" t="s">
        <v>58</v>
      </c>
      <c r="C142" s="2">
        <v>0.02</v>
      </c>
      <c r="D142" s="2">
        <v>2.58</v>
      </c>
      <c r="E142" s="2">
        <v>250.0</v>
      </c>
      <c r="F142" s="1" t="s">
        <v>355</v>
      </c>
      <c r="G142" s="1" t="s">
        <v>32</v>
      </c>
      <c r="H142" s="1" t="s">
        <v>23</v>
      </c>
      <c r="I142" s="1" t="s">
        <v>29</v>
      </c>
      <c r="J142" s="1" t="s">
        <v>356</v>
      </c>
      <c r="K142" s="19" t="s">
        <v>68</v>
      </c>
      <c r="L142" s="20" t="s">
        <v>70</v>
      </c>
      <c r="M142" s="21">
        <f t="shared" si="1"/>
        <v>4</v>
      </c>
      <c r="N142" s="2">
        <v>1.108</v>
      </c>
      <c r="O142" s="2">
        <v>39.0</v>
      </c>
      <c r="P142" s="2">
        <v>109.74</v>
      </c>
      <c r="Q142" s="2">
        <v>87214.0</v>
      </c>
      <c r="R142" s="15" t="b">
        <f>ISNUMBER(MATCH(Q142,'Returned order'!A:A,0))</f>
        <v>0</v>
      </c>
      <c r="S142" s="22">
        <v>42152.0</v>
      </c>
      <c r="T142" s="15"/>
      <c r="U142" s="15"/>
      <c r="V142" s="15"/>
    </row>
    <row r="143">
      <c r="A143" s="2">
        <v>18774.0</v>
      </c>
      <c r="B143" s="1" t="s">
        <v>58</v>
      </c>
      <c r="C143" s="2">
        <v>0.02</v>
      </c>
      <c r="D143" s="2">
        <v>65.99</v>
      </c>
      <c r="E143" s="2">
        <v>250.0</v>
      </c>
      <c r="F143" s="1" t="s">
        <v>355</v>
      </c>
      <c r="G143" s="1" t="s">
        <v>32</v>
      </c>
      <c r="H143" s="1" t="s">
        <v>46</v>
      </c>
      <c r="I143" s="1" t="s">
        <v>85</v>
      </c>
      <c r="J143" s="1" t="s">
        <v>357</v>
      </c>
      <c r="K143" s="19" t="s">
        <v>68</v>
      </c>
      <c r="L143" s="20" t="s">
        <v>70</v>
      </c>
      <c r="M143" s="21">
        <f t="shared" si="1"/>
        <v>4</v>
      </c>
      <c r="N143" s="2">
        <v>1061.379</v>
      </c>
      <c r="O143" s="2">
        <v>27.0</v>
      </c>
      <c r="P143" s="2">
        <v>1543.55</v>
      </c>
      <c r="Q143" s="2">
        <v>87214.0</v>
      </c>
      <c r="R143" s="15" t="b">
        <f>ISNUMBER(MATCH(Q143,'Returned order'!A:A,0))</f>
        <v>0</v>
      </c>
      <c r="S143" s="22">
        <v>42152.0</v>
      </c>
      <c r="T143" s="15"/>
      <c r="U143" s="15"/>
      <c r="V143" s="15"/>
    </row>
    <row r="144">
      <c r="A144" s="2">
        <v>18801.0</v>
      </c>
      <c r="B144" s="1" t="s">
        <v>63</v>
      </c>
      <c r="C144" s="2">
        <v>0.1</v>
      </c>
      <c r="D144" s="2">
        <v>280.98</v>
      </c>
      <c r="E144" s="2">
        <v>254.0</v>
      </c>
      <c r="F144" s="1" t="s">
        <v>358</v>
      </c>
      <c r="G144" s="1" t="s">
        <v>51</v>
      </c>
      <c r="H144" s="1" t="s">
        <v>37</v>
      </c>
      <c r="I144" s="1" t="s">
        <v>73</v>
      </c>
      <c r="J144" s="1" t="s">
        <v>359</v>
      </c>
      <c r="K144" s="19" t="s">
        <v>34</v>
      </c>
      <c r="L144" s="20" t="s">
        <v>35</v>
      </c>
      <c r="M144" s="21">
        <f t="shared" si="1"/>
        <v>3</v>
      </c>
      <c r="N144" s="2">
        <v>-53.745</v>
      </c>
      <c r="O144" s="2">
        <v>5.0</v>
      </c>
      <c r="P144" s="2">
        <v>1332.82</v>
      </c>
      <c r="Q144" s="2">
        <v>86268.0</v>
      </c>
      <c r="R144" s="15" t="b">
        <f>ISNUMBER(MATCH(Q144,'Returned order'!A:A,0))</f>
        <v>0</v>
      </c>
      <c r="S144" s="22">
        <v>42165.0</v>
      </c>
      <c r="T144" s="15"/>
      <c r="U144" s="15"/>
      <c r="V144" s="15"/>
    </row>
    <row r="145">
      <c r="A145" s="2">
        <v>20577.0</v>
      </c>
      <c r="B145" s="1" t="s">
        <v>58</v>
      </c>
      <c r="C145" s="2">
        <v>0.03</v>
      </c>
      <c r="D145" s="2">
        <v>8.34</v>
      </c>
      <c r="E145" s="2">
        <v>256.0</v>
      </c>
      <c r="F145" s="1" t="s">
        <v>360</v>
      </c>
      <c r="G145" s="1" t="s">
        <v>51</v>
      </c>
      <c r="H145" s="1" t="s">
        <v>23</v>
      </c>
      <c r="I145" s="1" t="s">
        <v>257</v>
      </c>
      <c r="J145" s="1" t="s">
        <v>361</v>
      </c>
      <c r="K145" s="19" t="s">
        <v>26</v>
      </c>
      <c r="L145" s="20" t="s">
        <v>53</v>
      </c>
      <c r="M145" s="21">
        <f t="shared" si="1"/>
        <v>6</v>
      </c>
      <c r="N145" s="2">
        <v>0.684</v>
      </c>
      <c r="O145" s="2">
        <v>4.0</v>
      </c>
      <c r="P145" s="2">
        <v>34.64</v>
      </c>
      <c r="Q145" s="2">
        <v>86267.0</v>
      </c>
      <c r="R145" s="15" t="b">
        <f>ISNUMBER(MATCH(Q145,'Returned order'!A:A,0))</f>
        <v>0</v>
      </c>
      <c r="S145" s="22">
        <v>42035.0</v>
      </c>
      <c r="T145" s="15"/>
      <c r="U145" s="15"/>
      <c r="V145" s="15"/>
    </row>
    <row r="146">
      <c r="A146" s="2">
        <v>24498.0</v>
      </c>
      <c r="B146" s="1" t="s">
        <v>63</v>
      </c>
      <c r="C146" s="2">
        <v>0.05</v>
      </c>
      <c r="D146" s="2">
        <v>17.48</v>
      </c>
      <c r="E146" s="2">
        <v>258.0</v>
      </c>
      <c r="F146" s="1" t="s">
        <v>362</v>
      </c>
      <c r="G146" s="1" t="s">
        <v>22</v>
      </c>
      <c r="H146" s="1" t="s">
        <v>46</v>
      </c>
      <c r="I146" s="1" t="s">
        <v>47</v>
      </c>
      <c r="J146" s="1" t="s">
        <v>363</v>
      </c>
      <c r="K146" s="19" t="s">
        <v>229</v>
      </c>
      <c r="L146" s="20" t="s">
        <v>76</v>
      </c>
      <c r="M146" s="21">
        <f t="shared" si="1"/>
        <v>5</v>
      </c>
      <c r="N146" s="2">
        <v>-127.008</v>
      </c>
      <c r="O146" s="2">
        <v>3.0</v>
      </c>
      <c r="P146" s="2">
        <v>52.47</v>
      </c>
      <c r="Q146" s="2">
        <v>85858.0</v>
      </c>
      <c r="R146" s="15" t="b">
        <f>ISNUMBER(MATCH(Q146,'Returned order'!A:A,0))</f>
        <v>0</v>
      </c>
      <c r="S146" s="22">
        <v>42006.0</v>
      </c>
      <c r="T146" s="15"/>
      <c r="U146" s="15"/>
      <c r="V146" s="15"/>
    </row>
    <row r="147">
      <c r="A147" s="2">
        <v>18011.0</v>
      </c>
      <c r="B147" s="1" t="s">
        <v>170</v>
      </c>
      <c r="C147" s="2">
        <v>0.09</v>
      </c>
      <c r="D147" s="2">
        <v>2.88</v>
      </c>
      <c r="E147" s="2">
        <v>259.0</v>
      </c>
      <c r="F147" s="1" t="s">
        <v>364</v>
      </c>
      <c r="G147" s="1" t="s">
        <v>22</v>
      </c>
      <c r="H147" s="1" t="s">
        <v>23</v>
      </c>
      <c r="I147" s="1" t="s">
        <v>29</v>
      </c>
      <c r="J147" s="1" t="s">
        <v>365</v>
      </c>
      <c r="K147" s="19" t="s">
        <v>34</v>
      </c>
      <c r="L147" s="20" t="s">
        <v>27</v>
      </c>
      <c r="M147" s="21">
        <f t="shared" si="1"/>
        <v>1</v>
      </c>
      <c r="N147" s="2">
        <v>5.7532</v>
      </c>
      <c r="O147" s="2">
        <v>10.0</v>
      </c>
      <c r="P147" s="2">
        <v>26.38</v>
      </c>
      <c r="Q147" s="2">
        <v>85857.0</v>
      </c>
      <c r="R147" s="15" t="b">
        <f>ISNUMBER(MATCH(Q147,'Returned order'!A:A,0))</f>
        <v>0</v>
      </c>
      <c r="S147" s="22">
        <v>42023.0</v>
      </c>
      <c r="T147" s="15"/>
      <c r="U147" s="15"/>
      <c r="V147" s="15"/>
    </row>
    <row r="148">
      <c r="A148" s="2">
        <v>22370.0</v>
      </c>
      <c r="B148" s="1" t="s">
        <v>28</v>
      </c>
      <c r="C148" s="2">
        <v>0.05</v>
      </c>
      <c r="D148" s="2">
        <v>31.76</v>
      </c>
      <c r="E148" s="2">
        <v>263.0</v>
      </c>
      <c r="F148" s="1" t="s">
        <v>366</v>
      </c>
      <c r="G148" s="1" t="s">
        <v>66</v>
      </c>
      <c r="H148" s="1" t="s">
        <v>37</v>
      </c>
      <c r="I148" s="1" t="s">
        <v>73</v>
      </c>
      <c r="J148" s="1" t="s">
        <v>367</v>
      </c>
      <c r="K148" s="19" t="s">
        <v>26</v>
      </c>
      <c r="L148" s="20" t="s">
        <v>35</v>
      </c>
      <c r="M148" s="21">
        <f t="shared" si="1"/>
        <v>3</v>
      </c>
      <c r="N148" s="2">
        <v>-2177.986096</v>
      </c>
      <c r="O148" s="2">
        <v>9.0</v>
      </c>
      <c r="P148" s="2">
        <v>304.34</v>
      </c>
      <c r="Q148" s="2">
        <v>86297.0</v>
      </c>
      <c r="R148" s="15" t="b">
        <f>ISNUMBER(MATCH(Q148,'Returned order'!A:A,0))</f>
        <v>0</v>
      </c>
      <c r="S148" s="22">
        <v>42025.0</v>
      </c>
      <c r="T148" s="15"/>
      <c r="U148" s="15"/>
      <c r="V148" s="15"/>
    </row>
    <row r="149">
      <c r="A149" s="2">
        <v>20858.0</v>
      </c>
      <c r="B149" s="1" t="s">
        <v>49</v>
      </c>
      <c r="C149" s="2">
        <v>0.0</v>
      </c>
      <c r="D149" s="2">
        <v>73.98</v>
      </c>
      <c r="E149" s="2">
        <v>266.0</v>
      </c>
      <c r="F149" s="1" t="s">
        <v>368</v>
      </c>
      <c r="G149" s="1" t="s">
        <v>32</v>
      </c>
      <c r="H149" s="1" t="s">
        <v>46</v>
      </c>
      <c r="I149" s="1" t="s">
        <v>47</v>
      </c>
      <c r="J149" s="1" t="s">
        <v>242</v>
      </c>
      <c r="K149" s="19" t="s">
        <v>68</v>
      </c>
      <c r="L149" s="20" t="s">
        <v>27</v>
      </c>
      <c r="M149" s="21">
        <f t="shared" si="1"/>
        <v>1</v>
      </c>
      <c r="N149" s="2">
        <v>326.25</v>
      </c>
      <c r="O149" s="2">
        <v>17.0</v>
      </c>
      <c r="P149" s="2">
        <v>1300.81</v>
      </c>
      <c r="Q149" s="2">
        <v>90593.0</v>
      </c>
      <c r="R149" s="15" t="b">
        <f>ISNUMBER(MATCH(Q149,'Returned order'!A:A,0))</f>
        <v>0</v>
      </c>
      <c r="S149" s="22">
        <v>42142.0</v>
      </c>
      <c r="T149" s="15"/>
      <c r="U149" s="15"/>
      <c r="V149" s="15"/>
    </row>
    <row r="150">
      <c r="A150" s="2">
        <v>19823.0</v>
      </c>
      <c r="B150" s="1" t="s">
        <v>63</v>
      </c>
      <c r="C150" s="2">
        <v>0.08</v>
      </c>
      <c r="D150" s="2">
        <v>6.48</v>
      </c>
      <c r="E150" s="2">
        <v>266.0</v>
      </c>
      <c r="F150" s="1" t="s">
        <v>368</v>
      </c>
      <c r="G150" s="1" t="s">
        <v>32</v>
      </c>
      <c r="H150" s="1" t="s">
        <v>23</v>
      </c>
      <c r="I150" s="1" t="s">
        <v>93</v>
      </c>
      <c r="J150" s="1" t="s">
        <v>369</v>
      </c>
      <c r="K150" s="19" t="s">
        <v>68</v>
      </c>
      <c r="L150" s="20" t="s">
        <v>76</v>
      </c>
      <c r="M150" s="21">
        <f t="shared" si="1"/>
        <v>5</v>
      </c>
      <c r="N150" s="2">
        <v>8.932</v>
      </c>
      <c r="O150" s="2">
        <v>10.0</v>
      </c>
      <c r="P150" s="2">
        <v>67.86</v>
      </c>
      <c r="Q150" s="2">
        <v>90594.0</v>
      </c>
      <c r="R150" s="15" t="b">
        <f>ISNUMBER(MATCH(Q150,'Returned order'!A:A,0))</f>
        <v>0</v>
      </c>
      <c r="S150" s="22">
        <v>42139.0</v>
      </c>
      <c r="T150" s="15"/>
      <c r="U150" s="15"/>
      <c r="V150" s="15"/>
    </row>
    <row r="151">
      <c r="A151" s="2">
        <v>19824.0</v>
      </c>
      <c r="B151" s="1" t="s">
        <v>63</v>
      </c>
      <c r="C151" s="2">
        <v>0.01</v>
      </c>
      <c r="D151" s="2">
        <v>20.34</v>
      </c>
      <c r="E151" s="2">
        <v>266.0</v>
      </c>
      <c r="F151" s="1" t="s">
        <v>368</v>
      </c>
      <c r="G151" s="1" t="s">
        <v>32</v>
      </c>
      <c r="H151" s="1" t="s">
        <v>23</v>
      </c>
      <c r="I151" s="1" t="s">
        <v>120</v>
      </c>
      <c r="J151" s="1" t="s">
        <v>121</v>
      </c>
      <c r="K151" s="19" t="s">
        <v>68</v>
      </c>
      <c r="L151" s="20" t="s">
        <v>76</v>
      </c>
      <c r="M151" s="21">
        <f t="shared" si="1"/>
        <v>5</v>
      </c>
      <c r="N151" s="2">
        <v>229.638</v>
      </c>
      <c r="O151" s="2">
        <v>33.0</v>
      </c>
      <c r="P151" s="2">
        <v>747.28</v>
      </c>
      <c r="Q151" s="2">
        <v>90594.0</v>
      </c>
      <c r="R151" s="15" t="b">
        <f>ISNUMBER(MATCH(Q151,'Returned order'!A:A,0))</f>
        <v>0</v>
      </c>
      <c r="S151" s="22">
        <v>42139.0</v>
      </c>
      <c r="T151" s="15"/>
      <c r="U151" s="15"/>
      <c r="V151" s="15"/>
    </row>
    <row r="152">
      <c r="A152" s="2">
        <v>18770.0</v>
      </c>
      <c r="B152" s="1" t="s">
        <v>170</v>
      </c>
      <c r="C152" s="2">
        <v>0.02</v>
      </c>
      <c r="D152" s="2">
        <v>5.58</v>
      </c>
      <c r="E152" s="2">
        <v>268.0</v>
      </c>
      <c r="F152" s="1" t="s">
        <v>370</v>
      </c>
      <c r="G152" s="1" t="s">
        <v>51</v>
      </c>
      <c r="H152" s="1" t="s">
        <v>23</v>
      </c>
      <c r="I152" s="1" t="s">
        <v>88</v>
      </c>
      <c r="J152" s="1" t="s">
        <v>371</v>
      </c>
      <c r="K152" s="19" t="s">
        <v>34</v>
      </c>
      <c r="L152" s="20" t="s">
        <v>57</v>
      </c>
      <c r="M152" s="21">
        <f t="shared" si="1"/>
        <v>2</v>
      </c>
      <c r="N152" s="2">
        <v>-22.48</v>
      </c>
      <c r="O152" s="2">
        <v>3.0</v>
      </c>
      <c r="P152" s="2">
        <v>18.67</v>
      </c>
      <c r="Q152" s="2">
        <v>88941.0</v>
      </c>
      <c r="R152" s="15" t="b">
        <f>ISNUMBER(MATCH(Q152,'Returned order'!A:A,0))</f>
        <v>0</v>
      </c>
      <c r="S152" s="22">
        <v>42101.0</v>
      </c>
      <c r="T152" s="15"/>
      <c r="U152" s="15"/>
      <c r="V152" s="15"/>
    </row>
    <row r="153">
      <c r="A153" s="2">
        <v>18771.0</v>
      </c>
      <c r="B153" s="1" t="s">
        <v>170</v>
      </c>
      <c r="C153" s="2">
        <v>0.03</v>
      </c>
      <c r="D153" s="2">
        <v>40.89</v>
      </c>
      <c r="E153" s="2">
        <v>268.0</v>
      </c>
      <c r="F153" s="1" t="s">
        <v>370</v>
      </c>
      <c r="G153" s="1" t="s">
        <v>51</v>
      </c>
      <c r="H153" s="1" t="s">
        <v>37</v>
      </c>
      <c r="I153" s="1" t="s">
        <v>42</v>
      </c>
      <c r="J153" s="1" t="s">
        <v>372</v>
      </c>
      <c r="K153" s="19" t="s">
        <v>34</v>
      </c>
      <c r="L153" s="20" t="s">
        <v>57</v>
      </c>
      <c r="M153" s="21">
        <f t="shared" si="1"/>
        <v>2</v>
      </c>
      <c r="N153" s="2">
        <v>78.98</v>
      </c>
      <c r="O153" s="2">
        <v>5.0</v>
      </c>
      <c r="P153" s="2">
        <v>210.77</v>
      </c>
      <c r="Q153" s="2">
        <v>88941.0</v>
      </c>
      <c r="R153" s="15" t="b">
        <f>ISNUMBER(MATCH(Q153,'Returned order'!A:A,0))</f>
        <v>0</v>
      </c>
      <c r="S153" s="22">
        <v>42101.0</v>
      </c>
      <c r="T153" s="15"/>
      <c r="U153" s="15"/>
      <c r="V153" s="15"/>
    </row>
    <row r="154">
      <c r="A154" s="2">
        <v>23059.0</v>
      </c>
      <c r="B154" s="1" t="s">
        <v>170</v>
      </c>
      <c r="C154" s="2">
        <v>0.09</v>
      </c>
      <c r="D154" s="2">
        <v>35.94</v>
      </c>
      <c r="E154" s="2">
        <v>269.0</v>
      </c>
      <c r="F154" s="1" t="s">
        <v>373</v>
      </c>
      <c r="G154" s="1" t="s">
        <v>51</v>
      </c>
      <c r="H154" s="1" t="s">
        <v>23</v>
      </c>
      <c r="I154" s="1" t="s">
        <v>88</v>
      </c>
      <c r="J154" s="1" t="s">
        <v>95</v>
      </c>
      <c r="K154" s="19" t="s">
        <v>34</v>
      </c>
      <c r="L154" s="20" t="s">
        <v>76</v>
      </c>
      <c r="M154" s="21">
        <f t="shared" si="1"/>
        <v>5</v>
      </c>
      <c r="N154" s="2">
        <v>144.2928</v>
      </c>
      <c r="O154" s="2">
        <v>6.0</v>
      </c>
      <c r="P154" s="2">
        <v>209.12</v>
      </c>
      <c r="Q154" s="2">
        <v>88942.0</v>
      </c>
      <c r="R154" s="15" t="b">
        <f>ISNUMBER(MATCH(Q154,'Returned order'!A:A,0))</f>
        <v>0</v>
      </c>
      <c r="S154" s="22">
        <v>42160.0</v>
      </c>
      <c r="T154" s="15"/>
      <c r="U154" s="15"/>
      <c r="V154" s="15"/>
    </row>
    <row r="155">
      <c r="A155" s="2">
        <v>23060.0</v>
      </c>
      <c r="B155" s="1" t="s">
        <v>170</v>
      </c>
      <c r="C155" s="2">
        <v>0.0</v>
      </c>
      <c r="D155" s="2">
        <v>170.98</v>
      </c>
      <c r="E155" s="2">
        <v>269.0</v>
      </c>
      <c r="F155" s="1" t="s">
        <v>373</v>
      </c>
      <c r="G155" s="1" t="s">
        <v>51</v>
      </c>
      <c r="H155" s="1" t="s">
        <v>37</v>
      </c>
      <c r="I155" s="1" t="s">
        <v>42</v>
      </c>
      <c r="J155" s="1" t="s">
        <v>374</v>
      </c>
      <c r="K155" s="19" t="s">
        <v>34</v>
      </c>
      <c r="L155" s="20" t="s">
        <v>76</v>
      </c>
      <c r="M155" s="21">
        <f t="shared" si="1"/>
        <v>5</v>
      </c>
      <c r="N155" s="2">
        <v>888.1473</v>
      </c>
      <c r="O155" s="2">
        <v>7.0</v>
      </c>
      <c r="P155" s="2">
        <v>1287.17</v>
      </c>
      <c r="Q155" s="2">
        <v>88942.0</v>
      </c>
      <c r="R155" s="15" t="b">
        <f>ISNUMBER(MATCH(Q155,'Returned order'!A:A,0))</f>
        <v>0</v>
      </c>
      <c r="S155" s="22">
        <v>42160.0</v>
      </c>
      <c r="T155" s="15"/>
      <c r="U155" s="15"/>
      <c r="V155" s="15"/>
    </row>
    <row r="156">
      <c r="A156" s="2">
        <v>23061.0</v>
      </c>
      <c r="B156" s="1" t="s">
        <v>170</v>
      </c>
      <c r="C156" s="2">
        <v>0.09</v>
      </c>
      <c r="D156" s="2">
        <v>4.98</v>
      </c>
      <c r="E156" s="2">
        <v>269.0</v>
      </c>
      <c r="F156" s="1" t="s">
        <v>373</v>
      </c>
      <c r="G156" s="1" t="s">
        <v>51</v>
      </c>
      <c r="H156" s="1" t="s">
        <v>23</v>
      </c>
      <c r="I156" s="1" t="s">
        <v>93</v>
      </c>
      <c r="J156" s="1" t="s">
        <v>375</v>
      </c>
      <c r="K156" s="19" t="s">
        <v>34</v>
      </c>
      <c r="L156" s="20" t="s">
        <v>76</v>
      </c>
      <c r="M156" s="21">
        <f t="shared" si="1"/>
        <v>5</v>
      </c>
      <c r="N156" s="2">
        <v>-46.005</v>
      </c>
      <c r="O156" s="2">
        <v>9.0</v>
      </c>
      <c r="P156" s="2">
        <v>46.17</v>
      </c>
      <c r="Q156" s="2">
        <v>88942.0</v>
      </c>
      <c r="R156" s="15" t="b">
        <f>ISNUMBER(MATCH(Q156,'Returned order'!A:A,0))</f>
        <v>0</v>
      </c>
      <c r="S156" s="22">
        <v>42160.0</v>
      </c>
      <c r="T156" s="15"/>
      <c r="U156" s="15"/>
      <c r="V156" s="15"/>
    </row>
    <row r="157">
      <c r="A157" s="2">
        <v>19515.0</v>
      </c>
      <c r="B157" s="1" t="s">
        <v>63</v>
      </c>
      <c r="C157" s="2">
        <v>0.1</v>
      </c>
      <c r="D157" s="2">
        <v>80.97</v>
      </c>
      <c r="E157" s="2">
        <v>271.0</v>
      </c>
      <c r="F157" s="1" t="s">
        <v>376</v>
      </c>
      <c r="G157" s="1" t="s">
        <v>66</v>
      </c>
      <c r="H157" s="1" t="s">
        <v>46</v>
      </c>
      <c r="I157" s="1" t="s">
        <v>103</v>
      </c>
      <c r="J157" s="1" t="s">
        <v>377</v>
      </c>
      <c r="K157" s="19" t="s">
        <v>229</v>
      </c>
      <c r="L157" s="20" t="s">
        <v>27</v>
      </c>
      <c r="M157" s="21">
        <f t="shared" si="1"/>
        <v>1</v>
      </c>
      <c r="N157" s="2">
        <v>128.0253</v>
      </c>
      <c r="O157" s="2">
        <v>12.0</v>
      </c>
      <c r="P157" s="2">
        <v>899.81</v>
      </c>
      <c r="Q157" s="2">
        <v>88940.0</v>
      </c>
      <c r="R157" s="15" t="b">
        <f>ISNUMBER(MATCH(Q157,'Returned order'!A:A,0))</f>
        <v>0</v>
      </c>
      <c r="S157" s="22">
        <v>42093.0</v>
      </c>
      <c r="T157" s="15"/>
      <c r="U157" s="15"/>
      <c r="V157" s="15"/>
    </row>
    <row r="158">
      <c r="A158" s="2">
        <v>770.0</v>
      </c>
      <c r="B158" s="1" t="s">
        <v>170</v>
      </c>
      <c r="C158" s="2">
        <v>0.02</v>
      </c>
      <c r="D158" s="2">
        <v>5.58</v>
      </c>
      <c r="E158" s="2">
        <v>272.0</v>
      </c>
      <c r="F158" s="1" t="s">
        <v>378</v>
      </c>
      <c r="G158" s="1" t="s">
        <v>51</v>
      </c>
      <c r="H158" s="1" t="s">
        <v>23</v>
      </c>
      <c r="I158" s="1" t="s">
        <v>88</v>
      </c>
      <c r="J158" s="1" t="s">
        <v>371</v>
      </c>
      <c r="K158" s="19" t="s">
        <v>229</v>
      </c>
      <c r="L158" s="20" t="s">
        <v>57</v>
      </c>
      <c r="M158" s="21">
        <f t="shared" si="1"/>
        <v>2</v>
      </c>
      <c r="N158" s="2">
        <v>-29.8984</v>
      </c>
      <c r="O158" s="2">
        <v>11.0</v>
      </c>
      <c r="P158" s="2">
        <v>68.46</v>
      </c>
      <c r="Q158" s="2">
        <v>5509.0</v>
      </c>
      <c r="R158" s="15" t="b">
        <f>ISNUMBER(MATCH(Q158,'Returned order'!A:A,0))</f>
        <v>0</v>
      </c>
      <c r="S158" s="22">
        <v>42101.0</v>
      </c>
      <c r="T158" s="15"/>
      <c r="U158" s="15"/>
      <c r="V158" s="15"/>
    </row>
    <row r="159">
      <c r="A159" s="2">
        <v>771.0</v>
      </c>
      <c r="B159" s="1" t="s">
        <v>170</v>
      </c>
      <c r="C159" s="2">
        <v>0.03</v>
      </c>
      <c r="D159" s="2">
        <v>40.89</v>
      </c>
      <c r="E159" s="2">
        <v>272.0</v>
      </c>
      <c r="F159" s="1" t="s">
        <v>378</v>
      </c>
      <c r="G159" s="1" t="s">
        <v>51</v>
      </c>
      <c r="H159" s="1" t="s">
        <v>37</v>
      </c>
      <c r="I159" s="1" t="s">
        <v>42</v>
      </c>
      <c r="J159" s="1" t="s">
        <v>372</v>
      </c>
      <c r="K159" s="19" t="s">
        <v>229</v>
      </c>
      <c r="L159" s="20" t="s">
        <v>57</v>
      </c>
      <c r="M159" s="21">
        <f t="shared" si="1"/>
        <v>2</v>
      </c>
      <c r="N159" s="2">
        <v>52.9166</v>
      </c>
      <c r="O159" s="2">
        <v>21.0</v>
      </c>
      <c r="P159" s="2">
        <v>885.23</v>
      </c>
      <c r="Q159" s="2">
        <v>5509.0</v>
      </c>
      <c r="R159" s="15" t="b">
        <f>ISNUMBER(MATCH(Q159,'Returned order'!A:A,0))</f>
        <v>0</v>
      </c>
      <c r="S159" s="22">
        <v>42101.0</v>
      </c>
      <c r="T159" s="15"/>
      <c r="U159" s="15"/>
      <c r="V159" s="15"/>
    </row>
    <row r="160">
      <c r="A160" s="2">
        <v>5059.0</v>
      </c>
      <c r="B160" s="1" t="s">
        <v>170</v>
      </c>
      <c r="C160" s="2">
        <v>0.09</v>
      </c>
      <c r="D160" s="2">
        <v>35.94</v>
      </c>
      <c r="E160" s="2">
        <v>272.0</v>
      </c>
      <c r="F160" s="1" t="s">
        <v>378</v>
      </c>
      <c r="G160" s="1" t="s">
        <v>51</v>
      </c>
      <c r="H160" s="1" t="s">
        <v>23</v>
      </c>
      <c r="I160" s="1" t="s">
        <v>88</v>
      </c>
      <c r="J160" s="1" t="s">
        <v>95</v>
      </c>
      <c r="K160" s="19" t="s">
        <v>229</v>
      </c>
      <c r="L160" s="20" t="s">
        <v>76</v>
      </c>
      <c r="M160" s="21">
        <f t="shared" si="1"/>
        <v>5</v>
      </c>
      <c r="N160" s="2">
        <v>72.1858</v>
      </c>
      <c r="O160" s="2">
        <v>24.0</v>
      </c>
      <c r="P160" s="2">
        <v>836.47</v>
      </c>
      <c r="Q160" s="2">
        <v>36069.0</v>
      </c>
      <c r="R160" s="15" t="b">
        <f>ISNUMBER(MATCH(Q160,'Returned order'!A:A,0))</f>
        <v>0</v>
      </c>
      <c r="S160" s="22">
        <v>42160.0</v>
      </c>
      <c r="T160" s="15"/>
      <c r="U160" s="15"/>
      <c r="V160" s="15"/>
    </row>
    <row r="161">
      <c r="A161" s="2">
        <v>5061.0</v>
      </c>
      <c r="B161" s="1" t="s">
        <v>170</v>
      </c>
      <c r="C161" s="2">
        <v>0.09</v>
      </c>
      <c r="D161" s="2">
        <v>4.98</v>
      </c>
      <c r="E161" s="2">
        <v>272.0</v>
      </c>
      <c r="F161" s="1" t="s">
        <v>378</v>
      </c>
      <c r="G161" s="1" t="s">
        <v>51</v>
      </c>
      <c r="H161" s="1" t="s">
        <v>23</v>
      </c>
      <c r="I161" s="1" t="s">
        <v>93</v>
      </c>
      <c r="J161" s="1" t="s">
        <v>375</v>
      </c>
      <c r="K161" s="19" t="s">
        <v>229</v>
      </c>
      <c r="L161" s="20" t="s">
        <v>76</v>
      </c>
      <c r="M161" s="21">
        <f t="shared" si="1"/>
        <v>5</v>
      </c>
      <c r="N161" s="2">
        <v>-122.3733</v>
      </c>
      <c r="O161" s="2">
        <v>37.0</v>
      </c>
      <c r="P161" s="2">
        <v>189.83</v>
      </c>
      <c r="Q161" s="2">
        <v>36069.0</v>
      </c>
      <c r="R161" s="15" t="b">
        <f>ISNUMBER(MATCH(Q161,'Returned order'!A:A,0))</f>
        <v>0</v>
      </c>
      <c r="S161" s="22">
        <v>42160.0</v>
      </c>
      <c r="T161" s="15"/>
      <c r="U161" s="15"/>
      <c r="V161" s="15"/>
    </row>
    <row r="162">
      <c r="A162" s="2">
        <v>22180.0</v>
      </c>
      <c r="B162" s="1" t="s">
        <v>49</v>
      </c>
      <c r="C162" s="2">
        <v>0.09</v>
      </c>
      <c r="D162" s="2">
        <v>15.28</v>
      </c>
      <c r="E162" s="2">
        <v>275.0</v>
      </c>
      <c r="F162" s="1" t="s">
        <v>379</v>
      </c>
      <c r="G162" s="1" t="s">
        <v>32</v>
      </c>
      <c r="H162" s="1" t="s">
        <v>23</v>
      </c>
      <c r="I162" s="1" t="s">
        <v>24</v>
      </c>
      <c r="J162" s="1" t="s">
        <v>380</v>
      </c>
      <c r="K162" s="19" t="s">
        <v>26</v>
      </c>
      <c r="L162" s="20" t="s">
        <v>53</v>
      </c>
      <c r="M162" s="21">
        <f t="shared" si="1"/>
        <v>6</v>
      </c>
      <c r="N162" s="2">
        <v>-51.75</v>
      </c>
      <c r="O162" s="2">
        <v>4.0</v>
      </c>
      <c r="P162" s="2">
        <v>61.52</v>
      </c>
      <c r="Q162" s="2">
        <v>89292.0</v>
      </c>
      <c r="R162" s="15" t="b">
        <f>ISNUMBER(MATCH(Q162,'Returned order'!A:A,0))</f>
        <v>0</v>
      </c>
      <c r="S162" s="22">
        <v>42028.0</v>
      </c>
      <c r="T162" s="15"/>
      <c r="U162" s="15"/>
      <c r="V162" s="15"/>
    </row>
    <row r="163">
      <c r="A163" s="2">
        <v>23504.0</v>
      </c>
      <c r="B163" s="1" t="s">
        <v>58</v>
      </c>
      <c r="C163" s="2">
        <v>0.04</v>
      </c>
      <c r="D163" s="2">
        <v>1.98</v>
      </c>
      <c r="E163" s="2">
        <v>276.0</v>
      </c>
      <c r="F163" s="1" t="s">
        <v>381</v>
      </c>
      <c r="G163" s="1" t="s">
        <v>32</v>
      </c>
      <c r="H163" s="1" t="s">
        <v>23</v>
      </c>
      <c r="I163" s="1" t="s">
        <v>81</v>
      </c>
      <c r="J163" s="1" t="s">
        <v>382</v>
      </c>
      <c r="K163" s="19" t="s">
        <v>26</v>
      </c>
      <c r="L163" s="20" t="s">
        <v>70</v>
      </c>
      <c r="M163" s="21">
        <f t="shared" si="1"/>
        <v>4</v>
      </c>
      <c r="N163" s="2">
        <v>-1.0</v>
      </c>
      <c r="O163" s="2">
        <v>3.0</v>
      </c>
      <c r="P163" s="2">
        <v>8.3</v>
      </c>
      <c r="Q163" s="2">
        <v>89291.0</v>
      </c>
      <c r="R163" s="15" t="b">
        <f>ISNUMBER(MATCH(Q163,'Returned order'!A:A,0))</f>
        <v>0</v>
      </c>
      <c r="S163" s="22">
        <v>42145.0</v>
      </c>
      <c r="T163" s="15"/>
      <c r="U163" s="15"/>
      <c r="V163" s="15"/>
    </row>
    <row r="164">
      <c r="A164" s="2">
        <v>23503.0</v>
      </c>
      <c r="B164" s="1" t="s">
        <v>58</v>
      </c>
      <c r="C164" s="2">
        <v>0.03</v>
      </c>
      <c r="D164" s="2">
        <v>55.99</v>
      </c>
      <c r="E164" s="2">
        <v>282.0</v>
      </c>
      <c r="F164" s="1" t="s">
        <v>383</v>
      </c>
      <c r="G164" s="1" t="s">
        <v>32</v>
      </c>
      <c r="H164" s="1" t="s">
        <v>46</v>
      </c>
      <c r="I164" s="1" t="s">
        <v>85</v>
      </c>
      <c r="J164" s="1" t="s">
        <v>384</v>
      </c>
      <c r="K164" s="19" t="s">
        <v>26</v>
      </c>
      <c r="L164" s="20" t="s">
        <v>70</v>
      </c>
      <c r="M164" s="21">
        <f t="shared" si="1"/>
        <v>4</v>
      </c>
      <c r="N164" s="2">
        <v>-221.254</v>
      </c>
      <c r="O164" s="2">
        <v>9.0</v>
      </c>
      <c r="P164" s="2">
        <v>416.95</v>
      </c>
      <c r="Q164" s="2">
        <v>89291.0</v>
      </c>
      <c r="R164" s="15" t="b">
        <f>ISNUMBER(MATCH(Q164,'Returned order'!A:A,0))</f>
        <v>0</v>
      </c>
      <c r="S164" s="22">
        <v>42145.0</v>
      </c>
      <c r="T164" s="15"/>
      <c r="U164" s="15"/>
      <c r="V164" s="15"/>
    </row>
    <row r="165">
      <c r="A165" s="2">
        <v>24512.0</v>
      </c>
      <c r="B165" s="1" t="s">
        <v>28</v>
      </c>
      <c r="C165" s="2">
        <v>0.1</v>
      </c>
      <c r="D165" s="2">
        <v>1.68</v>
      </c>
      <c r="E165" s="2">
        <v>283.0</v>
      </c>
      <c r="F165" s="1" t="s">
        <v>385</v>
      </c>
      <c r="G165" s="1" t="s">
        <v>32</v>
      </c>
      <c r="H165" s="1" t="s">
        <v>23</v>
      </c>
      <c r="I165" s="1" t="s">
        <v>29</v>
      </c>
      <c r="J165" s="1" t="s">
        <v>141</v>
      </c>
      <c r="K165" s="19" t="s">
        <v>26</v>
      </c>
      <c r="L165" s="20" t="s">
        <v>35</v>
      </c>
      <c r="M165" s="21">
        <f t="shared" si="1"/>
        <v>3</v>
      </c>
      <c r="N165" s="2">
        <v>-11.57</v>
      </c>
      <c r="O165" s="2">
        <v>11.0</v>
      </c>
      <c r="P165" s="2">
        <v>18.71</v>
      </c>
      <c r="Q165" s="2">
        <v>89293.0</v>
      </c>
      <c r="R165" s="15" t="b">
        <f>ISNUMBER(MATCH(Q165,'Returned order'!A:A,0))</f>
        <v>0</v>
      </c>
      <c r="S165" s="22">
        <v>42172.0</v>
      </c>
      <c r="T165" s="15"/>
      <c r="U165" s="15"/>
      <c r="V165" s="15"/>
    </row>
    <row r="166">
      <c r="A166" s="2">
        <v>19168.0</v>
      </c>
      <c r="B166" s="1" t="s">
        <v>170</v>
      </c>
      <c r="C166" s="2">
        <v>0.0</v>
      </c>
      <c r="D166" s="2">
        <v>4.13</v>
      </c>
      <c r="E166" s="2">
        <v>286.0</v>
      </c>
      <c r="F166" s="1" t="s">
        <v>386</v>
      </c>
      <c r="G166" s="1" t="s">
        <v>66</v>
      </c>
      <c r="H166" s="1" t="s">
        <v>23</v>
      </c>
      <c r="I166" s="1" t="s">
        <v>24</v>
      </c>
      <c r="J166" s="1" t="s">
        <v>387</v>
      </c>
      <c r="K166" s="19" t="s">
        <v>68</v>
      </c>
      <c r="L166" s="20" t="s">
        <v>35</v>
      </c>
      <c r="M166" s="21">
        <f t="shared" si="1"/>
        <v>3</v>
      </c>
      <c r="N166" s="2">
        <v>-61.87</v>
      </c>
      <c r="O166" s="2">
        <v>9.0</v>
      </c>
      <c r="P166" s="2">
        <v>40.95</v>
      </c>
      <c r="Q166" s="2">
        <v>89761.0</v>
      </c>
      <c r="R166" s="15" t="b">
        <f>ISNUMBER(MATCH(Q166,'Returned order'!A:A,0))</f>
        <v>0</v>
      </c>
      <c r="S166" s="22">
        <v>42172.0</v>
      </c>
      <c r="T166" s="15"/>
      <c r="U166" s="15"/>
      <c r="V166" s="15"/>
    </row>
    <row r="167">
      <c r="A167" s="2">
        <v>19169.0</v>
      </c>
      <c r="B167" s="1" t="s">
        <v>170</v>
      </c>
      <c r="C167" s="2">
        <v>0.1</v>
      </c>
      <c r="D167" s="2">
        <v>130.98</v>
      </c>
      <c r="E167" s="2">
        <v>286.0</v>
      </c>
      <c r="F167" s="1" t="s">
        <v>386</v>
      </c>
      <c r="G167" s="1" t="s">
        <v>66</v>
      </c>
      <c r="H167" s="1" t="s">
        <v>37</v>
      </c>
      <c r="I167" s="1" t="s">
        <v>55</v>
      </c>
      <c r="J167" s="1" t="s">
        <v>388</v>
      </c>
      <c r="K167" s="19" t="s">
        <v>68</v>
      </c>
      <c r="L167" s="20" t="s">
        <v>35</v>
      </c>
      <c r="M167" s="21">
        <f t="shared" si="1"/>
        <v>3</v>
      </c>
      <c r="N167" s="2">
        <v>-530.24</v>
      </c>
      <c r="O167" s="2">
        <v>9.0</v>
      </c>
      <c r="P167" s="2">
        <v>1155.73</v>
      </c>
      <c r="Q167" s="2">
        <v>89761.0</v>
      </c>
      <c r="R167" s="15" t="b">
        <f>ISNUMBER(MATCH(Q167,'Returned order'!A:A,0))</f>
        <v>0</v>
      </c>
      <c r="S167" s="22">
        <v>42172.0</v>
      </c>
      <c r="T167" s="15"/>
      <c r="U167" s="15"/>
      <c r="V167" s="15"/>
    </row>
    <row r="168">
      <c r="A168" s="2">
        <v>25624.0</v>
      </c>
      <c r="B168" s="1" t="s">
        <v>58</v>
      </c>
      <c r="C168" s="2">
        <v>0.09</v>
      </c>
      <c r="D168" s="2">
        <v>28.48</v>
      </c>
      <c r="E168" s="2">
        <v>288.0</v>
      </c>
      <c r="F168" s="1" t="s">
        <v>389</v>
      </c>
      <c r="G168" s="1" t="s">
        <v>66</v>
      </c>
      <c r="H168" s="1" t="s">
        <v>46</v>
      </c>
      <c r="I168" s="1" t="s">
        <v>47</v>
      </c>
      <c r="J168" s="1" t="s">
        <v>390</v>
      </c>
      <c r="K168" s="19" t="s">
        <v>68</v>
      </c>
      <c r="L168" s="20" t="s">
        <v>76</v>
      </c>
      <c r="M168" s="21">
        <f t="shared" si="1"/>
        <v>5</v>
      </c>
      <c r="N168" s="2">
        <v>132.687</v>
      </c>
      <c r="O168" s="2">
        <v>7.0</v>
      </c>
      <c r="P168" s="2">
        <v>192.3</v>
      </c>
      <c r="Q168" s="2">
        <v>89762.0</v>
      </c>
      <c r="R168" s="15" t="b">
        <f>ISNUMBER(MATCH(Q168,'Returned order'!A:A,0))</f>
        <v>0</v>
      </c>
      <c r="S168" s="22">
        <v>42020.0</v>
      </c>
      <c r="T168" s="15"/>
      <c r="U168" s="15"/>
      <c r="V168" s="15"/>
    </row>
    <row r="169">
      <c r="A169" s="2">
        <v>25625.0</v>
      </c>
      <c r="B169" s="1" t="s">
        <v>58</v>
      </c>
      <c r="C169" s="2">
        <v>0.08</v>
      </c>
      <c r="D169" s="2">
        <v>65.99</v>
      </c>
      <c r="E169" s="2">
        <v>288.0</v>
      </c>
      <c r="F169" s="1" t="s">
        <v>389</v>
      </c>
      <c r="G169" s="1" t="s">
        <v>66</v>
      </c>
      <c r="H169" s="1" t="s">
        <v>46</v>
      </c>
      <c r="I169" s="1" t="s">
        <v>85</v>
      </c>
      <c r="J169" s="1" t="s">
        <v>391</v>
      </c>
      <c r="K169" s="19" t="s">
        <v>68</v>
      </c>
      <c r="L169" s="20" t="s">
        <v>76</v>
      </c>
      <c r="M169" s="21">
        <f t="shared" si="1"/>
        <v>5</v>
      </c>
      <c r="N169" s="2">
        <v>496.89</v>
      </c>
      <c r="O169" s="2">
        <v>14.0</v>
      </c>
      <c r="P169" s="2">
        <v>748.1</v>
      </c>
      <c r="Q169" s="2">
        <v>89762.0</v>
      </c>
      <c r="R169" s="15" t="b">
        <f>ISNUMBER(MATCH(Q169,'Returned order'!A:A,0))</f>
        <v>0</v>
      </c>
      <c r="S169" s="22">
        <v>42020.0</v>
      </c>
      <c r="T169" s="15"/>
      <c r="U169" s="15"/>
      <c r="V169" s="15"/>
    </row>
    <row r="170">
      <c r="A170" s="2">
        <v>21223.0</v>
      </c>
      <c r="B170" s="1" t="s">
        <v>49</v>
      </c>
      <c r="C170" s="2">
        <v>0.04</v>
      </c>
      <c r="D170" s="2">
        <v>4.98</v>
      </c>
      <c r="E170" s="2">
        <v>290.0</v>
      </c>
      <c r="F170" s="1" t="s">
        <v>392</v>
      </c>
      <c r="G170" s="1" t="s">
        <v>66</v>
      </c>
      <c r="H170" s="1" t="s">
        <v>46</v>
      </c>
      <c r="I170" s="1" t="s">
        <v>47</v>
      </c>
      <c r="J170" s="1" t="s">
        <v>144</v>
      </c>
      <c r="K170" s="19" t="s">
        <v>34</v>
      </c>
      <c r="L170" s="20" t="s">
        <v>35</v>
      </c>
      <c r="M170" s="21">
        <f t="shared" si="1"/>
        <v>3</v>
      </c>
      <c r="N170" s="2">
        <v>-135.16</v>
      </c>
      <c r="O170" s="2">
        <v>20.0</v>
      </c>
      <c r="P170" s="2">
        <v>102.54</v>
      </c>
      <c r="Q170" s="2">
        <v>90837.0</v>
      </c>
      <c r="R170" s="15" t="b">
        <f>ISNUMBER(MATCH(Q170,'Returned order'!A:A,0))</f>
        <v>0</v>
      </c>
      <c r="S170" s="22">
        <v>42088.0</v>
      </c>
      <c r="T170" s="15"/>
      <c r="U170" s="15"/>
      <c r="V170" s="15"/>
    </row>
    <row r="171">
      <c r="A171" s="2">
        <v>23302.0</v>
      </c>
      <c r="B171" s="1" t="s">
        <v>28</v>
      </c>
      <c r="C171" s="2">
        <v>0.01</v>
      </c>
      <c r="D171" s="2">
        <v>8.33</v>
      </c>
      <c r="E171" s="2">
        <v>306.0</v>
      </c>
      <c r="F171" s="1" t="s">
        <v>393</v>
      </c>
      <c r="G171" s="1" t="s">
        <v>66</v>
      </c>
      <c r="H171" s="1" t="s">
        <v>46</v>
      </c>
      <c r="I171" s="1" t="s">
        <v>47</v>
      </c>
      <c r="J171" s="1" t="s">
        <v>218</v>
      </c>
      <c r="K171" s="19" t="s">
        <v>26</v>
      </c>
      <c r="L171" s="20" t="s">
        <v>53</v>
      </c>
      <c r="M171" s="21">
        <f t="shared" si="1"/>
        <v>6</v>
      </c>
      <c r="N171" s="2">
        <v>15.8952</v>
      </c>
      <c r="O171" s="2">
        <v>8.0</v>
      </c>
      <c r="P171" s="2">
        <v>70.16</v>
      </c>
      <c r="Q171" s="2">
        <v>87057.0</v>
      </c>
      <c r="R171" s="15" t="b">
        <f>ISNUMBER(MATCH(Q171,'Returned order'!A:A,0))</f>
        <v>0</v>
      </c>
      <c r="S171" s="22">
        <v>42049.0</v>
      </c>
      <c r="T171" s="15"/>
      <c r="U171" s="15"/>
      <c r="V171" s="15"/>
    </row>
    <row r="172">
      <c r="A172" s="2">
        <v>23303.0</v>
      </c>
      <c r="B172" s="1" t="s">
        <v>28</v>
      </c>
      <c r="C172" s="2">
        <v>0.04</v>
      </c>
      <c r="D172" s="2">
        <v>85.99</v>
      </c>
      <c r="E172" s="2">
        <v>306.0</v>
      </c>
      <c r="F172" s="1" t="s">
        <v>393</v>
      </c>
      <c r="G172" s="1" t="s">
        <v>66</v>
      </c>
      <c r="H172" s="1" t="s">
        <v>46</v>
      </c>
      <c r="I172" s="1" t="s">
        <v>85</v>
      </c>
      <c r="J172" s="1" t="s">
        <v>394</v>
      </c>
      <c r="K172" s="19" t="s">
        <v>26</v>
      </c>
      <c r="L172" s="20" t="s">
        <v>53</v>
      </c>
      <c r="M172" s="21">
        <f t="shared" si="1"/>
        <v>6</v>
      </c>
      <c r="N172" s="2">
        <v>855.9933</v>
      </c>
      <c r="O172" s="2">
        <v>17.0</v>
      </c>
      <c r="P172" s="2">
        <v>1240.57</v>
      </c>
      <c r="Q172" s="2">
        <v>87057.0</v>
      </c>
      <c r="R172" s="15" t="b">
        <f>ISNUMBER(MATCH(Q172,'Returned order'!A:A,0))</f>
        <v>0</v>
      </c>
      <c r="S172" s="22">
        <v>42049.0</v>
      </c>
      <c r="T172" s="15"/>
      <c r="U172" s="15"/>
      <c r="V172" s="15"/>
    </row>
    <row r="173">
      <c r="A173" s="2">
        <v>5302.0</v>
      </c>
      <c r="B173" s="1" t="s">
        <v>28</v>
      </c>
      <c r="C173" s="2">
        <v>0.01</v>
      </c>
      <c r="D173" s="2">
        <v>8.33</v>
      </c>
      <c r="E173" s="2">
        <v>308.0</v>
      </c>
      <c r="F173" s="1" t="s">
        <v>395</v>
      </c>
      <c r="G173" s="1" t="s">
        <v>66</v>
      </c>
      <c r="H173" s="1" t="s">
        <v>46</v>
      </c>
      <c r="I173" s="1" t="s">
        <v>47</v>
      </c>
      <c r="J173" s="1" t="s">
        <v>218</v>
      </c>
      <c r="K173" s="19" t="s">
        <v>34</v>
      </c>
      <c r="L173" s="20" t="s">
        <v>53</v>
      </c>
      <c r="M173" s="21">
        <f t="shared" si="1"/>
        <v>6</v>
      </c>
      <c r="N173" s="2">
        <v>10.74</v>
      </c>
      <c r="O173" s="2">
        <v>32.0</v>
      </c>
      <c r="P173" s="2">
        <v>280.62</v>
      </c>
      <c r="Q173" s="2">
        <v>37760.0</v>
      </c>
      <c r="R173" s="15" t="b">
        <f>ISNUMBER(MATCH(Q173,'Returned order'!A:A,0))</f>
        <v>1</v>
      </c>
      <c r="S173" s="22">
        <v>42049.0</v>
      </c>
      <c r="T173" s="15"/>
      <c r="U173" s="15"/>
      <c r="V173" s="15"/>
    </row>
    <row r="174">
      <c r="A174" s="2">
        <v>18853.0</v>
      </c>
      <c r="B174" s="1" t="s">
        <v>63</v>
      </c>
      <c r="C174" s="2">
        <v>0.04</v>
      </c>
      <c r="D174" s="2">
        <v>1637.53</v>
      </c>
      <c r="E174" s="2">
        <v>314.0</v>
      </c>
      <c r="F174" s="1" t="s">
        <v>396</v>
      </c>
      <c r="G174" s="1" t="s">
        <v>32</v>
      </c>
      <c r="H174" s="1" t="s">
        <v>23</v>
      </c>
      <c r="I174" s="1" t="s">
        <v>257</v>
      </c>
      <c r="J174" s="1" t="s">
        <v>397</v>
      </c>
      <c r="K174" s="19" t="s">
        <v>68</v>
      </c>
      <c r="L174" s="20" t="s">
        <v>76</v>
      </c>
      <c r="M174" s="21">
        <f t="shared" si="1"/>
        <v>5</v>
      </c>
      <c r="N174" s="2">
        <v>-1759.58</v>
      </c>
      <c r="O174" s="2">
        <v>2.0</v>
      </c>
      <c r="P174" s="2">
        <v>3206.94</v>
      </c>
      <c r="Q174" s="2">
        <v>89166.0</v>
      </c>
      <c r="R174" s="15" t="b">
        <f>ISNUMBER(MATCH(Q174,'Returned order'!A:A,0))</f>
        <v>0</v>
      </c>
      <c r="S174" s="22">
        <v>42083.0</v>
      </c>
      <c r="T174" s="15"/>
      <c r="U174" s="15"/>
      <c r="V174" s="15"/>
    </row>
    <row r="175">
      <c r="A175" s="2">
        <v>18852.0</v>
      </c>
      <c r="B175" s="1" t="s">
        <v>63</v>
      </c>
      <c r="C175" s="2">
        <v>0.01</v>
      </c>
      <c r="D175" s="2">
        <v>19.98</v>
      </c>
      <c r="E175" s="2">
        <v>315.0</v>
      </c>
      <c r="F175" s="1" t="s">
        <v>398</v>
      </c>
      <c r="G175" s="1" t="s">
        <v>32</v>
      </c>
      <c r="H175" s="1" t="s">
        <v>46</v>
      </c>
      <c r="I175" s="1" t="s">
        <v>47</v>
      </c>
      <c r="J175" s="1" t="s">
        <v>48</v>
      </c>
      <c r="K175" s="19" t="s">
        <v>26</v>
      </c>
      <c r="L175" s="20" t="s">
        <v>76</v>
      </c>
      <c r="M175" s="21">
        <f t="shared" si="1"/>
        <v>5</v>
      </c>
      <c r="N175" s="2">
        <v>-72.23</v>
      </c>
      <c r="O175" s="2">
        <v>2.0</v>
      </c>
      <c r="P175" s="2">
        <v>43.08</v>
      </c>
      <c r="Q175" s="2">
        <v>89166.0</v>
      </c>
      <c r="R175" s="15" t="b">
        <f>ISNUMBER(MATCH(Q175,'Returned order'!A:A,0))</f>
        <v>0</v>
      </c>
      <c r="S175" s="22">
        <v>42083.0</v>
      </c>
      <c r="T175" s="15"/>
      <c r="U175" s="15"/>
      <c r="V175" s="15"/>
    </row>
    <row r="176">
      <c r="A176" s="2">
        <v>18032.0</v>
      </c>
      <c r="B176" s="1" t="s">
        <v>49</v>
      </c>
      <c r="C176" s="2">
        <v>0.09</v>
      </c>
      <c r="D176" s="2">
        <v>7.38</v>
      </c>
      <c r="E176" s="2">
        <v>317.0</v>
      </c>
      <c r="F176" s="1" t="s">
        <v>399</v>
      </c>
      <c r="G176" s="1" t="s">
        <v>32</v>
      </c>
      <c r="H176" s="1" t="s">
        <v>37</v>
      </c>
      <c r="I176" s="1" t="s">
        <v>42</v>
      </c>
      <c r="J176" s="1" t="s">
        <v>400</v>
      </c>
      <c r="K176" s="19" t="s">
        <v>34</v>
      </c>
      <c r="L176" s="20" t="s">
        <v>35</v>
      </c>
      <c r="M176" s="21">
        <f t="shared" si="1"/>
        <v>3</v>
      </c>
      <c r="N176" s="2">
        <v>-27.16</v>
      </c>
      <c r="O176" s="2">
        <v>9.0</v>
      </c>
      <c r="P176" s="2">
        <v>66.55</v>
      </c>
      <c r="Q176" s="2">
        <v>86041.0</v>
      </c>
      <c r="R176" s="15" t="b">
        <f>ISNUMBER(MATCH(Q176,'Returned order'!A:A,0))</f>
        <v>0</v>
      </c>
      <c r="S176" s="22">
        <v>42172.0</v>
      </c>
      <c r="T176" s="15"/>
      <c r="U176" s="15"/>
      <c r="V176" s="15"/>
    </row>
    <row r="177">
      <c r="A177" s="2">
        <v>18033.0</v>
      </c>
      <c r="B177" s="1" t="s">
        <v>49</v>
      </c>
      <c r="C177" s="2">
        <v>0.04</v>
      </c>
      <c r="D177" s="2">
        <v>5.98</v>
      </c>
      <c r="E177" s="2">
        <v>317.0</v>
      </c>
      <c r="F177" s="1" t="s">
        <v>399</v>
      </c>
      <c r="G177" s="1" t="s">
        <v>32</v>
      </c>
      <c r="H177" s="1" t="s">
        <v>23</v>
      </c>
      <c r="I177" s="1" t="s">
        <v>93</v>
      </c>
      <c r="J177" s="1" t="s">
        <v>217</v>
      </c>
      <c r="K177" s="19" t="s">
        <v>34</v>
      </c>
      <c r="L177" s="20" t="s">
        <v>35</v>
      </c>
      <c r="M177" s="21">
        <f t="shared" si="1"/>
        <v>3</v>
      </c>
      <c r="N177" s="2">
        <v>-52.344</v>
      </c>
      <c r="O177" s="2">
        <v>17.0</v>
      </c>
      <c r="P177" s="2">
        <v>103.49</v>
      </c>
      <c r="Q177" s="2">
        <v>86041.0</v>
      </c>
      <c r="R177" s="15" t="b">
        <f>ISNUMBER(MATCH(Q177,'Returned order'!A:A,0))</f>
        <v>0</v>
      </c>
      <c r="S177" s="22">
        <v>42172.0</v>
      </c>
      <c r="T177" s="15"/>
      <c r="U177" s="15"/>
      <c r="V177" s="15"/>
    </row>
    <row r="178">
      <c r="A178" s="2">
        <v>18034.0</v>
      </c>
      <c r="B178" s="1" t="s">
        <v>49</v>
      </c>
      <c r="C178" s="2">
        <v>0.04</v>
      </c>
      <c r="D178" s="2">
        <v>15.42</v>
      </c>
      <c r="E178" s="2">
        <v>317.0</v>
      </c>
      <c r="F178" s="1" t="s">
        <v>399</v>
      </c>
      <c r="G178" s="1" t="s">
        <v>32</v>
      </c>
      <c r="H178" s="1" t="s">
        <v>23</v>
      </c>
      <c r="I178" s="1" t="s">
        <v>120</v>
      </c>
      <c r="J178" s="1" t="s">
        <v>401</v>
      </c>
      <c r="K178" s="19" t="s">
        <v>34</v>
      </c>
      <c r="L178" s="20" t="s">
        <v>35</v>
      </c>
      <c r="M178" s="21">
        <f t="shared" si="1"/>
        <v>3</v>
      </c>
      <c r="N178" s="2">
        <v>-119.936</v>
      </c>
      <c r="O178" s="2">
        <v>12.0</v>
      </c>
      <c r="P178" s="2">
        <v>192.18</v>
      </c>
      <c r="Q178" s="2">
        <v>86041.0</v>
      </c>
      <c r="R178" s="15" t="b">
        <f>ISNUMBER(MATCH(Q178,'Returned order'!A:A,0))</f>
        <v>0</v>
      </c>
      <c r="S178" s="22">
        <v>42172.0</v>
      </c>
      <c r="T178" s="15"/>
      <c r="U178" s="15"/>
      <c r="V178" s="15"/>
    </row>
    <row r="179">
      <c r="A179" s="2">
        <v>20641.0</v>
      </c>
      <c r="B179" s="1" t="s">
        <v>170</v>
      </c>
      <c r="C179" s="2">
        <v>0.04</v>
      </c>
      <c r="D179" s="2">
        <v>8.33</v>
      </c>
      <c r="E179" s="2">
        <v>321.0</v>
      </c>
      <c r="F179" s="1" t="s">
        <v>402</v>
      </c>
      <c r="G179" s="1" t="s">
        <v>22</v>
      </c>
      <c r="H179" s="1" t="s">
        <v>46</v>
      </c>
      <c r="I179" s="1" t="s">
        <v>47</v>
      </c>
      <c r="J179" s="1" t="s">
        <v>218</v>
      </c>
      <c r="K179" s="19" t="s">
        <v>26</v>
      </c>
      <c r="L179" s="20" t="s">
        <v>53</v>
      </c>
      <c r="M179" s="21">
        <f t="shared" si="1"/>
        <v>6</v>
      </c>
      <c r="N179" s="2">
        <v>9.9268</v>
      </c>
      <c r="O179" s="2">
        <v>11.0</v>
      </c>
      <c r="P179" s="2">
        <v>89.76</v>
      </c>
      <c r="Q179" s="2">
        <v>91057.0</v>
      </c>
      <c r="R179" s="15" t="b">
        <f>ISNUMBER(MATCH(Q179,'Returned order'!A:A,0))</f>
        <v>0</v>
      </c>
      <c r="S179" s="22">
        <v>42098.0</v>
      </c>
      <c r="T179" s="15"/>
      <c r="U179" s="15"/>
      <c r="V179" s="15"/>
    </row>
    <row r="180">
      <c r="A180" s="2">
        <v>25111.0</v>
      </c>
      <c r="B180" s="1" t="s">
        <v>49</v>
      </c>
      <c r="C180" s="2">
        <v>0.06</v>
      </c>
      <c r="D180" s="2">
        <v>7.99</v>
      </c>
      <c r="E180" s="2">
        <v>326.0</v>
      </c>
      <c r="F180" s="1" t="s">
        <v>403</v>
      </c>
      <c r="G180" s="1" t="s">
        <v>22</v>
      </c>
      <c r="H180" s="1" t="s">
        <v>46</v>
      </c>
      <c r="I180" s="1" t="s">
        <v>85</v>
      </c>
      <c r="J180" s="1" t="s">
        <v>404</v>
      </c>
      <c r="K180" s="19" t="s">
        <v>68</v>
      </c>
      <c r="L180" s="20" t="s">
        <v>57</v>
      </c>
      <c r="M180" s="21">
        <f t="shared" si="1"/>
        <v>2</v>
      </c>
      <c r="N180" s="2">
        <v>-29.172</v>
      </c>
      <c r="O180" s="2">
        <v>4.0</v>
      </c>
      <c r="P180" s="2">
        <v>28.46</v>
      </c>
      <c r="Q180" s="2">
        <v>90973.0</v>
      </c>
      <c r="R180" s="15" t="b">
        <f>ISNUMBER(MATCH(Q180,'Returned order'!A:A,0))</f>
        <v>0</v>
      </c>
      <c r="S180" s="22">
        <v>42164.0</v>
      </c>
      <c r="T180" s="15"/>
      <c r="U180" s="15"/>
      <c r="V180" s="15"/>
    </row>
    <row r="181">
      <c r="A181" s="2">
        <v>19159.0</v>
      </c>
      <c r="B181" s="1" t="s">
        <v>63</v>
      </c>
      <c r="C181" s="2">
        <v>0.06</v>
      </c>
      <c r="D181" s="2">
        <v>296.18</v>
      </c>
      <c r="E181" s="2">
        <v>329.0</v>
      </c>
      <c r="F181" s="1" t="s">
        <v>405</v>
      </c>
      <c r="G181" s="1" t="s">
        <v>51</v>
      </c>
      <c r="H181" s="1" t="s">
        <v>37</v>
      </c>
      <c r="I181" s="1" t="s">
        <v>73</v>
      </c>
      <c r="J181" s="1" t="s">
        <v>248</v>
      </c>
      <c r="K181" s="19" t="s">
        <v>26</v>
      </c>
      <c r="L181" s="20" t="s">
        <v>57</v>
      </c>
      <c r="M181" s="21">
        <f t="shared" si="1"/>
        <v>2</v>
      </c>
      <c r="N181" s="2">
        <v>-715.778206</v>
      </c>
      <c r="O181" s="2">
        <v>5.0</v>
      </c>
      <c r="P181" s="2">
        <v>1170.21</v>
      </c>
      <c r="Q181" s="2">
        <v>89726.0</v>
      </c>
      <c r="R181" s="15" t="b">
        <f>ISNUMBER(MATCH(Q181,'Returned order'!A:A,0))</f>
        <v>0</v>
      </c>
      <c r="S181" s="22">
        <v>42108.0</v>
      </c>
      <c r="T181" s="15"/>
      <c r="U181" s="15"/>
      <c r="V181" s="15"/>
    </row>
    <row r="182">
      <c r="A182" s="2">
        <v>19158.0</v>
      </c>
      <c r="B182" s="1" t="s">
        <v>63</v>
      </c>
      <c r="C182" s="2">
        <v>0.01</v>
      </c>
      <c r="D182" s="2">
        <v>29.1</v>
      </c>
      <c r="E182" s="2">
        <v>331.0</v>
      </c>
      <c r="F182" s="1" t="s">
        <v>406</v>
      </c>
      <c r="G182" s="1" t="s">
        <v>51</v>
      </c>
      <c r="H182" s="1" t="s">
        <v>46</v>
      </c>
      <c r="I182" s="1" t="s">
        <v>47</v>
      </c>
      <c r="J182" s="1" t="s">
        <v>407</v>
      </c>
      <c r="K182" s="19" t="s">
        <v>26</v>
      </c>
      <c r="L182" s="20" t="s">
        <v>57</v>
      </c>
      <c r="M182" s="21">
        <f t="shared" si="1"/>
        <v>2</v>
      </c>
      <c r="N182" s="2">
        <v>-22.82</v>
      </c>
      <c r="O182" s="2">
        <v>8.0</v>
      </c>
      <c r="P182" s="2">
        <v>243.32</v>
      </c>
      <c r="Q182" s="2">
        <v>89726.0</v>
      </c>
      <c r="R182" s="15" t="b">
        <f>ISNUMBER(MATCH(Q182,'Returned order'!A:A,0))</f>
        <v>0</v>
      </c>
      <c r="S182" s="22">
        <v>42108.0</v>
      </c>
      <c r="T182" s="15"/>
      <c r="U182" s="15"/>
      <c r="V182" s="15"/>
    </row>
    <row r="183">
      <c r="A183" s="2">
        <v>18261.0</v>
      </c>
      <c r="B183" s="1" t="s">
        <v>58</v>
      </c>
      <c r="C183" s="2">
        <v>0.06</v>
      </c>
      <c r="D183" s="2">
        <v>276.2</v>
      </c>
      <c r="E183" s="2">
        <v>335.0</v>
      </c>
      <c r="F183" s="1" t="s">
        <v>408</v>
      </c>
      <c r="G183" s="1" t="s">
        <v>32</v>
      </c>
      <c r="H183" s="1" t="s">
        <v>37</v>
      </c>
      <c r="I183" s="1" t="s">
        <v>38</v>
      </c>
      <c r="J183" s="1" t="s">
        <v>409</v>
      </c>
      <c r="K183" s="19" t="s">
        <v>34</v>
      </c>
      <c r="L183" s="20" t="s">
        <v>27</v>
      </c>
      <c r="M183" s="21">
        <f t="shared" si="1"/>
        <v>1</v>
      </c>
      <c r="N183" s="2">
        <v>2639.4708</v>
      </c>
      <c r="O183" s="2">
        <v>14.0</v>
      </c>
      <c r="P183" s="2">
        <v>3825.32</v>
      </c>
      <c r="Q183" s="2">
        <v>87277.0</v>
      </c>
      <c r="R183" s="15" t="b">
        <f>ISNUMBER(MATCH(Q183,'Returned order'!A:A,0))</f>
        <v>0</v>
      </c>
      <c r="S183" s="22">
        <v>42128.0</v>
      </c>
      <c r="T183" s="15"/>
      <c r="U183" s="15"/>
      <c r="V183" s="15"/>
    </row>
    <row r="184">
      <c r="A184" s="2">
        <v>18262.0</v>
      </c>
      <c r="B184" s="1" t="s">
        <v>58</v>
      </c>
      <c r="C184" s="2">
        <v>0.09</v>
      </c>
      <c r="D184" s="2">
        <v>6.28</v>
      </c>
      <c r="E184" s="2">
        <v>335.0</v>
      </c>
      <c r="F184" s="1" t="s">
        <v>408</v>
      </c>
      <c r="G184" s="1" t="s">
        <v>32</v>
      </c>
      <c r="H184" s="1" t="s">
        <v>37</v>
      </c>
      <c r="I184" s="1" t="s">
        <v>42</v>
      </c>
      <c r="J184" s="1" t="s">
        <v>410</v>
      </c>
      <c r="K184" s="19" t="s">
        <v>34</v>
      </c>
      <c r="L184" s="20" t="s">
        <v>27</v>
      </c>
      <c r="M184" s="21">
        <f t="shared" si="1"/>
        <v>1</v>
      </c>
      <c r="N184" s="2">
        <v>-5.2</v>
      </c>
      <c r="O184" s="2">
        <v>1.0</v>
      </c>
      <c r="P184" s="2">
        <v>8.53</v>
      </c>
      <c r="Q184" s="2">
        <v>87277.0</v>
      </c>
      <c r="R184" s="15" t="b">
        <f>ISNUMBER(MATCH(Q184,'Returned order'!A:A,0))</f>
        <v>0</v>
      </c>
      <c r="S184" s="22">
        <v>42128.0</v>
      </c>
      <c r="T184" s="15"/>
      <c r="U184" s="15"/>
      <c r="V184" s="15"/>
    </row>
    <row r="185">
      <c r="A185" s="2">
        <v>23481.0</v>
      </c>
      <c r="B185" s="1" t="s">
        <v>63</v>
      </c>
      <c r="C185" s="2">
        <v>0.08</v>
      </c>
      <c r="D185" s="2">
        <v>7.77</v>
      </c>
      <c r="E185" s="2">
        <v>339.0</v>
      </c>
      <c r="F185" s="1" t="s">
        <v>411</v>
      </c>
      <c r="G185" s="1" t="s">
        <v>32</v>
      </c>
      <c r="H185" s="1" t="s">
        <v>23</v>
      </c>
      <c r="I185" s="1" t="s">
        <v>151</v>
      </c>
      <c r="J185" s="1" t="s">
        <v>412</v>
      </c>
      <c r="K185" s="19" t="s">
        <v>26</v>
      </c>
      <c r="L185" s="20" t="s">
        <v>57</v>
      </c>
      <c r="M185" s="21">
        <f t="shared" si="1"/>
        <v>2</v>
      </c>
      <c r="N185" s="2">
        <v>-83.65</v>
      </c>
      <c r="O185" s="2">
        <v>5.0</v>
      </c>
      <c r="P185" s="2">
        <v>40.3</v>
      </c>
      <c r="Q185" s="2">
        <v>90583.0</v>
      </c>
      <c r="R185" s="15" t="b">
        <f>ISNUMBER(MATCH(Q185,'Returned order'!A:A,0))</f>
        <v>0</v>
      </c>
      <c r="S185" s="22">
        <v>42080.0</v>
      </c>
      <c r="T185" s="15"/>
      <c r="U185" s="15"/>
      <c r="V185" s="15"/>
    </row>
    <row r="186">
      <c r="A186" s="2">
        <v>23482.0</v>
      </c>
      <c r="B186" s="1" t="s">
        <v>63</v>
      </c>
      <c r="C186" s="2">
        <v>0.07</v>
      </c>
      <c r="D186" s="2">
        <v>7.59</v>
      </c>
      <c r="E186" s="2">
        <v>339.0</v>
      </c>
      <c r="F186" s="1" t="s">
        <v>411</v>
      </c>
      <c r="G186" s="1" t="s">
        <v>32</v>
      </c>
      <c r="H186" s="1" t="s">
        <v>37</v>
      </c>
      <c r="I186" s="1" t="s">
        <v>42</v>
      </c>
      <c r="J186" s="1" t="s">
        <v>413</v>
      </c>
      <c r="K186" s="19" t="s">
        <v>26</v>
      </c>
      <c r="L186" s="20" t="s">
        <v>57</v>
      </c>
      <c r="M186" s="21">
        <f t="shared" si="1"/>
        <v>2</v>
      </c>
      <c r="N186" s="2">
        <v>24.39</v>
      </c>
      <c r="O186" s="2">
        <v>15.0</v>
      </c>
      <c r="P186" s="2">
        <v>111.88</v>
      </c>
      <c r="Q186" s="2">
        <v>90583.0</v>
      </c>
      <c r="R186" s="15" t="b">
        <f>ISNUMBER(MATCH(Q186,'Returned order'!A:A,0))</f>
        <v>0</v>
      </c>
      <c r="S186" s="22">
        <v>42080.0</v>
      </c>
      <c r="T186" s="15"/>
      <c r="U186" s="15"/>
      <c r="V186" s="15"/>
    </row>
    <row r="187">
      <c r="A187" s="2">
        <v>480.0</v>
      </c>
      <c r="B187" s="1" t="s">
        <v>58</v>
      </c>
      <c r="C187" s="2">
        <v>0.01</v>
      </c>
      <c r="D187" s="2">
        <v>3.26</v>
      </c>
      <c r="E187" s="2">
        <v>342.0</v>
      </c>
      <c r="F187" s="1" t="s">
        <v>414</v>
      </c>
      <c r="G187" s="1" t="s">
        <v>32</v>
      </c>
      <c r="H187" s="1" t="s">
        <v>23</v>
      </c>
      <c r="I187" s="1" t="s">
        <v>29</v>
      </c>
      <c r="J187" s="1" t="s">
        <v>80</v>
      </c>
      <c r="K187" s="19" t="s">
        <v>229</v>
      </c>
      <c r="L187" s="20" t="s">
        <v>27</v>
      </c>
      <c r="M187" s="21">
        <f t="shared" si="1"/>
        <v>1</v>
      </c>
      <c r="N187" s="2">
        <v>-4.6683</v>
      </c>
      <c r="O187" s="2">
        <v>20.0</v>
      </c>
      <c r="P187" s="2">
        <v>73.97</v>
      </c>
      <c r="Q187" s="2">
        <v>3332.0</v>
      </c>
      <c r="R187" s="15" t="b">
        <f>ISNUMBER(MATCH(Q187,'Returned order'!A:A,0))</f>
        <v>0</v>
      </c>
      <c r="S187" s="22">
        <v>42128.0</v>
      </c>
      <c r="T187" s="15"/>
      <c r="U187" s="15"/>
      <c r="V187" s="15"/>
    </row>
    <row r="188">
      <c r="A188" s="2">
        <v>22784.0</v>
      </c>
      <c r="B188" s="1" t="s">
        <v>58</v>
      </c>
      <c r="C188" s="2">
        <v>0.03</v>
      </c>
      <c r="D188" s="2">
        <v>15.23</v>
      </c>
      <c r="E188" s="2">
        <v>343.0</v>
      </c>
      <c r="F188" s="1" t="s">
        <v>416</v>
      </c>
      <c r="G188" s="1" t="s">
        <v>32</v>
      </c>
      <c r="H188" s="1" t="s">
        <v>37</v>
      </c>
      <c r="I188" s="1" t="s">
        <v>73</v>
      </c>
      <c r="J188" s="1" t="s">
        <v>417</v>
      </c>
      <c r="K188" s="19" t="s">
        <v>26</v>
      </c>
      <c r="L188" s="20" t="s">
        <v>53</v>
      </c>
      <c r="M188" s="21">
        <f t="shared" si="1"/>
        <v>6</v>
      </c>
      <c r="N188" s="2">
        <v>11.65095</v>
      </c>
      <c r="O188" s="2">
        <v>7.0</v>
      </c>
      <c r="P188" s="2">
        <v>111.86</v>
      </c>
      <c r="Q188" s="2">
        <v>88151.0</v>
      </c>
      <c r="R188" s="15" t="b">
        <f>ISNUMBER(MATCH(Q188,'Returned order'!A:A,0))</f>
        <v>0</v>
      </c>
      <c r="S188" s="22">
        <v>42035.0</v>
      </c>
      <c r="T188" s="15"/>
      <c r="U188" s="15"/>
      <c r="V188" s="15"/>
    </row>
    <row r="189">
      <c r="A189" s="2">
        <v>18480.0</v>
      </c>
      <c r="B189" s="1" t="s">
        <v>58</v>
      </c>
      <c r="C189" s="2">
        <v>0.01</v>
      </c>
      <c r="D189" s="2">
        <v>3.26</v>
      </c>
      <c r="E189" s="2">
        <v>344.0</v>
      </c>
      <c r="F189" s="1" t="s">
        <v>79</v>
      </c>
      <c r="G189" s="1" t="s">
        <v>32</v>
      </c>
      <c r="H189" s="1" t="s">
        <v>23</v>
      </c>
      <c r="I189" s="1" t="s">
        <v>29</v>
      </c>
      <c r="J189" s="1" t="s">
        <v>80</v>
      </c>
      <c r="K189" s="19" t="s">
        <v>26</v>
      </c>
      <c r="L189" s="20" t="s">
        <v>27</v>
      </c>
      <c r="M189" s="21">
        <f t="shared" si="1"/>
        <v>1</v>
      </c>
      <c r="N189" s="2">
        <v>0.702</v>
      </c>
      <c r="O189" s="2">
        <v>5.0</v>
      </c>
      <c r="P189" s="2">
        <v>18.49</v>
      </c>
      <c r="Q189" s="2">
        <v>88152.0</v>
      </c>
      <c r="R189" s="15" t="b">
        <f>ISNUMBER(MATCH(Q189,'Returned order'!A:A,0))</f>
        <v>0</v>
      </c>
      <c r="S189" s="22">
        <v>42128.0</v>
      </c>
      <c r="T189" s="15"/>
      <c r="U189" s="15"/>
      <c r="V189" s="15"/>
    </row>
    <row r="190">
      <c r="A190" s="2">
        <v>2408.0</v>
      </c>
      <c r="B190" s="1" t="s">
        <v>58</v>
      </c>
      <c r="C190" s="2">
        <v>0.0</v>
      </c>
      <c r="D190" s="2">
        <v>8.34</v>
      </c>
      <c r="E190" s="2">
        <v>349.0</v>
      </c>
      <c r="F190" s="1" t="s">
        <v>425</v>
      </c>
      <c r="G190" s="1" t="s">
        <v>51</v>
      </c>
      <c r="H190" s="1" t="s">
        <v>23</v>
      </c>
      <c r="I190" s="1" t="s">
        <v>257</v>
      </c>
      <c r="J190" s="1" t="s">
        <v>361</v>
      </c>
      <c r="K190" s="19" t="s">
        <v>229</v>
      </c>
      <c r="L190" s="20" t="s">
        <v>57</v>
      </c>
      <c r="M190" s="21">
        <f t="shared" si="1"/>
        <v>2</v>
      </c>
      <c r="N190" s="2">
        <v>5.8625</v>
      </c>
      <c r="O190" s="2">
        <v>23.0</v>
      </c>
      <c r="P190" s="2">
        <v>212.89</v>
      </c>
      <c r="Q190" s="2">
        <v>17446.0</v>
      </c>
      <c r="R190" s="15" t="b">
        <f>ISNUMBER(MATCH(Q190,'Returned order'!A:A,0))</f>
        <v>0</v>
      </c>
      <c r="S190" s="22">
        <v>42164.0</v>
      </c>
      <c r="T190" s="15"/>
      <c r="U190" s="15"/>
      <c r="V190" s="15"/>
    </row>
    <row r="191">
      <c r="A191" s="2">
        <v>1595.0</v>
      </c>
      <c r="B191" s="1" t="s">
        <v>63</v>
      </c>
      <c r="C191" s="2">
        <v>0.04</v>
      </c>
      <c r="D191" s="2">
        <v>99.23</v>
      </c>
      <c r="E191" s="2">
        <v>349.0</v>
      </c>
      <c r="F191" s="1" t="s">
        <v>425</v>
      </c>
      <c r="G191" s="1" t="s">
        <v>51</v>
      </c>
      <c r="H191" s="1" t="s">
        <v>37</v>
      </c>
      <c r="I191" s="1" t="s">
        <v>42</v>
      </c>
      <c r="J191" s="1" t="s">
        <v>426</v>
      </c>
      <c r="K191" s="19" t="s">
        <v>229</v>
      </c>
      <c r="L191" s="20" t="s">
        <v>76</v>
      </c>
      <c r="M191" s="21">
        <f t="shared" si="1"/>
        <v>5</v>
      </c>
      <c r="N191" s="2">
        <v>1916.6757</v>
      </c>
      <c r="O191" s="2">
        <v>54.0</v>
      </c>
      <c r="P191" s="2">
        <v>5555.6</v>
      </c>
      <c r="Q191" s="2">
        <v>11527.0</v>
      </c>
      <c r="R191" s="15" t="b">
        <f>ISNUMBER(MATCH(Q191,'Returned order'!A:A,0))</f>
        <v>0</v>
      </c>
      <c r="S191" s="22">
        <v>42006.0</v>
      </c>
      <c r="T191" s="15"/>
      <c r="U191" s="15"/>
      <c r="V191" s="15"/>
    </row>
    <row r="192">
      <c r="A192" s="2">
        <v>20408.0</v>
      </c>
      <c r="B192" s="1" t="s">
        <v>58</v>
      </c>
      <c r="C192" s="2">
        <v>0.0</v>
      </c>
      <c r="D192" s="2">
        <v>8.34</v>
      </c>
      <c r="E192" s="2">
        <v>351.0</v>
      </c>
      <c r="F192" s="1" t="s">
        <v>427</v>
      </c>
      <c r="G192" s="1" t="s">
        <v>51</v>
      </c>
      <c r="H192" s="1" t="s">
        <v>23</v>
      </c>
      <c r="I192" s="1" t="s">
        <v>257</v>
      </c>
      <c r="J192" s="1" t="s">
        <v>361</v>
      </c>
      <c r="K192" s="19" t="s">
        <v>26</v>
      </c>
      <c r="L192" s="20" t="s">
        <v>57</v>
      </c>
      <c r="M192" s="21">
        <f t="shared" si="1"/>
        <v>2</v>
      </c>
      <c r="N192" s="2">
        <v>10.5</v>
      </c>
      <c r="O192" s="2">
        <v>6.0</v>
      </c>
      <c r="P192" s="2">
        <v>55.54</v>
      </c>
      <c r="Q192" s="2">
        <v>88685.0</v>
      </c>
      <c r="R192" s="15" t="b">
        <f>ISNUMBER(MATCH(Q192,'Returned order'!A:A,0))</f>
        <v>0</v>
      </c>
      <c r="S192" s="22">
        <v>42164.0</v>
      </c>
      <c r="T192" s="15"/>
      <c r="U192" s="15"/>
      <c r="V192" s="15"/>
    </row>
    <row r="193">
      <c r="A193" s="2">
        <v>19595.0</v>
      </c>
      <c r="B193" s="1" t="s">
        <v>63</v>
      </c>
      <c r="C193" s="2">
        <v>0.04</v>
      </c>
      <c r="D193" s="2">
        <v>99.23</v>
      </c>
      <c r="E193" s="2">
        <v>351.0</v>
      </c>
      <c r="F193" s="1" t="s">
        <v>427</v>
      </c>
      <c r="G193" s="1" t="s">
        <v>51</v>
      </c>
      <c r="H193" s="1" t="s">
        <v>37</v>
      </c>
      <c r="I193" s="1" t="s">
        <v>42</v>
      </c>
      <c r="J193" s="1" t="s">
        <v>426</v>
      </c>
      <c r="K193" s="19" t="s">
        <v>26</v>
      </c>
      <c r="L193" s="20" t="s">
        <v>76</v>
      </c>
      <c r="M193" s="21">
        <f t="shared" si="1"/>
        <v>5</v>
      </c>
      <c r="N193" s="2">
        <v>993.8346</v>
      </c>
      <c r="O193" s="2">
        <v>14.0</v>
      </c>
      <c r="P193" s="2">
        <v>1440.34</v>
      </c>
      <c r="Q193" s="2">
        <v>88686.0</v>
      </c>
      <c r="R193" s="15" t="b">
        <f>ISNUMBER(MATCH(Q193,'Returned order'!A:A,0))</f>
        <v>0</v>
      </c>
      <c r="S193" s="22">
        <v>42006.0</v>
      </c>
      <c r="T193" s="15"/>
      <c r="U193" s="15"/>
      <c r="V193" s="15"/>
    </row>
    <row r="194">
      <c r="A194" s="2">
        <v>19107.0</v>
      </c>
      <c r="B194" s="1" t="s">
        <v>170</v>
      </c>
      <c r="C194" s="2">
        <v>0.08</v>
      </c>
      <c r="D194" s="2">
        <v>4.89</v>
      </c>
      <c r="E194" s="2">
        <v>353.0</v>
      </c>
      <c r="F194" s="1" t="s">
        <v>428</v>
      </c>
      <c r="G194" s="1" t="s">
        <v>51</v>
      </c>
      <c r="H194" s="1" t="s">
        <v>46</v>
      </c>
      <c r="I194" s="1" t="s">
        <v>47</v>
      </c>
      <c r="J194" s="1" t="s">
        <v>429</v>
      </c>
      <c r="K194" s="19" t="s">
        <v>34</v>
      </c>
      <c r="L194" s="20" t="s">
        <v>70</v>
      </c>
      <c r="M194" s="21">
        <f t="shared" si="1"/>
        <v>4</v>
      </c>
      <c r="N194" s="2">
        <v>-165.45</v>
      </c>
      <c r="O194" s="2">
        <v>17.0</v>
      </c>
      <c r="P194" s="2">
        <v>84.76</v>
      </c>
      <c r="Q194" s="2">
        <v>89647.0</v>
      </c>
      <c r="R194" s="15" t="b">
        <f>ISNUMBER(MATCH(Q194,'Returned order'!A:A,0))</f>
        <v>0</v>
      </c>
      <c r="S194" s="22">
        <v>42138.0</v>
      </c>
      <c r="T194" s="15"/>
      <c r="U194" s="15"/>
      <c r="V194" s="15"/>
    </row>
    <row r="195">
      <c r="A195" s="2">
        <v>19108.0</v>
      </c>
      <c r="B195" s="1" t="s">
        <v>170</v>
      </c>
      <c r="C195" s="2">
        <v>0.07</v>
      </c>
      <c r="D195" s="2">
        <v>6.68</v>
      </c>
      <c r="E195" s="2">
        <v>353.0</v>
      </c>
      <c r="F195" s="1" t="s">
        <v>428</v>
      </c>
      <c r="G195" s="1" t="s">
        <v>51</v>
      </c>
      <c r="H195" s="1" t="s">
        <v>23</v>
      </c>
      <c r="I195" s="1" t="s">
        <v>93</v>
      </c>
      <c r="J195" s="1" t="s">
        <v>430</v>
      </c>
      <c r="K195" s="19" t="s">
        <v>34</v>
      </c>
      <c r="L195" s="20" t="s">
        <v>70</v>
      </c>
      <c r="M195" s="21">
        <f t="shared" si="1"/>
        <v>4</v>
      </c>
      <c r="N195" s="2">
        <v>-141.12</v>
      </c>
      <c r="O195" s="2">
        <v>16.0</v>
      </c>
      <c r="P195" s="2">
        <v>104.84</v>
      </c>
      <c r="Q195" s="2">
        <v>89647.0</v>
      </c>
      <c r="R195" s="15" t="b">
        <f>ISNUMBER(MATCH(Q195,'Returned order'!A:A,0))</f>
        <v>0</v>
      </c>
      <c r="S195" s="22">
        <v>42138.0</v>
      </c>
      <c r="T195" s="15"/>
      <c r="U195" s="15"/>
      <c r="V195" s="15"/>
    </row>
    <row r="196">
      <c r="A196" s="2">
        <v>20760.0</v>
      </c>
      <c r="B196" s="1" t="s">
        <v>58</v>
      </c>
      <c r="C196" s="2">
        <v>0.07</v>
      </c>
      <c r="D196" s="2">
        <v>124.49</v>
      </c>
      <c r="E196" s="2">
        <v>357.0</v>
      </c>
      <c r="F196" s="1" t="s">
        <v>431</v>
      </c>
      <c r="G196" s="1" t="s">
        <v>32</v>
      </c>
      <c r="H196" s="1" t="s">
        <v>37</v>
      </c>
      <c r="I196" s="1" t="s">
        <v>73</v>
      </c>
      <c r="J196" s="1" t="s">
        <v>432</v>
      </c>
      <c r="K196" s="19" t="s">
        <v>34</v>
      </c>
      <c r="L196" s="20" t="s">
        <v>61</v>
      </c>
      <c r="M196" s="21">
        <f t="shared" si="1"/>
        <v>7</v>
      </c>
      <c r="N196" s="2">
        <v>1074.44</v>
      </c>
      <c r="O196" s="2">
        <v>14.0</v>
      </c>
      <c r="P196" s="2">
        <v>1714.93</v>
      </c>
      <c r="Q196" s="2">
        <v>91131.0</v>
      </c>
      <c r="R196" s="15" t="b">
        <f>ISNUMBER(MATCH(Q196,'Returned order'!A:A,0))</f>
        <v>0</v>
      </c>
      <c r="S196" s="22">
        <v>42148.0</v>
      </c>
      <c r="T196" s="15"/>
      <c r="U196" s="15"/>
      <c r="V196" s="15"/>
    </row>
    <row r="197">
      <c r="A197" s="2">
        <v>24627.0</v>
      </c>
      <c r="B197" s="1" t="s">
        <v>170</v>
      </c>
      <c r="C197" s="2">
        <v>0.04</v>
      </c>
      <c r="D197" s="2">
        <v>125.99</v>
      </c>
      <c r="E197" s="2">
        <v>358.0</v>
      </c>
      <c r="F197" s="1" t="s">
        <v>433</v>
      </c>
      <c r="G197" s="1" t="s">
        <v>32</v>
      </c>
      <c r="H197" s="1" t="s">
        <v>46</v>
      </c>
      <c r="I197" s="1" t="s">
        <v>85</v>
      </c>
      <c r="J197" s="1" t="s">
        <v>434</v>
      </c>
      <c r="K197" s="19" t="s">
        <v>26</v>
      </c>
      <c r="L197" s="20" t="s">
        <v>76</v>
      </c>
      <c r="M197" s="21">
        <f t="shared" si="1"/>
        <v>5</v>
      </c>
      <c r="N197" s="2">
        <v>-627.82192</v>
      </c>
      <c r="O197" s="2">
        <v>1.0</v>
      </c>
      <c r="P197" s="2">
        <v>107.95</v>
      </c>
      <c r="Q197" s="2">
        <v>91130.0</v>
      </c>
      <c r="R197" s="15" t="b">
        <f>ISNUMBER(MATCH(Q197,'Returned order'!A:A,0))</f>
        <v>0</v>
      </c>
      <c r="S197" s="22">
        <v>42013.0</v>
      </c>
      <c r="T197" s="15"/>
      <c r="U197" s="15"/>
      <c r="V197" s="15"/>
    </row>
    <row r="198">
      <c r="A198" s="2">
        <v>18278.0</v>
      </c>
      <c r="B198" s="1" t="s">
        <v>63</v>
      </c>
      <c r="C198" s="2">
        <v>0.05</v>
      </c>
      <c r="D198" s="2">
        <v>328.14</v>
      </c>
      <c r="E198" s="2">
        <v>366.0</v>
      </c>
      <c r="F198" s="1" t="s">
        <v>435</v>
      </c>
      <c r="G198" s="1" t="s">
        <v>66</v>
      </c>
      <c r="H198" s="1" t="s">
        <v>23</v>
      </c>
      <c r="I198" s="1" t="s">
        <v>151</v>
      </c>
      <c r="J198" s="1" t="s">
        <v>436</v>
      </c>
      <c r="K198" s="19" t="s">
        <v>26</v>
      </c>
      <c r="L198" s="20" t="s">
        <v>53</v>
      </c>
      <c r="M198" s="21">
        <f t="shared" si="1"/>
        <v>6</v>
      </c>
      <c r="N198" s="2">
        <v>411.5172</v>
      </c>
      <c r="O198" s="2">
        <v>6.0</v>
      </c>
      <c r="P198" s="2">
        <v>1967.98</v>
      </c>
      <c r="Q198" s="2">
        <v>87347.0</v>
      </c>
      <c r="R198" s="15" t="b">
        <f>ISNUMBER(MATCH(Q198,'Returned order'!A:A,0))</f>
        <v>0</v>
      </c>
      <c r="S198" s="22">
        <v>42021.0</v>
      </c>
      <c r="T198" s="15"/>
      <c r="U198" s="15"/>
      <c r="V198" s="15"/>
    </row>
    <row r="199">
      <c r="A199" s="2">
        <v>24794.0</v>
      </c>
      <c r="B199" s="1" t="s">
        <v>170</v>
      </c>
      <c r="C199" s="2">
        <v>0.09</v>
      </c>
      <c r="D199" s="2">
        <v>19.23</v>
      </c>
      <c r="E199" s="2">
        <v>369.0</v>
      </c>
      <c r="F199" s="1" t="s">
        <v>437</v>
      </c>
      <c r="G199" s="1" t="s">
        <v>32</v>
      </c>
      <c r="H199" s="1" t="s">
        <v>37</v>
      </c>
      <c r="I199" s="1" t="s">
        <v>42</v>
      </c>
      <c r="J199" s="1" t="s">
        <v>438</v>
      </c>
      <c r="K199" s="19" t="s">
        <v>34</v>
      </c>
      <c r="L199" s="20" t="s">
        <v>53</v>
      </c>
      <c r="M199" s="21">
        <f t="shared" si="1"/>
        <v>6</v>
      </c>
      <c r="N199" s="2">
        <v>211.232</v>
      </c>
      <c r="O199" s="2">
        <v>21.0</v>
      </c>
      <c r="P199" s="2">
        <v>394.1</v>
      </c>
      <c r="Q199" s="2">
        <v>90292.0</v>
      </c>
      <c r="R199" s="15" t="b">
        <f>ISNUMBER(MATCH(Q199,'Returned order'!A:A,0))</f>
        <v>0</v>
      </c>
      <c r="S199" s="22">
        <v>42105.0</v>
      </c>
      <c r="T199" s="15"/>
      <c r="U199" s="15"/>
      <c r="V199" s="15"/>
    </row>
    <row r="200">
      <c r="A200" s="2">
        <v>20401.0</v>
      </c>
      <c r="B200" s="1" t="s">
        <v>49</v>
      </c>
      <c r="C200" s="2">
        <v>0.02</v>
      </c>
      <c r="D200" s="2">
        <v>20.99</v>
      </c>
      <c r="E200" s="2">
        <v>370.0</v>
      </c>
      <c r="F200" s="1" t="s">
        <v>439</v>
      </c>
      <c r="G200" s="1" t="s">
        <v>32</v>
      </c>
      <c r="H200" s="1" t="s">
        <v>46</v>
      </c>
      <c r="I200" s="1" t="s">
        <v>85</v>
      </c>
      <c r="J200" s="1" t="s">
        <v>440</v>
      </c>
      <c r="K200" s="19" t="s">
        <v>26</v>
      </c>
      <c r="L200" s="20" t="s">
        <v>35</v>
      </c>
      <c r="M200" s="21">
        <f t="shared" si="1"/>
        <v>3</v>
      </c>
      <c r="N200" s="2">
        <v>49.788</v>
      </c>
      <c r="O200" s="2">
        <v>15.0</v>
      </c>
      <c r="P200" s="2">
        <v>266.39</v>
      </c>
      <c r="Q200" s="2">
        <v>90291.0</v>
      </c>
      <c r="R200" s="15" t="b">
        <f>ISNUMBER(MATCH(Q200,'Returned order'!A:A,0))</f>
        <v>0</v>
      </c>
      <c r="S200" s="22">
        <v>42151.0</v>
      </c>
      <c r="T200" s="15"/>
      <c r="U200" s="15"/>
      <c r="V200" s="15"/>
    </row>
    <row r="201">
      <c r="A201" s="2">
        <v>20400.0</v>
      </c>
      <c r="B201" s="1" t="s">
        <v>49</v>
      </c>
      <c r="C201" s="2">
        <v>0.05</v>
      </c>
      <c r="D201" s="2">
        <v>5.4</v>
      </c>
      <c r="E201" s="2">
        <v>371.0</v>
      </c>
      <c r="F201" s="1" t="s">
        <v>441</v>
      </c>
      <c r="G201" s="1" t="s">
        <v>32</v>
      </c>
      <c r="H201" s="1" t="s">
        <v>23</v>
      </c>
      <c r="I201" s="1" t="s">
        <v>24</v>
      </c>
      <c r="J201" s="1" t="s">
        <v>328</v>
      </c>
      <c r="K201" s="19" t="s">
        <v>26</v>
      </c>
      <c r="L201" s="20" t="s">
        <v>35</v>
      </c>
      <c r="M201" s="21">
        <f t="shared" si="1"/>
        <v>3</v>
      </c>
      <c r="N201" s="2">
        <v>-132.6295</v>
      </c>
      <c r="O201" s="2">
        <v>9.0</v>
      </c>
      <c r="P201" s="2">
        <v>51.82</v>
      </c>
      <c r="Q201" s="2">
        <v>90291.0</v>
      </c>
      <c r="R201" s="15" t="b">
        <f>ISNUMBER(MATCH(Q201,'Returned order'!A:A,0))</f>
        <v>0</v>
      </c>
      <c r="S201" s="22">
        <v>42151.0</v>
      </c>
      <c r="T201" s="15"/>
      <c r="U201" s="15"/>
      <c r="V201" s="15"/>
    </row>
    <row r="202">
      <c r="A202" s="2">
        <v>3392.0</v>
      </c>
      <c r="B202" s="1" t="s">
        <v>49</v>
      </c>
      <c r="C202" s="2">
        <v>0.02</v>
      </c>
      <c r="D202" s="2">
        <v>200.98</v>
      </c>
      <c r="E202" s="2">
        <v>373.0</v>
      </c>
      <c r="F202" s="1" t="s">
        <v>442</v>
      </c>
      <c r="G202" s="1" t="s">
        <v>66</v>
      </c>
      <c r="H202" s="1" t="s">
        <v>37</v>
      </c>
      <c r="I202" s="1" t="s">
        <v>55</v>
      </c>
      <c r="J202" s="1" t="s">
        <v>443</v>
      </c>
      <c r="K202" s="19" t="s">
        <v>68</v>
      </c>
      <c r="L202" s="20" t="s">
        <v>53</v>
      </c>
      <c r="M202" s="21">
        <f t="shared" si="1"/>
        <v>6</v>
      </c>
      <c r="N202" s="2">
        <v>-163.63</v>
      </c>
      <c r="O202" s="2">
        <v>45.0</v>
      </c>
      <c r="P202" s="2">
        <v>9539.6</v>
      </c>
      <c r="Q202" s="2">
        <v>24193.0</v>
      </c>
      <c r="R202" s="15" t="b">
        <f>ISNUMBER(MATCH(Q202,'Returned order'!A:A,0))</f>
        <v>0</v>
      </c>
      <c r="S202" s="22">
        <v>42077.0</v>
      </c>
      <c r="T202" s="15"/>
      <c r="U202" s="15"/>
      <c r="V202" s="15"/>
    </row>
    <row r="203">
      <c r="A203" s="2">
        <v>3393.0</v>
      </c>
      <c r="B203" s="1" t="s">
        <v>49</v>
      </c>
      <c r="C203" s="2">
        <v>0.02</v>
      </c>
      <c r="D203" s="2">
        <v>4.28</v>
      </c>
      <c r="E203" s="2">
        <v>373.0</v>
      </c>
      <c r="F203" s="1" t="s">
        <v>442</v>
      </c>
      <c r="G203" s="1" t="s">
        <v>66</v>
      </c>
      <c r="H203" s="1" t="s">
        <v>23</v>
      </c>
      <c r="I203" s="1" t="s">
        <v>93</v>
      </c>
      <c r="J203" s="1" t="s">
        <v>444</v>
      </c>
      <c r="K203" s="19" t="s">
        <v>68</v>
      </c>
      <c r="L203" s="20" t="s">
        <v>53</v>
      </c>
      <c r="M203" s="21">
        <f t="shared" si="1"/>
        <v>6</v>
      </c>
      <c r="N203" s="2">
        <v>-63.87</v>
      </c>
      <c r="O203" s="2">
        <v>24.0</v>
      </c>
      <c r="P203" s="2">
        <v>109.86</v>
      </c>
      <c r="Q203" s="2">
        <v>24193.0</v>
      </c>
      <c r="R203" s="15" t="b">
        <f>ISNUMBER(MATCH(Q203,'Returned order'!A:A,0))</f>
        <v>0</v>
      </c>
      <c r="S203" s="22">
        <v>42077.0</v>
      </c>
      <c r="T203" s="15"/>
      <c r="U203" s="15"/>
      <c r="V203" s="15"/>
    </row>
    <row r="204">
      <c r="A204" s="2">
        <v>3394.0</v>
      </c>
      <c r="B204" s="1" t="s">
        <v>49</v>
      </c>
      <c r="C204" s="2">
        <v>0.04</v>
      </c>
      <c r="D204" s="2">
        <v>85.99</v>
      </c>
      <c r="E204" s="2">
        <v>373.0</v>
      </c>
      <c r="F204" s="1" t="s">
        <v>442</v>
      </c>
      <c r="G204" s="1" t="s">
        <v>66</v>
      </c>
      <c r="H204" s="1" t="s">
        <v>46</v>
      </c>
      <c r="I204" s="1" t="s">
        <v>85</v>
      </c>
      <c r="J204" s="1" t="s">
        <v>445</v>
      </c>
      <c r="K204" s="19" t="s">
        <v>68</v>
      </c>
      <c r="L204" s="20" t="s">
        <v>53</v>
      </c>
      <c r="M204" s="21">
        <f t="shared" si="1"/>
        <v>6</v>
      </c>
      <c r="N204" s="2">
        <v>-175.175</v>
      </c>
      <c r="O204" s="2">
        <v>19.0</v>
      </c>
      <c r="P204" s="2">
        <v>1426.51</v>
      </c>
      <c r="Q204" s="2">
        <v>24193.0</v>
      </c>
      <c r="R204" s="15" t="b">
        <f>ISNUMBER(MATCH(Q204,'Returned order'!A:A,0))</f>
        <v>0</v>
      </c>
      <c r="S204" s="22">
        <v>42077.0</v>
      </c>
      <c r="T204" s="15"/>
      <c r="U204" s="15"/>
      <c r="V204" s="15"/>
    </row>
    <row r="205">
      <c r="A205" s="2">
        <v>21392.0</v>
      </c>
      <c r="B205" s="1" t="s">
        <v>49</v>
      </c>
      <c r="C205" s="2">
        <v>0.02</v>
      </c>
      <c r="D205" s="2">
        <v>200.98</v>
      </c>
      <c r="E205" s="2">
        <v>375.0</v>
      </c>
      <c r="F205" s="1" t="s">
        <v>446</v>
      </c>
      <c r="G205" s="1" t="s">
        <v>66</v>
      </c>
      <c r="H205" s="1" t="s">
        <v>37</v>
      </c>
      <c r="I205" s="1" t="s">
        <v>55</v>
      </c>
      <c r="J205" s="1" t="s">
        <v>443</v>
      </c>
      <c r="K205" s="19" t="s">
        <v>229</v>
      </c>
      <c r="L205" s="20" t="s">
        <v>53</v>
      </c>
      <c r="M205" s="21">
        <f t="shared" si="1"/>
        <v>6</v>
      </c>
      <c r="N205" s="2">
        <v>-224.9478</v>
      </c>
      <c r="O205" s="2">
        <v>11.0</v>
      </c>
      <c r="P205" s="2">
        <v>2331.9</v>
      </c>
      <c r="Q205" s="2">
        <v>90917.0</v>
      </c>
      <c r="R205" s="15" t="b">
        <f>ISNUMBER(MATCH(Q205,'Returned order'!A:A,0))</f>
        <v>0</v>
      </c>
      <c r="S205" s="22">
        <v>42077.0</v>
      </c>
      <c r="T205" s="15"/>
      <c r="U205" s="15"/>
      <c r="V205" s="15"/>
    </row>
    <row r="206">
      <c r="A206" s="2">
        <v>21393.0</v>
      </c>
      <c r="B206" s="1" t="s">
        <v>49</v>
      </c>
      <c r="C206" s="2">
        <v>0.02</v>
      </c>
      <c r="D206" s="2">
        <v>4.28</v>
      </c>
      <c r="E206" s="2">
        <v>375.0</v>
      </c>
      <c r="F206" s="1" t="s">
        <v>446</v>
      </c>
      <c r="G206" s="1" t="s">
        <v>66</v>
      </c>
      <c r="H206" s="1" t="s">
        <v>23</v>
      </c>
      <c r="I206" s="1" t="s">
        <v>93</v>
      </c>
      <c r="J206" s="1" t="s">
        <v>444</v>
      </c>
      <c r="K206" s="19" t="s">
        <v>229</v>
      </c>
      <c r="L206" s="20" t="s">
        <v>53</v>
      </c>
      <c r="M206" s="21">
        <f t="shared" si="1"/>
        <v>6</v>
      </c>
      <c r="N206" s="2">
        <v>196.8</v>
      </c>
      <c r="O206" s="2">
        <v>6.0</v>
      </c>
      <c r="P206" s="2">
        <v>27.47</v>
      </c>
      <c r="Q206" s="2">
        <v>90917.0</v>
      </c>
      <c r="R206" s="15" t="b">
        <f>ISNUMBER(MATCH(Q206,'Returned order'!A:A,0))</f>
        <v>0</v>
      </c>
      <c r="S206" s="22">
        <v>42077.0</v>
      </c>
      <c r="T206" s="15"/>
      <c r="U206" s="15"/>
      <c r="V206" s="15"/>
    </row>
    <row r="207">
      <c r="A207" s="2">
        <v>19073.0</v>
      </c>
      <c r="B207" s="1" t="s">
        <v>63</v>
      </c>
      <c r="C207" s="2">
        <v>0.03</v>
      </c>
      <c r="D207" s="2">
        <v>25.98</v>
      </c>
      <c r="E207" s="2">
        <v>377.0</v>
      </c>
      <c r="F207" s="1" t="s">
        <v>447</v>
      </c>
      <c r="G207" s="1" t="s">
        <v>22</v>
      </c>
      <c r="H207" s="1" t="s">
        <v>23</v>
      </c>
      <c r="I207" s="1" t="s">
        <v>151</v>
      </c>
      <c r="J207" s="1" t="s">
        <v>448</v>
      </c>
      <c r="K207" s="19" t="s">
        <v>68</v>
      </c>
      <c r="L207" s="20" t="s">
        <v>76</v>
      </c>
      <c r="M207" s="21">
        <f t="shared" si="1"/>
        <v>5</v>
      </c>
      <c r="N207" s="2">
        <v>250.0376</v>
      </c>
      <c r="O207" s="2">
        <v>17.0</v>
      </c>
      <c r="P207" s="2">
        <v>460.87</v>
      </c>
      <c r="Q207" s="2">
        <v>89579.0</v>
      </c>
      <c r="R207" s="15" t="b">
        <f>ISNUMBER(MATCH(Q207,'Returned order'!A:A,0))</f>
        <v>0</v>
      </c>
      <c r="S207" s="22">
        <v>42111.0</v>
      </c>
      <c r="T207" s="15"/>
      <c r="U207" s="15"/>
      <c r="V207" s="15"/>
    </row>
    <row r="208">
      <c r="A208" s="2">
        <v>22401.0</v>
      </c>
      <c r="B208" s="1" t="s">
        <v>49</v>
      </c>
      <c r="C208" s="2">
        <v>0.07</v>
      </c>
      <c r="D208" s="2">
        <v>415.88</v>
      </c>
      <c r="E208" s="2">
        <v>381.0</v>
      </c>
      <c r="F208" s="1" t="s">
        <v>449</v>
      </c>
      <c r="G208" s="1" t="s">
        <v>32</v>
      </c>
      <c r="H208" s="1" t="s">
        <v>23</v>
      </c>
      <c r="I208" s="1" t="s">
        <v>120</v>
      </c>
      <c r="J208" s="1" t="s">
        <v>450</v>
      </c>
      <c r="K208" s="19" t="s">
        <v>68</v>
      </c>
      <c r="L208" s="20" t="s">
        <v>76</v>
      </c>
      <c r="M208" s="21">
        <f t="shared" si="1"/>
        <v>5</v>
      </c>
      <c r="N208" s="2">
        <v>-539.59</v>
      </c>
      <c r="O208" s="2">
        <v>1.0</v>
      </c>
      <c r="P208" s="2">
        <v>394.51</v>
      </c>
      <c r="Q208" s="2">
        <v>88929.0</v>
      </c>
      <c r="R208" s="15" t="b">
        <f>ISNUMBER(MATCH(Q208,'Returned order'!A:A,0))</f>
        <v>0</v>
      </c>
      <c r="S208" s="22">
        <v>42125.0</v>
      </c>
      <c r="T208" s="15"/>
      <c r="U208" s="15"/>
      <c r="V208" s="15"/>
    </row>
    <row r="209">
      <c r="A209" s="2">
        <v>21281.0</v>
      </c>
      <c r="B209" s="1" t="s">
        <v>58</v>
      </c>
      <c r="C209" s="2">
        <v>0.06</v>
      </c>
      <c r="D209" s="2">
        <v>5.34</v>
      </c>
      <c r="E209" s="2">
        <v>383.0</v>
      </c>
      <c r="F209" s="1" t="s">
        <v>451</v>
      </c>
      <c r="G209" s="1" t="s">
        <v>32</v>
      </c>
      <c r="H209" s="1" t="s">
        <v>23</v>
      </c>
      <c r="I209" s="1" t="s">
        <v>24</v>
      </c>
      <c r="J209" s="1" t="s">
        <v>452</v>
      </c>
      <c r="K209" s="19" t="s">
        <v>26</v>
      </c>
      <c r="L209" s="20" t="s">
        <v>70</v>
      </c>
      <c r="M209" s="21">
        <f t="shared" si="1"/>
        <v>4</v>
      </c>
      <c r="N209" s="2">
        <v>-82.823</v>
      </c>
      <c r="O209" s="2">
        <v>7.0</v>
      </c>
      <c r="P209" s="2">
        <v>38.65</v>
      </c>
      <c r="Q209" s="2">
        <v>88928.0</v>
      </c>
      <c r="R209" s="15" t="b">
        <f>ISNUMBER(MATCH(Q209,'Returned order'!A:A,0))</f>
        <v>0</v>
      </c>
      <c r="S209" s="22">
        <v>42082.0</v>
      </c>
      <c r="T209" s="15"/>
      <c r="U209" s="15"/>
      <c r="V209" s="15"/>
    </row>
    <row r="210">
      <c r="A210" s="2">
        <v>21282.0</v>
      </c>
      <c r="B210" s="1" t="s">
        <v>58</v>
      </c>
      <c r="C210" s="2">
        <v>0.07</v>
      </c>
      <c r="D210" s="2">
        <v>65.99</v>
      </c>
      <c r="E210" s="2">
        <v>383.0</v>
      </c>
      <c r="F210" s="1" t="s">
        <v>451</v>
      </c>
      <c r="G210" s="1" t="s">
        <v>32</v>
      </c>
      <c r="H210" s="1" t="s">
        <v>46</v>
      </c>
      <c r="I210" s="1" t="s">
        <v>85</v>
      </c>
      <c r="J210" s="1">
        <v>8860.0</v>
      </c>
      <c r="K210" s="19" t="s">
        <v>26</v>
      </c>
      <c r="L210" s="20" t="s">
        <v>70</v>
      </c>
      <c r="M210" s="21">
        <f t="shared" si="1"/>
        <v>4</v>
      </c>
      <c r="N210" s="2">
        <v>107.082</v>
      </c>
      <c r="O210" s="2">
        <v>5.0</v>
      </c>
      <c r="P210" s="2">
        <v>279.83</v>
      </c>
      <c r="Q210" s="2">
        <v>88928.0</v>
      </c>
      <c r="R210" s="15" t="b">
        <f>ISNUMBER(MATCH(Q210,'Returned order'!A:A,0))</f>
        <v>0</v>
      </c>
      <c r="S210" s="22">
        <v>42082.0</v>
      </c>
      <c r="T210" s="15"/>
      <c r="U210" s="15"/>
      <c r="V210" s="15"/>
    </row>
    <row r="211">
      <c r="A211" s="2">
        <v>20919.0</v>
      </c>
      <c r="B211" s="1" t="s">
        <v>28</v>
      </c>
      <c r="C211" s="2">
        <v>0.1</v>
      </c>
      <c r="D211" s="2">
        <v>8.88</v>
      </c>
      <c r="E211" s="2">
        <v>387.0</v>
      </c>
      <c r="F211" s="1" t="s">
        <v>453</v>
      </c>
      <c r="G211" s="1" t="s">
        <v>32</v>
      </c>
      <c r="H211" s="1" t="s">
        <v>23</v>
      </c>
      <c r="I211" s="1" t="s">
        <v>24</v>
      </c>
      <c r="J211" s="1" t="s">
        <v>454</v>
      </c>
      <c r="K211" s="19" t="s">
        <v>68</v>
      </c>
      <c r="L211" s="20" t="s">
        <v>76</v>
      </c>
      <c r="M211" s="21">
        <f t="shared" si="1"/>
        <v>5</v>
      </c>
      <c r="N211" s="2">
        <v>-27.28375</v>
      </c>
      <c r="O211" s="2">
        <v>15.0</v>
      </c>
      <c r="P211" s="2">
        <v>126.9</v>
      </c>
      <c r="Q211" s="2">
        <v>90339.0</v>
      </c>
      <c r="R211" s="15" t="b">
        <f>ISNUMBER(MATCH(Q211,'Returned order'!A:A,0))</f>
        <v>0</v>
      </c>
      <c r="S211" s="22">
        <v>42167.0</v>
      </c>
      <c r="T211" s="15"/>
      <c r="U211" s="15"/>
      <c r="V211" s="15"/>
    </row>
    <row r="212">
      <c r="A212" s="2">
        <v>22223.0</v>
      </c>
      <c r="B212" s="1" t="s">
        <v>58</v>
      </c>
      <c r="C212" s="2">
        <v>0.03</v>
      </c>
      <c r="D212" s="2">
        <v>5.28</v>
      </c>
      <c r="E212" s="2">
        <v>388.0</v>
      </c>
      <c r="F212" s="1" t="s">
        <v>455</v>
      </c>
      <c r="G212" s="1" t="s">
        <v>32</v>
      </c>
      <c r="H212" s="1" t="s">
        <v>23</v>
      </c>
      <c r="I212" s="1" t="s">
        <v>93</v>
      </c>
      <c r="J212" s="1" t="s">
        <v>456</v>
      </c>
      <c r="K212" s="19" t="s">
        <v>68</v>
      </c>
      <c r="L212" s="20" t="s">
        <v>53</v>
      </c>
      <c r="M212" s="21">
        <f t="shared" si="1"/>
        <v>6</v>
      </c>
      <c r="N212" s="2">
        <v>-51.5592</v>
      </c>
      <c r="O212" s="2">
        <v>4.0</v>
      </c>
      <c r="P212" s="2">
        <v>22.82</v>
      </c>
      <c r="Q212" s="2">
        <v>90337.0</v>
      </c>
      <c r="R212" s="15" t="b">
        <f>ISNUMBER(MATCH(Q212,'Returned order'!A:A,0))</f>
        <v>0</v>
      </c>
      <c r="S212" s="22">
        <v>42007.0</v>
      </c>
      <c r="T212" s="15"/>
      <c r="U212" s="15"/>
      <c r="V212" s="15"/>
    </row>
    <row r="213">
      <c r="A213" s="2">
        <v>22224.0</v>
      </c>
      <c r="B213" s="1" t="s">
        <v>58</v>
      </c>
      <c r="C213" s="2">
        <v>0.01</v>
      </c>
      <c r="D213" s="2">
        <v>110.99</v>
      </c>
      <c r="E213" s="2">
        <v>388.0</v>
      </c>
      <c r="F213" s="1" t="s">
        <v>455</v>
      </c>
      <c r="G213" s="1" t="s">
        <v>32</v>
      </c>
      <c r="H213" s="1" t="s">
        <v>46</v>
      </c>
      <c r="I213" s="1" t="s">
        <v>85</v>
      </c>
      <c r="J213" s="1" t="s">
        <v>457</v>
      </c>
      <c r="K213" s="19" t="s">
        <v>68</v>
      </c>
      <c r="L213" s="20" t="s">
        <v>53</v>
      </c>
      <c r="M213" s="21">
        <f t="shared" si="1"/>
        <v>6</v>
      </c>
      <c r="N213" s="2">
        <v>-263.56572</v>
      </c>
      <c r="O213" s="2">
        <v>2.0</v>
      </c>
      <c r="P213" s="2">
        <v>188.66</v>
      </c>
      <c r="Q213" s="2">
        <v>90337.0</v>
      </c>
      <c r="R213" s="15" t="b">
        <f>ISNUMBER(MATCH(Q213,'Returned order'!A:A,0))</f>
        <v>0</v>
      </c>
      <c r="S213" s="22">
        <v>42007.0</v>
      </c>
      <c r="T213" s="15"/>
      <c r="U213" s="15"/>
      <c r="V213" s="15"/>
    </row>
    <row r="214">
      <c r="A214" s="2">
        <v>23853.0</v>
      </c>
      <c r="B214" s="1" t="s">
        <v>170</v>
      </c>
      <c r="C214" s="2">
        <v>0.03</v>
      </c>
      <c r="D214" s="2">
        <v>160.98</v>
      </c>
      <c r="E214" s="2">
        <v>389.0</v>
      </c>
      <c r="F214" s="1" t="s">
        <v>458</v>
      </c>
      <c r="G214" s="1" t="s">
        <v>32</v>
      </c>
      <c r="H214" s="1" t="s">
        <v>37</v>
      </c>
      <c r="I214" s="1" t="s">
        <v>38</v>
      </c>
      <c r="J214" s="1" t="s">
        <v>260</v>
      </c>
      <c r="K214" s="19" t="s">
        <v>68</v>
      </c>
      <c r="L214" s="20" t="s">
        <v>76</v>
      </c>
      <c r="M214" s="21">
        <f t="shared" si="1"/>
        <v>5</v>
      </c>
      <c r="N214" s="2">
        <v>1273.2087</v>
      </c>
      <c r="O214" s="2">
        <v>11.0</v>
      </c>
      <c r="P214" s="2">
        <v>1845.23</v>
      </c>
      <c r="Q214" s="2">
        <v>90338.0</v>
      </c>
      <c r="R214" s="15" t="b">
        <f>ISNUMBER(MATCH(Q214,'Returned order'!A:A,0))</f>
        <v>0</v>
      </c>
      <c r="S214" s="22">
        <v>42041.0</v>
      </c>
      <c r="T214" s="15"/>
      <c r="U214" s="15"/>
      <c r="V214" s="15"/>
    </row>
    <row r="215">
      <c r="A215" s="2">
        <v>25449.0</v>
      </c>
      <c r="B215" s="1" t="s">
        <v>63</v>
      </c>
      <c r="C215" s="2">
        <v>0.02</v>
      </c>
      <c r="D215" s="2">
        <v>34.98</v>
      </c>
      <c r="E215" s="2">
        <v>392.0</v>
      </c>
      <c r="F215" s="1" t="s">
        <v>459</v>
      </c>
      <c r="G215" s="1" t="s">
        <v>32</v>
      </c>
      <c r="H215" s="1" t="s">
        <v>46</v>
      </c>
      <c r="I215" s="1" t="s">
        <v>47</v>
      </c>
      <c r="J215" s="1" t="s">
        <v>460</v>
      </c>
      <c r="K215" s="19" t="s">
        <v>68</v>
      </c>
      <c r="L215" s="20" t="s">
        <v>70</v>
      </c>
      <c r="M215" s="21">
        <f t="shared" si="1"/>
        <v>4</v>
      </c>
      <c r="N215" s="2">
        <v>-159.68</v>
      </c>
      <c r="O215" s="2">
        <v>1.0</v>
      </c>
      <c r="P215" s="2">
        <v>37.16</v>
      </c>
      <c r="Q215" s="2">
        <v>86383.0</v>
      </c>
      <c r="R215" s="15" t="b">
        <f>ISNUMBER(MATCH(Q215,'Returned order'!A:A,0))</f>
        <v>0</v>
      </c>
      <c r="S215" s="22">
        <v>42068.0</v>
      </c>
      <c r="T215" s="15"/>
      <c r="U215" s="15"/>
      <c r="V215" s="15"/>
    </row>
    <row r="216">
      <c r="A216" s="2">
        <v>25450.0</v>
      </c>
      <c r="B216" s="1" t="s">
        <v>63</v>
      </c>
      <c r="C216" s="2">
        <v>0.01</v>
      </c>
      <c r="D216" s="2">
        <v>19.99</v>
      </c>
      <c r="E216" s="2">
        <v>392.0</v>
      </c>
      <c r="F216" s="1" t="s">
        <v>459</v>
      </c>
      <c r="G216" s="1" t="s">
        <v>32</v>
      </c>
      <c r="H216" s="1" t="s">
        <v>37</v>
      </c>
      <c r="I216" s="1" t="s">
        <v>42</v>
      </c>
      <c r="J216" s="1" t="s">
        <v>461</v>
      </c>
      <c r="K216" s="19" t="s">
        <v>68</v>
      </c>
      <c r="L216" s="20" t="s">
        <v>70</v>
      </c>
      <c r="M216" s="21">
        <f t="shared" si="1"/>
        <v>4</v>
      </c>
      <c r="N216" s="2">
        <v>27.91</v>
      </c>
      <c r="O216" s="2">
        <v>2.0</v>
      </c>
      <c r="P216" s="2">
        <v>43.65</v>
      </c>
      <c r="Q216" s="2">
        <v>86383.0</v>
      </c>
      <c r="R216" s="15" t="b">
        <f>ISNUMBER(MATCH(Q216,'Returned order'!A:A,0))</f>
        <v>0</v>
      </c>
      <c r="S216" s="22">
        <v>42068.0</v>
      </c>
      <c r="T216" s="15"/>
      <c r="U216" s="15"/>
      <c r="V216" s="15"/>
    </row>
    <row r="217">
      <c r="A217" s="2">
        <v>22598.0</v>
      </c>
      <c r="B217" s="1" t="s">
        <v>170</v>
      </c>
      <c r="C217" s="2">
        <v>0.07</v>
      </c>
      <c r="D217" s="2">
        <v>9.71</v>
      </c>
      <c r="E217" s="2">
        <v>393.0</v>
      </c>
      <c r="F217" s="1" t="s">
        <v>462</v>
      </c>
      <c r="G217" s="1" t="s">
        <v>32</v>
      </c>
      <c r="H217" s="1" t="s">
        <v>23</v>
      </c>
      <c r="I217" s="1" t="s">
        <v>120</v>
      </c>
      <c r="J217" s="1" t="s">
        <v>463</v>
      </c>
      <c r="K217" s="19" t="s">
        <v>26</v>
      </c>
      <c r="L217" s="20" t="s">
        <v>61</v>
      </c>
      <c r="M217" s="21">
        <f t="shared" si="1"/>
        <v>7</v>
      </c>
      <c r="N217" s="2">
        <v>-81.77</v>
      </c>
      <c r="O217" s="2">
        <v>3.0</v>
      </c>
      <c r="P217" s="2">
        <v>31.44</v>
      </c>
      <c r="Q217" s="2">
        <v>86382.0</v>
      </c>
      <c r="R217" s="15" t="b">
        <f>ISNUMBER(MATCH(Q217,'Returned order'!A:A,0))</f>
        <v>0</v>
      </c>
      <c r="S217" s="22">
        <v>42050.0</v>
      </c>
      <c r="T217" s="15"/>
      <c r="U217" s="15"/>
      <c r="V217" s="15"/>
    </row>
    <row r="218">
      <c r="A218" s="2">
        <v>24638.0</v>
      </c>
      <c r="B218" s="1" t="s">
        <v>58</v>
      </c>
      <c r="C218" s="2">
        <v>0.04</v>
      </c>
      <c r="D218" s="2">
        <v>15.98</v>
      </c>
      <c r="E218" s="2">
        <v>395.0</v>
      </c>
      <c r="F218" s="1" t="s">
        <v>464</v>
      </c>
      <c r="G218" s="1" t="s">
        <v>32</v>
      </c>
      <c r="H218" s="1" t="s">
        <v>46</v>
      </c>
      <c r="I218" s="1" t="s">
        <v>47</v>
      </c>
      <c r="J218" s="1" t="s">
        <v>465</v>
      </c>
      <c r="K218" s="19" t="s">
        <v>229</v>
      </c>
      <c r="L218" s="20" t="s">
        <v>70</v>
      </c>
      <c r="M218" s="21">
        <f t="shared" si="1"/>
        <v>4</v>
      </c>
      <c r="N218" s="2">
        <v>-19.208</v>
      </c>
      <c r="O218" s="2">
        <v>4.0</v>
      </c>
      <c r="P218" s="2">
        <v>64.59</v>
      </c>
      <c r="Q218" s="2">
        <v>86384.0</v>
      </c>
      <c r="R218" s="15" t="b">
        <f>ISNUMBER(MATCH(Q218,'Returned order'!A:A,0))</f>
        <v>0</v>
      </c>
      <c r="S218" s="22">
        <v>42173.0</v>
      </c>
      <c r="T218" s="15"/>
      <c r="U218" s="15"/>
      <c r="V218" s="15"/>
    </row>
    <row r="219">
      <c r="A219" s="2">
        <v>24639.0</v>
      </c>
      <c r="B219" s="1" t="s">
        <v>58</v>
      </c>
      <c r="C219" s="2">
        <v>0.06</v>
      </c>
      <c r="D219" s="2">
        <v>22.84</v>
      </c>
      <c r="E219" s="2">
        <v>395.0</v>
      </c>
      <c r="F219" s="1" t="s">
        <v>464</v>
      </c>
      <c r="G219" s="1" t="s">
        <v>32</v>
      </c>
      <c r="H219" s="1" t="s">
        <v>23</v>
      </c>
      <c r="I219" s="1" t="s">
        <v>93</v>
      </c>
      <c r="J219" s="1" t="s">
        <v>466</v>
      </c>
      <c r="K219" s="19" t="s">
        <v>229</v>
      </c>
      <c r="L219" s="20" t="s">
        <v>70</v>
      </c>
      <c r="M219" s="21">
        <f t="shared" si="1"/>
        <v>4</v>
      </c>
      <c r="N219" s="2">
        <v>7.44</v>
      </c>
      <c r="O219" s="2">
        <v>20.0</v>
      </c>
      <c r="P219" s="2">
        <v>461.94</v>
      </c>
      <c r="Q219" s="2">
        <v>86384.0</v>
      </c>
      <c r="R219" s="15" t="b">
        <f>ISNUMBER(MATCH(Q219,'Returned order'!A:A,0))</f>
        <v>0</v>
      </c>
      <c r="S219" s="22">
        <v>42173.0</v>
      </c>
      <c r="T219" s="15"/>
      <c r="U219" s="15"/>
      <c r="V219" s="15"/>
    </row>
    <row r="220">
      <c r="A220" s="2">
        <v>20693.0</v>
      </c>
      <c r="B220" s="1" t="s">
        <v>58</v>
      </c>
      <c r="C220" s="2">
        <v>0.1</v>
      </c>
      <c r="D220" s="2">
        <v>154.13</v>
      </c>
      <c r="E220" s="2">
        <v>397.0</v>
      </c>
      <c r="F220" s="1" t="s">
        <v>83</v>
      </c>
      <c r="G220" s="1" t="s">
        <v>32</v>
      </c>
      <c r="H220" s="1" t="s">
        <v>37</v>
      </c>
      <c r="I220" s="1" t="s">
        <v>73</v>
      </c>
      <c r="J220" s="1" t="s">
        <v>74</v>
      </c>
      <c r="K220" s="19" t="s">
        <v>26</v>
      </c>
      <c r="L220" s="20" t="s">
        <v>27</v>
      </c>
      <c r="M220" s="21">
        <f t="shared" si="1"/>
        <v>1</v>
      </c>
      <c r="N220" s="2">
        <v>-372.485971</v>
      </c>
      <c r="O220" s="2">
        <v>8.0</v>
      </c>
      <c r="P220" s="2">
        <v>1216.32</v>
      </c>
      <c r="Q220" s="2">
        <v>89319.0</v>
      </c>
      <c r="R220" s="15" t="b">
        <f>ISNUMBER(MATCH(Q220,'Returned order'!A:A,0))</f>
        <v>0</v>
      </c>
      <c r="S220" s="22">
        <v>42037.0</v>
      </c>
      <c r="T220" s="15"/>
      <c r="U220" s="15"/>
      <c r="V220" s="15"/>
    </row>
    <row r="221">
      <c r="A221" s="2">
        <v>24471.0</v>
      </c>
      <c r="B221" s="1" t="s">
        <v>63</v>
      </c>
      <c r="C221" s="2">
        <v>0.05</v>
      </c>
      <c r="D221" s="2">
        <v>63.94</v>
      </c>
      <c r="E221" s="2">
        <v>398.0</v>
      </c>
      <c r="F221" s="1" t="s">
        <v>467</v>
      </c>
      <c r="G221" s="1" t="s">
        <v>32</v>
      </c>
      <c r="H221" s="1" t="s">
        <v>37</v>
      </c>
      <c r="I221" s="1" t="s">
        <v>42</v>
      </c>
      <c r="J221" s="1" t="s">
        <v>468</v>
      </c>
      <c r="K221" s="19" t="s">
        <v>26</v>
      </c>
      <c r="L221" s="20" t="s">
        <v>53</v>
      </c>
      <c r="M221" s="21">
        <f t="shared" si="1"/>
        <v>6</v>
      </c>
      <c r="N221" s="2">
        <v>1372.6308</v>
      </c>
      <c r="O221" s="2">
        <v>31.0</v>
      </c>
      <c r="P221" s="2">
        <v>1989.32</v>
      </c>
      <c r="Q221" s="2">
        <v>89320.0</v>
      </c>
      <c r="R221" s="15" t="b">
        <f>ISNUMBER(MATCH(Q221,'Returned order'!A:A,0))</f>
        <v>0</v>
      </c>
      <c r="S221" s="22">
        <v>42147.0</v>
      </c>
      <c r="T221" s="15"/>
      <c r="U221" s="15"/>
      <c r="V221" s="15"/>
    </row>
    <row r="222">
      <c r="A222" s="2">
        <v>21570.0</v>
      </c>
      <c r="B222" s="1" t="s">
        <v>28</v>
      </c>
      <c r="C222" s="2">
        <v>0.03</v>
      </c>
      <c r="D222" s="2">
        <v>4.98</v>
      </c>
      <c r="E222" s="2">
        <v>406.0</v>
      </c>
      <c r="F222" s="1" t="s">
        <v>469</v>
      </c>
      <c r="G222" s="1" t="s">
        <v>66</v>
      </c>
      <c r="H222" s="1" t="s">
        <v>23</v>
      </c>
      <c r="I222" s="1" t="s">
        <v>93</v>
      </c>
      <c r="J222" s="1" t="s">
        <v>470</v>
      </c>
      <c r="K222" s="19" t="s">
        <v>26</v>
      </c>
      <c r="L222" s="20" t="s">
        <v>70</v>
      </c>
      <c r="M222" s="21">
        <f t="shared" si="1"/>
        <v>4</v>
      </c>
      <c r="N222" s="2">
        <v>50.2044</v>
      </c>
      <c r="O222" s="2">
        <v>15.0</v>
      </c>
      <c r="P222" s="2">
        <v>72.76</v>
      </c>
      <c r="Q222" s="2">
        <v>87804.0</v>
      </c>
      <c r="R222" s="15" t="b">
        <f>ISNUMBER(MATCH(Q222,'Returned order'!A:A,0))</f>
        <v>0</v>
      </c>
      <c r="S222" s="22">
        <v>42145.0</v>
      </c>
      <c r="T222" s="15"/>
      <c r="U222" s="15"/>
      <c r="V222" s="15"/>
    </row>
    <row r="223">
      <c r="A223" s="2">
        <v>19104.0</v>
      </c>
      <c r="B223" s="1" t="s">
        <v>170</v>
      </c>
      <c r="C223" s="2">
        <v>0.07</v>
      </c>
      <c r="D223" s="2">
        <v>29.17</v>
      </c>
      <c r="E223" s="2">
        <v>408.0</v>
      </c>
      <c r="F223" s="1" t="s">
        <v>471</v>
      </c>
      <c r="G223" s="1" t="s">
        <v>32</v>
      </c>
      <c r="H223" s="1" t="s">
        <v>23</v>
      </c>
      <c r="I223" s="1" t="s">
        <v>24</v>
      </c>
      <c r="J223" s="1" t="s">
        <v>472</v>
      </c>
      <c r="K223" s="19" t="s">
        <v>68</v>
      </c>
      <c r="L223" s="20" t="s">
        <v>53</v>
      </c>
      <c r="M223" s="21">
        <f t="shared" si="1"/>
        <v>6</v>
      </c>
      <c r="N223" s="2">
        <v>236.2371</v>
      </c>
      <c r="O223" s="2">
        <v>14.0</v>
      </c>
      <c r="P223" s="2">
        <v>400.47</v>
      </c>
      <c r="Q223" s="2">
        <v>89639.0</v>
      </c>
      <c r="R223" s="15" t="b">
        <f>ISNUMBER(MATCH(Q223,'Returned order'!A:A,0))</f>
        <v>0</v>
      </c>
      <c r="S223" s="22">
        <v>42126.0</v>
      </c>
      <c r="T223" s="15"/>
      <c r="U223" s="15"/>
      <c r="V223" s="15"/>
    </row>
    <row r="224">
      <c r="A224" s="2">
        <v>18428.0</v>
      </c>
      <c r="B224" s="1" t="s">
        <v>28</v>
      </c>
      <c r="C224" s="2">
        <v>0.05</v>
      </c>
      <c r="D224" s="2">
        <v>178.47</v>
      </c>
      <c r="E224" s="2">
        <v>411.0</v>
      </c>
      <c r="F224" s="1" t="s">
        <v>473</v>
      </c>
      <c r="G224" s="1" t="s">
        <v>22</v>
      </c>
      <c r="H224" s="1" t="s">
        <v>23</v>
      </c>
      <c r="I224" s="1" t="s">
        <v>120</v>
      </c>
      <c r="J224" s="1" t="s">
        <v>474</v>
      </c>
      <c r="K224" s="19" t="s">
        <v>34</v>
      </c>
      <c r="L224" s="20" t="s">
        <v>27</v>
      </c>
      <c r="M224" s="21">
        <f t="shared" si="1"/>
        <v>1</v>
      </c>
      <c r="N224" s="2">
        <v>943.0</v>
      </c>
      <c r="O224" s="2">
        <v>9.0</v>
      </c>
      <c r="P224" s="2">
        <v>1531.31</v>
      </c>
      <c r="Q224" s="2">
        <v>87905.0</v>
      </c>
      <c r="R224" s="15" t="b">
        <f>ISNUMBER(MATCH(Q224,'Returned order'!A:A,0))</f>
        <v>0</v>
      </c>
      <c r="S224" s="22">
        <v>42128.0</v>
      </c>
      <c r="T224" s="15"/>
      <c r="U224" s="15"/>
      <c r="V224" s="15"/>
    </row>
    <row r="225">
      <c r="A225" s="2">
        <v>21739.0</v>
      </c>
      <c r="B225" s="1" t="s">
        <v>58</v>
      </c>
      <c r="C225" s="2">
        <v>0.09</v>
      </c>
      <c r="D225" s="2">
        <v>999.99</v>
      </c>
      <c r="E225" s="2">
        <v>421.0</v>
      </c>
      <c r="F225" s="1" t="s">
        <v>475</v>
      </c>
      <c r="G225" s="1" t="s">
        <v>66</v>
      </c>
      <c r="H225" s="1" t="s">
        <v>46</v>
      </c>
      <c r="I225" s="1" t="s">
        <v>103</v>
      </c>
      <c r="J225" s="1" t="s">
        <v>476</v>
      </c>
      <c r="K225" s="19" t="s">
        <v>26</v>
      </c>
      <c r="L225" s="20" t="s">
        <v>76</v>
      </c>
      <c r="M225" s="21">
        <f t="shared" si="1"/>
        <v>5</v>
      </c>
      <c r="N225" s="2">
        <v>-2531.4825</v>
      </c>
      <c r="O225" s="2">
        <v>1.0</v>
      </c>
      <c r="P225" s="2">
        <v>919.09</v>
      </c>
      <c r="Q225" s="2">
        <v>87700.0</v>
      </c>
      <c r="R225" s="15" t="b">
        <f>ISNUMBER(MATCH(Q225,'Returned order'!A:A,0))</f>
        <v>0</v>
      </c>
      <c r="S225" s="22">
        <v>42041.0</v>
      </c>
      <c r="T225" s="15"/>
      <c r="U225" s="15"/>
      <c r="V225" s="15"/>
    </row>
    <row r="226">
      <c r="A226" s="2">
        <v>22355.0</v>
      </c>
      <c r="B226" s="1" t="s">
        <v>28</v>
      </c>
      <c r="C226" s="2">
        <v>0.02</v>
      </c>
      <c r="D226" s="2">
        <v>15.28</v>
      </c>
      <c r="E226" s="2">
        <v>428.0</v>
      </c>
      <c r="F226" s="1" t="s">
        <v>477</v>
      </c>
      <c r="G226" s="1" t="s">
        <v>32</v>
      </c>
      <c r="H226" s="1" t="s">
        <v>46</v>
      </c>
      <c r="I226" s="1" t="s">
        <v>47</v>
      </c>
      <c r="J226" s="1" t="s">
        <v>342</v>
      </c>
      <c r="K226" s="19" t="s">
        <v>34</v>
      </c>
      <c r="L226" s="20" t="s">
        <v>70</v>
      </c>
      <c r="M226" s="21">
        <f t="shared" si="1"/>
        <v>4</v>
      </c>
      <c r="N226" s="2">
        <v>163.1574</v>
      </c>
      <c r="O226" s="2">
        <v>15.0</v>
      </c>
      <c r="P226" s="2">
        <v>236.46</v>
      </c>
      <c r="Q226" s="2">
        <v>88479.0</v>
      </c>
      <c r="R226" s="15" t="b">
        <f>ISNUMBER(MATCH(Q226,'Returned order'!A:A,0))</f>
        <v>0</v>
      </c>
      <c r="S226" s="22">
        <v>42019.0</v>
      </c>
      <c r="T226" s="15"/>
      <c r="U226" s="15"/>
      <c r="V226" s="15"/>
    </row>
    <row r="227">
      <c r="A227" s="2">
        <v>22356.0</v>
      </c>
      <c r="B227" s="1" t="s">
        <v>28</v>
      </c>
      <c r="C227" s="2">
        <v>0.0</v>
      </c>
      <c r="D227" s="2">
        <v>85.99</v>
      </c>
      <c r="E227" s="2">
        <v>428.0</v>
      </c>
      <c r="F227" s="1" t="s">
        <v>477</v>
      </c>
      <c r="G227" s="1" t="s">
        <v>32</v>
      </c>
      <c r="H227" s="1" t="s">
        <v>46</v>
      </c>
      <c r="I227" s="1" t="s">
        <v>85</v>
      </c>
      <c r="J227" s="1" t="s">
        <v>478</v>
      </c>
      <c r="K227" s="19" t="s">
        <v>34</v>
      </c>
      <c r="L227" s="20" t="s">
        <v>70</v>
      </c>
      <c r="M227" s="21">
        <f t="shared" si="1"/>
        <v>4</v>
      </c>
      <c r="N227" s="2">
        <v>-302.225</v>
      </c>
      <c r="O227" s="2">
        <v>1.0</v>
      </c>
      <c r="P227" s="2">
        <v>73.82</v>
      </c>
      <c r="Q227" s="2">
        <v>88479.0</v>
      </c>
      <c r="R227" s="15" t="b">
        <f>ISNUMBER(MATCH(Q227,'Returned order'!A:A,0))</f>
        <v>0</v>
      </c>
      <c r="S227" s="22">
        <v>42019.0</v>
      </c>
      <c r="T227" s="15"/>
      <c r="U227" s="15"/>
      <c r="V227" s="15"/>
    </row>
    <row r="228">
      <c r="A228" s="2">
        <v>25351.0</v>
      </c>
      <c r="B228" s="1" t="s">
        <v>49</v>
      </c>
      <c r="C228" s="2">
        <v>0.05</v>
      </c>
      <c r="D228" s="2">
        <v>10.98</v>
      </c>
      <c r="E228" s="2">
        <v>428.0</v>
      </c>
      <c r="F228" s="1" t="s">
        <v>477</v>
      </c>
      <c r="G228" s="1" t="s">
        <v>32</v>
      </c>
      <c r="H228" s="1" t="s">
        <v>23</v>
      </c>
      <c r="I228" s="1" t="s">
        <v>88</v>
      </c>
      <c r="J228" s="1" t="s">
        <v>479</v>
      </c>
      <c r="K228" s="19" t="s">
        <v>34</v>
      </c>
      <c r="L228" s="20" t="s">
        <v>57</v>
      </c>
      <c r="M228" s="21">
        <f t="shared" si="1"/>
        <v>2</v>
      </c>
      <c r="N228" s="2">
        <v>90.62</v>
      </c>
      <c r="O228" s="2">
        <v>22.0</v>
      </c>
      <c r="P228" s="2">
        <v>243.11</v>
      </c>
      <c r="Q228" s="2">
        <v>88480.0</v>
      </c>
      <c r="R228" s="15" t="b">
        <f>ISNUMBER(MATCH(Q228,'Returned order'!A:A,0))</f>
        <v>0</v>
      </c>
      <c r="S228" s="22">
        <v>42066.0</v>
      </c>
      <c r="T228" s="15"/>
      <c r="U228" s="15"/>
      <c r="V228" s="15"/>
    </row>
    <row r="229">
      <c r="A229" s="2">
        <v>19988.0</v>
      </c>
      <c r="B229" s="1" t="s">
        <v>170</v>
      </c>
      <c r="C229" s="2">
        <v>0.05</v>
      </c>
      <c r="D229" s="2">
        <v>125.99</v>
      </c>
      <c r="E229" s="2">
        <v>437.0</v>
      </c>
      <c r="F229" s="1" t="s">
        <v>84</v>
      </c>
      <c r="G229" s="1" t="s">
        <v>66</v>
      </c>
      <c r="H229" s="1" t="s">
        <v>46</v>
      </c>
      <c r="I229" s="1" t="s">
        <v>85</v>
      </c>
      <c r="J229" s="1" t="s">
        <v>86</v>
      </c>
      <c r="K229" s="19" t="s">
        <v>26</v>
      </c>
      <c r="L229" s="20" t="s">
        <v>27</v>
      </c>
      <c r="M229" s="21">
        <f t="shared" si="1"/>
        <v>1</v>
      </c>
      <c r="N229" s="2">
        <v>427.1184</v>
      </c>
      <c r="O229" s="2">
        <v>9.0</v>
      </c>
      <c r="P229" s="2">
        <v>952.26</v>
      </c>
      <c r="Q229" s="2">
        <v>90695.0</v>
      </c>
      <c r="R229" s="15" t="b">
        <f>ISNUMBER(MATCH(Q229,'Returned order'!A:A,0))</f>
        <v>0</v>
      </c>
      <c r="S229" s="22">
        <v>42177.0</v>
      </c>
      <c r="T229" s="15"/>
      <c r="U229" s="15"/>
      <c r="V229" s="15"/>
    </row>
    <row r="230">
      <c r="A230" s="2">
        <v>25813.0</v>
      </c>
      <c r="B230" s="1" t="s">
        <v>58</v>
      </c>
      <c r="C230" s="2">
        <v>0.0</v>
      </c>
      <c r="D230" s="2">
        <v>7.59</v>
      </c>
      <c r="E230" s="2">
        <v>444.0</v>
      </c>
      <c r="F230" s="1" t="s">
        <v>480</v>
      </c>
      <c r="G230" s="1" t="s">
        <v>66</v>
      </c>
      <c r="H230" s="1" t="s">
        <v>37</v>
      </c>
      <c r="I230" s="1" t="s">
        <v>42</v>
      </c>
      <c r="J230" s="1" t="s">
        <v>413</v>
      </c>
      <c r="K230" s="19" t="s">
        <v>68</v>
      </c>
      <c r="L230" s="20" t="s">
        <v>27</v>
      </c>
      <c r="M230" s="21">
        <f t="shared" si="1"/>
        <v>1</v>
      </c>
      <c r="N230" s="2">
        <v>86.438</v>
      </c>
      <c r="O230" s="2">
        <v>43.0</v>
      </c>
      <c r="P230" s="2">
        <v>355.92</v>
      </c>
      <c r="Q230" s="2">
        <v>88085.0</v>
      </c>
      <c r="R230" s="15" t="b">
        <f>ISNUMBER(MATCH(Q230,'Returned order'!A:A,0))</f>
        <v>0</v>
      </c>
      <c r="S230" s="22">
        <v>42149.0</v>
      </c>
      <c r="T230" s="15"/>
      <c r="U230" s="15"/>
      <c r="V230" s="15"/>
    </row>
    <row r="231">
      <c r="A231" s="2">
        <v>23153.0</v>
      </c>
      <c r="B231" s="1" t="s">
        <v>49</v>
      </c>
      <c r="C231" s="2">
        <v>0.03</v>
      </c>
      <c r="D231" s="2">
        <v>48.04</v>
      </c>
      <c r="E231" s="2">
        <v>445.0</v>
      </c>
      <c r="F231" s="1" t="s">
        <v>481</v>
      </c>
      <c r="G231" s="1" t="s">
        <v>66</v>
      </c>
      <c r="H231" s="1" t="s">
        <v>23</v>
      </c>
      <c r="I231" s="1" t="s">
        <v>93</v>
      </c>
      <c r="J231" s="1" t="s">
        <v>482</v>
      </c>
      <c r="K231" s="19" t="s">
        <v>68</v>
      </c>
      <c r="L231" s="20" t="s">
        <v>53</v>
      </c>
      <c r="M231" s="21">
        <f t="shared" si="1"/>
        <v>6</v>
      </c>
      <c r="N231" s="2">
        <v>-4.46</v>
      </c>
      <c r="O231" s="2">
        <v>2.0</v>
      </c>
      <c r="P231" s="2">
        <v>101.71</v>
      </c>
      <c r="Q231" s="2">
        <v>88083.0</v>
      </c>
      <c r="R231" s="15" t="b">
        <f>ISNUMBER(MATCH(Q231,'Returned order'!A:A,0))</f>
        <v>0</v>
      </c>
      <c r="S231" s="22">
        <v>42105.0</v>
      </c>
      <c r="T231" s="15"/>
      <c r="U231" s="15"/>
      <c r="V231" s="15"/>
    </row>
    <row r="232">
      <c r="A232" s="2">
        <v>23862.0</v>
      </c>
      <c r="B232" s="1" t="s">
        <v>28</v>
      </c>
      <c r="C232" s="2">
        <v>0.09</v>
      </c>
      <c r="D232" s="2">
        <v>200.98</v>
      </c>
      <c r="E232" s="2">
        <v>445.0</v>
      </c>
      <c r="F232" s="1" t="s">
        <v>481</v>
      </c>
      <c r="G232" s="1" t="s">
        <v>66</v>
      </c>
      <c r="H232" s="1" t="s">
        <v>37</v>
      </c>
      <c r="I232" s="1" t="s">
        <v>55</v>
      </c>
      <c r="J232" s="1" t="s">
        <v>443</v>
      </c>
      <c r="K232" s="19" t="s">
        <v>68</v>
      </c>
      <c r="L232" s="20" t="s">
        <v>57</v>
      </c>
      <c r="M232" s="21">
        <f t="shared" si="1"/>
        <v>2</v>
      </c>
      <c r="N232" s="2">
        <v>-512.872</v>
      </c>
      <c r="O232" s="2">
        <v>9.0</v>
      </c>
      <c r="P232" s="2">
        <v>1766.68</v>
      </c>
      <c r="Q232" s="2">
        <v>88084.0</v>
      </c>
      <c r="R232" s="15" t="b">
        <f>ISNUMBER(MATCH(Q232,'Returned order'!A:A,0))</f>
        <v>0</v>
      </c>
      <c r="S232" s="22">
        <v>42178.0</v>
      </c>
      <c r="T232" s="15"/>
      <c r="U232" s="15"/>
      <c r="V232" s="15"/>
    </row>
    <row r="233">
      <c r="A233" s="2">
        <v>23863.0</v>
      </c>
      <c r="B233" s="1" t="s">
        <v>28</v>
      </c>
      <c r="C233" s="2">
        <v>0.09</v>
      </c>
      <c r="D233" s="2">
        <v>2.78</v>
      </c>
      <c r="E233" s="2">
        <v>445.0</v>
      </c>
      <c r="F233" s="1" t="s">
        <v>481</v>
      </c>
      <c r="G233" s="1" t="s">
        <v>66</v>
      </c>
      <c r="H233" s="1" t="s">
        <v>23</v>
      </c>
      <c r="I233" s="1" t="s">
        <v>29</v>
      </c>
      <c r="J233" s="1" t="s">
        <v>483</v>
      </c>
      <c r="K233" s="19" t="s">
        <v>68</v>
      </c>
      <c r="L233" s="20" t="s">
        <v>57</v>
      </c>
      <c r="M233" s="21">
        <f t="shared" si="1"/>
        <v>2</v>
      </c>
      <c r="N233" s="2">
        <v>-3.784</v>
      </c>
      <c r="O233" s="2">
        <v>11.0</v>
      </c>
      <c r="P233" s="2">
        <v>29.02</v>
      </c>
      <c r="Q233" s="2">
        <v>88084.0</v>
      </c>
      <c r="R233" s="15" t="b">
        <f>ISNUMBER(MATCH(Q233,'Returned order'!A:A,0))</f>
        <v>0</v>
      </c>
      <c r="S233" s="22">
        <v>42178.0</v>
      </c>
      <c r="T233" s="15"/>
      <c r="U233" s="15"/>
      <c r="V233" s="15"/>
    </row>
    <row r="234">
      <c r="A234" s="2">
        <v>19694.0</v>
      </c>
      <c r="B234" s="1" t="s">
        <v>49</v>
      </c>
      <c r="C234" s="2">
        <v>0.04</v>
      </c>
      <c r="D234" s="2">
        <v>130.98</v>
      </c>
      <c r="E234" s="2">
        <v>447.0</v>
      </c>
      <c r="F234" s="1" t="s">
        <v>484</v>
      </c>
      <c r="G234" s="1" t="s">
        <v>32</v>
      </c>
      <c r="H234" s="1" t="s">
        <v>37</v>
      </c>
      <c r="I234" s="1" t="s">
        <v>38</v>
      </c>
      <c r="J234" s="1" t="s">
        <v>485</v>
      </c>
      <c r="K234" s="19" t="s">
        <v>68</v>
      </c>
      <c r="L234" s="20" t="s">
        <v>70</v>
      </c>
      <c r="M234" s="21">
        <f t="shared" si="1"/>
        <v>4</v>
      </c>
      <c r="N234" s="2">
        <v>-82.904</v>
      </c>
      <c r="O234" s="2">
        <v>1.0</v>
      </c>
      <c r="P234" s="2">
        <v>159.51</v>
      </c>
      <c r="Q234" s="2">
        <v>90449.0</v>
      </c>
      <c r="R234" s="15" t="b">
        <f>ISNUMBER(MATCH(Q234,'Returned order'!A:A,0))</f>
        <v>0</v>
      </c>
      <c r="S234" s="22">
        <v>42180.0</v>
      </c>
      <c r="T234" s="15"/>
      <c r="U234" s="15"/>
      <c r="V234" s="15"/>
    </row>
    <row r="235">
      <c r="A235" s="2">
        <v>19695.0</v>
      </c>
      <c r="B235" s="1" t="s">
        <v>49</v>
      </c>
      <c r="C235" s="2">
        <v>0.05</v>
      </c>
      <c r="D235" s="2">
        <v>200.99</v>
      </c>
      <c r="E235" s="2">
        <v>447.0</v>
      </c>
      <c r="F235" s="1" t="s">
        <v>484</v>
      </c>
      <c r="G235" s="1" t="s">
        <v>32</v>
      </c>
      <c r="H235" s="1" t="s">
        <v>46</v>
      </c>
      <c r="I235" s="1" t="s">
        <v>85</v>
      </c>
      <c r="J235" s="1" t="s">
        <v>486</v>
      </c>
      <c r="K235" s="19" t="s">
        <v>68</v>
      </c>
      <c r="L235" s="20" t="s">
        <v>70</v>
      </c>
      <c r="M235" s="21">
        <f t="shared" si="1"/>
        <v>4</v>
      </c>
      <c r="N235" s="2">
        <v>1268.8065</v>
      </c>
      <c r="O235" s="2">
        <v>11.0</v>
      </c>
      <c r="P235" s="2">
        <v>1838.85</v>
      </c>
      <c r="Q235" s="2">
        <v>90449.0</v>
      </c>
      <c r="R235" s="15" t="b">
        <f>ISNUMBER(MATCH(Q235,'Returned order'!A:A,0))</f>
        <v>0</v>
      </c>
      <c r="S235" s="22">
        <v>42180.0</v>
      </c>
      <c r="T235" s="15"/>
      <c r="U235" s="15"/>
      <c r="V235" s="15"/>
    </row>
    <row r="236">
      <c r="A236" s="2">
        <v>20851.0</v>
      </c>
      <c r="B236" s="1" t="s">
        <v>28</v>
      </c>
      <c r="C236" s="2">
        <v>0.03</v>
      </c>
      <c r="D236" s="2">
        <v>15.99</v>
      </c>
      <c r="E236" s="2">
        <v>451.0</v>
      </c>
      <c r="F236" s="1" t="s">
        <v>487</v>
      </c>
      <c r="G236" s="1" t="s">
        <v>51</v>
      </c>
      <c r="H236" s="1" t="s">
        <v>46</v>
      </c>
      <c r="I236" s="1" t="s">
        <v>103</v>
      </c>
      <c r="J236" s="1" t="s">
        <v>488</v>
      </c>
      <c r="K236" s="19" t="s">
        <v>34</v>
      </c>
      <c r="L236" s="20" t="s">
        <v>76</v>
      </c>
      <c r="M236" s="21">
        <f t="shared" si="1"/>
        <v>5</v>
      </c>
      <c r="N236" s="2">
        <v>-53.2962</v>
      </c>
      <c r="O236" s="2">
        <v>2.0</v>
      </c>
      <c r="P236" s="2">
        <v>35.48</v>
      </c>
      <c r="Q236" s="2">
        <v>86010.0</v>
      </c>
      <c r="R236" s="15" t="b">
        <f>ISNUMBER(MATCH(Q236,'Returned order'!A:A,0))</f>
        <v>0</v>
      </c>
      <c r="S236" s="22">
        <v>42104.0</v>
      </c>
      <c r="T236" s="15"/>
      <c r="U236" s="15"/>
      <c r="V236" s="15"/>
    </row>
    <row r="237">
      <c r="A237" s="2">
        <v>21117.0</v>
      </c>
      <c r="B237" s="1" t="s">
        <v>58</v>
      </c>
      <c r="C237" s="2">
        <v>0.04</v>
      </c>
      <c r="D237" s="2">
        <v>37.7</v>
      </c>
      <c r="E237" s="2">
        <v>451.0</v>
      </c>
      <c r="F237" s="1" t="s">
        <v>487</v>
      </c>
      <c r="G237" s="1" t="s">
        <v>51</v>
      </c>
      <c r="H237" s="1" t="s">
        <v>23</v>
      </c>
      <c r="I237" s="1" t="s">
        <v>24</v>
      </c>
      <c r="J237" s="1" t="s">
        <v>489</v>
      </c>
      <c r="K237" s="19" t="s">
        <v>34</v>
      </c>
      <c r="L237" s="20" t="s">
        <v>35</v>
      </c>
      <c r="M237" s="21">
        <f t="shared" si="1"/>
        <v>3</v>
      </c>
      <c r="N237" s="2">
        <v>299.6739</v>
      </c>
      <c r="O237" s="2">
        <v>12.0</v>
      </c>
      <c r="P237" s="2">
        <v>434.31</v>
      </c>
      <c r="Q237" s="2">
        <v>86012.0</v>
      </c>
      <c r="R237" s="15" t="b">
        <f>ISNUMBER(MATCH(Q237,'Returned order'!A:A,0))</f>
        <v>0</v>
      </c>
      <c r="S237" s="22">
        <v>42151.0</v>
      </c>
      <c r="T237" s="15"/>
      <c r="U237" s="15"/>
      <c r="V237" s="15"/>
    </row>
    <row r="238">
      <c r="A238" s="2">
        <v>18536.0</v>
      </c>
      <c r="B238" s="1" t="s">
        <v>170</v>
      </c>
      <c r="C238" s="2">
        <v>0.01</v>
      </c>
      <c r="D238" s="2">
        <v>8.88</v>
      </c>
      <c r="E238" s="2">
        <v>451.0</v>
      </c>
      <c r="F238" s="1" t="s">
        <v>487</v>
      </c>
      <c r="G238" s="1" t="s">
        <v>51</v>
      </c>
      <c r="H238" s="1" t="s">
        <v>23</v>
      </c>
      <c r="I238" s="1" t="s">
        <v>24</v>
      </c>
      <c r="J238" s="1" t="s">
        <v>454</v>
      </c>
      <c r="K238" s="19" t="s">
        <v>34</v>
      </c>
      <c r="L238" s="20" t="s">
        <v>27</v>
      </c>
      <c r="M238" s="21">
        <f t="shared" si="1"/>
        <v>1</v>
      </c>
      <c r="N238" s="2">
        <v>-15.456</v>
      </c>
      <c r="O238" s="2">
        <v>2.0</v>
      </c>
      <c r="P238" s="2">
        <v>19.86</v>
      </c>
      <c r="Q238" s="2">
        <v>86013.0</v>
      </c>
      <c r="R238" s="15" t="b">
        <f>ISNUMBER(MATCH(Q238,'Returned order'!A:A,0))</f>
        <v>0</v>
      </c>
      <c r="S238" s="22">
        <v>42009.0</v>
      </c>
      <c r="T238" s="15"/>
      <c r="U238" s="15"/>
      <c r="V238" s="15"/>
    </row>
    <row r="239">
      <c r="A239" s="2">
        <v>18537.0</v>
      </c>
      <c r="B239" s="1" t="s">
        <v>170</v>
      </c>
      <c r="C239" s="2">
        <v>0.06</v>
      </c>
      <c r="D239" s="2">
        <v>2.88</v>
      </c>
      <c r="E239" s="2">
        <v>451.0</v>
      </c>
      <c r="F239" s="1" t="s">
        <v>487</v>
      </c>
      <c r="G239" s="1" t="s">
        <v>51</v>
      </c>
      <c r="H239" s="1" t="s">
        <v>23</v>
      </c>
      <c r="I239" s="1" t="s">
        <v>130</v>
      </c>
      <c r="J239" s="1" t="s">
        <v>354</v>
      </c>
      <c r="K239" s="19" t="s">
        <v>34</v>
      </c>
      <c r="L239" s="20" t="s">
        <v>27</v>
      </c>
      <c r="M239" s="21">
        <f t="shared" si="1"/>
        <v>1</v>
      </c>
      <c r="N239" s="2">
        <v>16.0494</v>
      </c>
      <c r="O239" s="2">
        <v>8.0</v>
      </c>
      <c r="P239" s="2">
        <v>23.26</v>
      </c>
      <c r="Q239" s="2">
        <v>86013.0</v>
      </c>
      <c r="R239" s="15" t="b">
        <f>ISNUMBER(MATCH(Q239,'Returned order'!A:A,0))</f>
        <v>0</v>
      </c>
      <c r="S239" s="22">
        <v>42009.0</v>
      </c>
      <c r="T239" s="15"/>
      <c r="U239" s="15"/>
      <c r="V239" s="15"/>
    </row>
    <row r="240">
      <c r="A240" s="2">
        <v>21118.0</v>
      </c>
      <c r="B240" s="1" t="s">
        <v>58</v>
      </c>
      <c r="C240" s="2">
        <v>0.01</v>
      </c>
      <c r="D240" s="2">
        <v>55.99</v>
      </c>
      <c r="E240" s="2">
        <v>452.0</v>
      </c>
      <c r="F240" s="1" t="s">
        <v>491</v>
      </c>
      <c r="G240" s="1" t="s">
        <v>51</v>
      </c>
      <c r="H240" s="1" t="s">
        <v>46</v>
      </c>
      <c r="I240" s="1" t="s">
        <v>85</v>
      </c>
      <c r="J240" s="1" t="s">
        <v>384</v>
      </c>
      <c r="K240" s="19" t="s">
        <v>34</v>
      </c>
      <c r="L240" s="20" t="s">
        <v>35</v>
      </c>
      <c r="M240" s="21">
        <f t="shared" si="1"/>
        <v>3</v>
      </c>
      <c r="N240" s="2">
        <v>-235.895</v>
      </c>
      <c r="O240" s="2">
        <v>1.0</v>
      </c>
      <c r="P240" s="2">
        <v>51.83</v>
      </c>
      <c r="Q240" s="2">
        <v>86012.0</v>
      </c>
      <c r="R240" s="15" t="b">
        <f>ISNUMBER(MATCH(Q240,'Returned order'!A:A,0))</f>
        <v>0</v>
      </c>
      <c r="S240" s="22">
        <v>42151.0</v>
      </c>
      <c r="T240" s="15"/>
      <c r="U240" s="15"/>
      <c r="V240" s="15"/>
    </row>
    <row r="241">
      <c r="A241" s="2">
        <v>22318.0</v>
      </c>
      <c r="B241" s="1" t="s">
        <v>49</v>
      </c>
      <c r="C241" s="2">
        <v>0.03</v>
      </c>
      <c r="D241" s="2">
        <v>29.34</v>
      </c>
      <c r="E241" s="2">
        <v>453.0</v>
      </c>
      <c r="F241" s="1" t="s">
        <v>492</v>
      </c>
      <c r="G241" s="1" t="s">
        <v>32</v>
      </c>
      <c r="H241" s="1" t="s">
        <v>37</v>
      </c>
      <c r="I241" s="1" t="s">
        <v>42</v>
      </c>
      <c r="J241" s="1" t="s">
        <v>493</v>
      </c>
      <c r="K241" s="19" t="s">
        <v>34</v>
      </c>
      <c r="L241" s="20" t="s">
        <v>76</v>
      </c>
      <c r="M241" s="21">
        <f t="shared" si="1"/>
        <v>5</v>
      </c>
      <c r="N241" s="2">
        <v>-41.32</v>
      </c>
      <c r="O241" s="2">
        <v>1.0</v>
      </c>
      <c r="P241" s="2">
        <v>32.4</v>
      </c>
      <c r="Q241" s="2">
        <v>86011.0</v>
      </c>
      <c r="R241" s="15" t="b">
        <f>ISNUMBER(MATCH(Q241,'Returned order'!A:A,0))</f>
        <v>0</v>
      </c>
      <c r="S241" s="22">
        <v>42132.0</v>
      </c>
      <c r="T241" s="15"/>
      <c r="U241" s="15"/>
      <c r="V241" s="15"/>
    </row>
    <row r="242">
      <c r="A242" s="2">
        <v>22874.0</v>
      </c>
      <c r="B242" s="1" t="s">
        <v>170</v>
      </c>
      <c r="C242" s="2">
        <v>0.07</v>
      </c>
      <c r="D242" s="2">
        <v>16.91</v>
      </c>
      <c r="E242" s="2">
        <v>460.0</v>
      </c>
      <c r="F242" s="1" t="s">
        <v>494</v>
      </c>
      <c r="G242" s="1" t="s">
        <v>51</v>
      </c>
      <c r="H242" s="1" t="s">
        <v>23</v>
      </c>
      <c r="I242" s="1" t="s">
        <v>120</v>
      </c>
      <c r="J242" s="1" t="s">
        <v>495</v>
      </c>
      <c r="K242" s="19" t="s">
        <v>26</v>
      </c>
      <c r="L242" s="20" t="s">
        <v>53</v>
      </c>
      <c r="M242" s="21">
        <f t="shared" si="1"/>
        <v>6</v>
      </c>
      <c r="N242" s="2">
        <v>7.9</v>
      </c>
      <c r="O242" s="2">
        <v>31.0</v>
      </c>
      <c r="P242" s="2">
        <v>492.9</v>
      </c>
      <c r="Q242" s="2">
        <v>86014.0</v>
      </c>
      <c r="R242" s="15" t="b">
        <f>ISNUMBER(MATCH(Q242,'Returned order'!A:A,0))</f>
        <v>0</v>
      </c>
      <c r="S242" s="22">
        <v>42147.0</v>
      </c>
      <c r="T242" s="15"/>
      <c r="U242" s="15"/>
      <c r="V242" s="15"/>
    </row>
    <row r="243">
      <c r="A243" s="2">
        <v>18467.0</v>
      </c>
      <c r="B243" s="1" t="s">
        <v>170</v>
      </c>
      <c r="C243" s="2">
        <v>0.07</v>
      </c>
      <c r="D243" s="2">
        <v>165.2</v>
      </c>
      <c r="E243" s="2">
        <v>463.0</v>
      </c>
      <c r="F243" s="1" t="s">
        <v>496</v>
      </c>
      <c r="G243" s="1" t="s">
        <v>66</v>
      </c>
      <c r="H243" s="1" t="s">
        <v>23</v>
      </c>
      <c r="I243" s="1" t="s">
        <v>120</v>
      </c>
      <c r="J243" s="1" t="s">
        <v>497</v>
      </c>
      <c r="K243" s="19" t="s">
        <v>34</v>
      </c>
      <c r="L243" s="20" t="s">
        <v>35</v>
      </c>
      <c r="M243" s="21">
        <f t="shared" si="1"/>
        <v>3</v>
      </c>
      <c r="N243" s="2">
        <v>521.69</v>
      </c>
      <c r="O243" s="2">
        <v>7.0</v>
      </c>
      <c r="P243" s="2">
        <v>1081.54</v>
      </c>
      <c r="Q243" s="2">
        <v>88061.0</v>
      </c>
      <c r="R243" s="15" t="b">
        <f>ISNUMBER(MATCH(Q243,'Returned order'!A:A,0))</f>
        <v>0</v>
      </c>
      <c r="S243" s="22">
        <v>42018.0</v>
      </c>
      <c r="T243" s="15"/>
      <c r="U243" s="15"/>
      <c r="V243" s="15"/>
    </row>
    <row r="244">
      <c r="A244" s="2">
        <v>22754.0</v>
      </c>
      <c r="B244" s="1" t="s">
        <v>49</v>
      </c>
      <c r="C244" s="2">
        <v>0.08</v>
      </c>
      <c r="D244" s="2">
        <v>297.64</v>
      </c>
      <c r="E244" s="2">
        <v>466.0</v>
      </c>
      <c r="F244" s="1" t="s">
        <v>498</v>
      </c>
      <c r="G244" s="1" t="s">
        <v>66</v>
      </c>
      <c r="H244" s="1" t="s">
        <v>46</v>
      </c>
      <c r="I244" s="1" t="s">
        <v>103</v>
      </c>
      <c r="J244" s="1" t="s">
        <v>499</v>
      </c>
      <c r="K244" s="19" t="s">
        <v>26</v>
      </c>
      <c r="L244" s="20" t="s">
        <v>61</v>
      </c>
      <c r="M244" s="21">
        <f t="shared" si="1"/>
        <v>7</v>
      </c>
      <c r="N244" s="2">
        <v>496.7968</v>
      </c>
      <c r="O244" s="2">
        <v>5.0</v>
      </c>
      <c r="P244" s="2">
        <v>1132.84</v>
      </c>
      <c r="Q244" s="2">
        <v>88060.0</v>
      </c>
      <c r="R244" s="15" t="b">
        <f>ISNUMBER(MATCH(Q244,'Returned order'!A:A,0))</f>
        <v>0</v>
      </c>
      <c r="S244" s="22">
        <v>42015.0</v>
      </c>
      <c r="T244" s="15"/>
      <c r="U244" s="15"/>
      <c r="V244" s="15"/>
    </row>
    <row r="245">
      <c r="A245" s="2">
        <v>22755.0</v>
      </c>
      <c r="B245" s="1" t="s">
        <v>49</v>
      </c>
      <c r="C245" s="2">
        <v>0.02</v>
      </c>
      <c r="D245" s="2">
        <v>12.99</v>
      </c>
      <c r="E245" s="2">
        <v>467.0</v>
      </c>
      <c r="F245" s="1" t="s">
        <v>500</v>
      </c>
      <c r="G245" s="1" t="s">
        <v>66</v>
      </c>
      <c r="H245" s="1" t="s">
        <v>37</v>
      </c>
      <c r="I245" s="1" t="s">
        <v>42</v>
      </c>
      <c r="J245" s="1" t="s">
        <v>501</v>
      </c>
      <c r="K245" s="19" t="s">
        <v>26</v>
      </c>
      <c r="L245" s="20" t="s">
        <v>61</v>
      </c>
      <c r="M245" s="21">
        <f t="shared" si="1"/>
        <v>7</v>
      </c>
      <c r="N245" s="2">
        <v>-556.8096</v>
      </c>
      <c r="O245" s="2">
        <v>11.0</v>
      </c>
      <c r="P245" s="2">
        <v>143.63</v>
      </c>
      <c r="Q245" s="2">
        <v>88060.0</v>
      </c>
      <c r="R245" s="15" t="b">
        <f>ISNUMBER(MATCH(Q245,'Returned order'!A:A,0))</f>
        <v>0</v>
      </c>
      <c r="S245" s="22">
        <v>42015.0</v>
      </c>
      <c r="T245" s="15"/>
      <c r="U245" s="15"/>
      <c r="V245" s="15"/>
    </row>
    <row r="246">
      <c r="A246" s="2">
        <v>22756.0</v>
      </c>
      <c r="B246" s="1" t="s">
        <v>49</v>
      </c>
      <c r="C246" s="2">
        <v>0.06</v>
      </c>
      <c r="D246" s="2">
        <v>14.42</v>
      </c>
      <c r="E246" s="2">
        <v>468.0</v>
      </c>
      <c r="F246" s="1" t="s">
        <v>502</v>
      </c>
      <c r="G246" s="1" t="s">
        <v>66</v>
      </c>
      <c r="H246" s="1" t="s">
        <v>23</v>
      </c>
      <c r="I246" s="1" t="s">
        <v>151</v>
      </c>
      <c r="J246" s="1" t="s">
        <v>503</v>
      </c>
      <c r="K246" s="19" t="s">
        <v>26</v>
      </c>
      <c r="L246" s="20" t="s">
        <v>61</v>
      </c>
      <c r="M246" s="21">
        <f t="shared" si="1"/>
        <v>7</v>
      </c>
      <c r="N246" s="2">
        <v>-27.7388</v>
      </c>
      <c r="O246" s="2">
        <v>5.0</v>
      </c>
      <c r="P246" s="2">
        <v>73.04</v>
      </c>
      <c r="Q246" s="2">
        <v>88060.0</v>
      </c>
      <c r="R246" s="15" t="b">
        <f>ISNUMBER(MATCH(Q246,'Returned order'!A:A,0))</f>
        <v>0</v>
      </c>
      <c r="S246" s="22">
        <v>42015.0</v>
      </c>
      <c r="T246" s="15"/>
      <c r="U246" s="15"/>
      <c r="V246" s="15"/>
    </row>
    <row r="247">
      <c r="A247" s="2">
        <v>22757.0</v>
      </c>
      <c r="B247" s="1" t="s">
        <v>49</v>
      </c>
      <c r="C247" s="2">
        <v>0.05</v>
      </c>
      <c r="D247" s="2">
        <v>4.14</v>
      </c>
      <c r="E247" s="2">
        <v>469.0</v>
      </c>
      <c r="F247" s="1" t="s">
        <v>504</v>
      </c>
      <c r="G247" s="1" t="s">
        <v>66</v>
      </c>
      <c r="H247" s="1" t="s">
        <v>37</v>
      </c>
      <c r="I247" s="1" t="s">
        <v>42</v>
      </c>
      <c r="J247" s="1" t="s">
        <v>149</v>
      </c>
      <c r="K247" s="19" t="s">
        <v>26</v>
      </c>
      <c r="L247" s="20" t="s">
        <v>61</v>
      </c>
      <c r="M247" s="21">
        <f t="shared" si="1"/>
        <v>7</v>
      </c>
      <c r="N247" s="2">
        <v>-128.6872</v>
      </c>
      <c r="O247" s="2">
        <v>7.0</v>
      </c>
      <c r="P247" s="2">
        <v>33.35</v>
      </c>
      <c r="Q247" s="2">
        <v>88060.0</v>
      </c>
      <c r="R247" s="15" t="b">
        <f>ISNUMBER(MATCH(Q247,'Returned order'!A:A,0))</f>
        <v>0</v>
      </c>
      <c r="S247" s="22">
        <v>42015.0</v>
      </c>
      <c r="T247" s="15"/>
      <c r="U247" s="15"/>
      <c r="V247" s="15"/>
    </row>
    <row r="248">
      <c r="A248" s="2">
        <v>22758.0</v>
      </c>
      <c r="B248" s="1" t="s">
        <v>49</v>
      </c>
      <c r="C248" s="2">
        <v>0.03</v>
      </c>
      <c r="D248" s="2">
        <v>11.34</v>
      </c>
      <c r="E248" s="2">
        <v>470.0</v>
      </c>
      <c r="F248" s="1" t="s">
        <v>505</v>
      </c>
      <c r="G248" s="1" t="s">
        <v>66</v>
      </c>
      <c r="H248" s="1" t="s">
        <v>23</v>
      </c>
      <c r="I248" s="1" t="s">
        <v>93</v>
      </c>
      <c r="J248" s="1" t="s">
        <v>233</v>
      </c>
      <c r="K248" s="19" t="s">
        <v>26</v>
      </c>
      <c r="L248" s="20" t="s">
        <v>61</v>
      </c>
      <c r="M248" s="21">
        <f t="shared" si="1"/>
        <v>7</v>
      </c>
      <c r="N248" s="2">
        <v>23.2028</v>
      </c>
      <c r="O248" s="2">
        <v>5.0</v>
      </c>
      <c r="P248" s="2">
        <v>60.24</v>
      </c>
      <c r="Q248" s="2">
        <v>88060.0</v>
      </c>
      <c r="R248" s="15" t="b">
        <f>ISNUMBER(MATCH(Q248,'Returned order'!A:A,0))</f>
        <v>0</v>
      </c>
      <c r="S248" s="22">
        <v>42015.0</v>
      </c>
      <c r="T248" s="15"/>
      <c r="U248" s="15"/>
      <c r="V248" s="15"/>
    </row>
    <row r="249">
      <c r="A249" s="2">
        <v>462.0</v>
      </c>
      <c r="B249" s="1" t="s">
        <v>49</v>
      </c>
      <c r="C249" s="2">
        <v>0.07</v>
      </c>
      <c r="D249" s="2">
        <v>179.99</v>
      </c>
      <c r="E249" s="2">
        <v>471.0</v>
      </c>
      <c r="F249" s="1" t="s">
        <v>506</v>
      </c>
      <c r="G249" s="1" t="s">
        <v>22</v>
      </c>
      <c r="H249" s="1" t="s">
        <v>46</v>
      </c>
      <c r="I249" s="1" t="s">
        <v>47</v>
      </c>
      <c r="J249" s="1" t="s">
        <v>507</v>
      </c>
      <c r="K249" s="19" t="s">
        <v>229</v>
      </c>
      <c r="L249" s="20" t="s">
        <v>61</v>
      </c>
      <c r="M249" s="21">
        <f t="shared" si="1"/>
        <v>7</v>
      </c>
      <c r="N249" s="2">
        <v>-568.5351</v>
      </c>
      <c r="O249" s="2">
        <v>4.0</v>
      </c>
      <c r="P249" s="2">
        <v>718.03</v>
      </c>
      <c r="Q249" s="2">
        <v>3138.0</v>
      </c>
      <c r="R249" s="15" t="b">
        <f>ISNUMBER(MATCH(Q249,'Returned order'!A:A,0))</f>
        <v>0</v>
      </c>
      <c r="S249" s="22">
        <v>42043.0</v>
      </c>
      <c r="T249" s="15"/>
      <c r="U249" s="15"/>
      <c r="V249" s="15"/>
    </row>
    <row r="250">
      <c r="A250" s="2">
        <v>18462.0</v>
      </c>
      <c r="B250" s="1" t="s">
        <v>49</v>
      </c>
      <c r="C250" s="2">
        <v>0.07</v>
      </c>
      <c r="D250" s="2">
        <v>179.99</v>
      </c>
      <c r="E250" s="2">
        <v>472.0</v>
      </c>
      <c r="F250" s="1" t="s">
        <v>508</v>
      </c>
      <c r="G250" s="1" t="s">
        <v>22</v>
      </c>
      <c r="H250" s="1" t="s">
        <v>46</v>
      </c>
      <c r="I250" s="1" t="s">
        <v>47</v>
      </c>
      <c r="J250" s="1" t="s">
        <v>507</v>
      </c>
      <c r="K250" s="19" t="s">
        <v>26</v>
      </c>
      <c r="L250" s="20" t="s">
        <v>61</v>
      </c>
      <c r="M250" s="21">
        <f t="shared" si="1"/>
        <v>7</v>
      </c>
      <c r="N250" s="2">
        <v>-427.47</v>
      </c>
      <c r="O250" s="2">
        <v>1.0</v>
      </c>
      <c r="P250" s="2">
        <v>179.51</v>
      </c>
      <c r="Q250" s="2">
        <v>88023.0</v>
      </c>
      <c r="R250" s="15" t="b">
        <f>ISNUMBER(MATCH(Q250,'Returned order'!A:A,0))</f>
        <v>0</v>
      </c>
      <c r="S250" s="22">
        <v>42043.0</v>
      </c>
      <c r="T250" s="15"/>
      <c r="U250" s="15"/>
      <c r="V250" s="15"/>
    </row>
    <row r="251">
      <c r="A251" s="2">
        <v>20637.0</v>
      </c>
      <c r="B251" s="1" t="s">
        <v>58</v>
      </c>
      <c r="C251" s="2">
        <v>0.03</v>
      </c>
      <c r="D251" s="2">
        <v>11.97</v>
      </c>
      <c r="E251" s="2">
        <v>483.0</v>
      </c>
      <c r="F251" s="1" t="s">
        <v>509</v>
      </c>
      <c r="G251" s="1" t="s">
        <v>32</v>
      </c>
      <c r="H251" s="1" t="s">
        <v>23</v>
      </c>
      <c r="I251" s="1" t="s">
        <v>151</v>
      </c>
      <c r="J251" s="1" t="s">
        <v>510</v>
      </c>
      <c r="K251" s="19" t="s">
        <v>68</v>
      </c>
      <c r="L251" s="20" t="s">
        <v>57</v>
      </c>
      <c r="M251" s="21">
        <f t="shared" si="1"/>
        <v>2</v>
      </c>
      <c r="N251" s="2">
        <v>-18.19</v>
      </c>
      <c r="O251" s="2">
        <v>6.0</v>
      </c>
      <c r="P251" s="2">
        <v>73.18</v>
      </c>
      <c r="Q251" s="2">
        <v>90353.0</v>
      </c>
      <c r="R251" s="15" t="b">
        <f>ISNUMBER(MATCH(Q251,'Returned order'!A:A,0))</f>
        <v>0</v>
      </c>
      <c r="S251" s="22">
        <v>42031.0</v>
      </c>
      <c r="T251" s="15"/>
      <c r="U251" s="15"/>
      <c r="V251" s="15"/>
    </row>
    <row r="252">
      <c r="A252" s="2">
        <v>22864.0</v>
      </c>
      <c r="B252" s="1" t="s">
        <v>49</v>
      </c>
      <c r="C252" s="2">
        <v>0.06</v>
      </c>
      <c r="D252" s="2">
        <v>3.36</v>
      </c>
      <c r="E252" s="2">
        <v>483.0</v>
      </c>
      <c r="F252" s="1" t="s">
        <v>509</v>
      </c>
      <c r="G252" s="1" t="s">
        <v>32</v>
      </c>
      <c r="H252" s="1" t="s">
        <v>23</v>
      </c>
      <c r="I252" s="1" t="s">
        <v>24</v>
      </c>
      <c r="J252" s="1" t="s">
        <v>91</v>
      </c>
      <c r="K252" s="19" t="s">
        <v>68</v>
      </c>
      <c r="L252" s="20" t="s">
        <v>70</v>
      </c>
      <c r="M252" s="21">
        <f t="shared" si="1"/>
        <v>4</v>
      </c>
      <c r="N252" s="2">
        <v>-24.05754</v>
      </c>
      <c r="O252" s="2">
        <v>2.0</v>
      </c>
      <c r="P252" s="2">
        <v>8.82</v>
      </c>
      <c r="Q252" s="2">
        <v>90354.0</v>
      </c>
      <c r="R252" s="15" t="b">
        <f>ISNUMBER(MATCH(Q252,'Returned order'!A:A,0))</f>
        <v>0</v>
      </c>
      <c r="S252" s="22">
        <v>42117.0</v>
      </c>
      <c r="T252" s="15"/>
      <c r="U252" s="15"/>
      <c r="V252" s="15"/>
    </row>
    <row r="253">
      <c r="A253" s="2">
        <v>22865.0</v>
      </c>
      <c r="B253" s="1" t="s">
        <v>49</v>
      </c>
      <c r="C253" s="2">
        <v>0.07</v>
      </c>
      <c r="D253" s="2">
        <v>699.99</v>
      </c>
      <c r="E253" s="2">
        <v>483.0</v>
      </c>
      <c r="F253" s="1" t="s">
        <v>509</v>
      </c>
      <c r="G253" s="1" t="s">
        <v>32</v>
      </c>
      <c r="H253" s="1" t="s">
        <v>46</v>
      </c>
      <c r="I253" s="1" t="s">
        <v>138</v>
      </c>
      <c r="J253" s="1" t="s">
        <v>511</v>
      </c>
      <c r="K253" s="19" t="s">
        <v>68</v>
      </c>
      <c r="L253" s="20" t="s">
        <v>70</v>
      </c>
      <c r="M253" s="21">
        <f t="shared" si="1"/>
        <v>4</v>
      </c>
      <c r="N253" s="2">
        <v>2583.56148</v>
      </c>
      <c r="O253" s="2">
        <v>9.0</v>
      </c>
      <c r="P253" s="2">
        <v>5976.09</v>
      </c>
      <c r="Q253" s="2">
        <v>90354.0</v>
      </c>
      <c r="R253" s="15" t="b">
        <f>ISNUMBER(MATCH(Q253,'Returned order'!A:A,0))</f>
        <v>0</v>
      </c>
      <c r="S253" s="22">
        <v>42117.0</v>
      </c>
      <c r="T253" s="15"/>
      <c r="U253" s="15"/>
      <c r="V253" s="15"/>
    </row>
    <row r="254">
      <c r="A254" s="2">
        <v>20668.0</v>
      </c>
      <c r="B254" s="1" t="s">
        <v>49</v>
      </c>
      <c r="C254" s="2">
        <v>0.05</v>
      </c>
      <c r="D254" s="2">
        <v>2.88</v>
      </c>
      <c r="E254" s="2">
        <v>485.0</v>
      </c>
      <c r="F254" s="1" t="s">
        <v>512</v>
      </c>
      <c r="G254" s="1" t="s">
        <v>32</v>
      </c>
      <c r="H254" s="1" t="s">
        <v>23</v>
      </c>
      <c r="I254" s="1" t="s">
        <v>130</v>
      </c>
      <c r="J254" s="1" t="s">
        <v>513</v>
      </c>
      <c r="K254" s="19" t="s">
        <v>34</v>
      </c>
      <c r="L254" s="20" t="s">
        <v>35</v>
      </c>
      <c r="M254" s="21">
        <f t="shared" si="1"/>
        <v>3</v>
      </c>
      <c r="N254" s="2">
        <v>6.0513</v>
      </c>
      <c r="O254" s="2">
        <v>3.0</v>
      </c>
      <c r="P254" s="2">
        <v>8.77</v>
      </c>
      <c r="Q254" s="2">
        <v>91062.0</v>
      </c>
      <c r="R254" s="15" t="b">
        <f>ISNUMBER(MATCH(Q254,'Returned order'!A:A,0))</f>
        <v>0</v>
      </c>
      <c r="S254" s="22">
        <v>42081.0</v>
      </c>
      <c r="T254" s="15"/>
      <c r="U254" s="15"/>
      <c r="V254" s="15"/>
    </row>
    <row r="255">
      <c r="A255" s="2">
        <v>23394.0</v>
      </c>
      <c r="B255" s="1" t="s">
        <v>63</v>
      </c>
      <c r="C255" s="2">
        <v>0.1</v>
      </c>
      <c r="D255" s="2">
        <v>3.36</v>
      </c>
      <c r="E255" s="2">
        <v>487.0</v>
      </c>
      <c r="F255" s="1" t="s">
        <v>90</v>
      </c>
      <c r="G255" s="1" t="s">
        <v>32</v>
      </c>
      <c r="H255" s="1" t="s">
        <v>23</v>
      </c>
      <c r="I255" s="1" t="s">
        <v>24</v>
      </c>
      <c r="J255" s="1" t="s">
        <v>91</v>
      </c>
      <c r="K255" s="19" t="s">
        <v>26</v>
      </c>
      <c r="L255" s="20" t="s">
        <v>27</v>
      </c>
      <c r="M255" s="21">
        <f t="shared" si="1"/>
        <v>1</v>
      </c>
      <c r="N255" s="2">
        <v>-67.0565</v>
      </c>
      <c r="O255" s="2">
        <v>5.0</v>
      </c>
      <c r="P255" s="2">
        <v>20.87</v>
      </c>
      <c r="Q255" s="2">
        <v>91063.0</v>
      </c>
      <c r="R255" s="15" t="b">
        <f>ISNUMBER(MATCH(Q255,'Returned order'!A:A,0))</f>
        <v>0</v>
      </c>
      <c r="S255" s="22">
        <v>42142.0</v>
      </c>
      <c r="T255" s="15"/>
      <c r="U255" s="15"/>
      <c r="V255" s="15"/>
    </row>
    <row r="256">
      <c r="A256" s="2">
        <v>23395.0</v>
      </c>
      <c r="B256" s="1" t="s">
        <v>63</v>
      </c>
      <c r="C256" s="2">
        <v>0.07</v>
      </c>
      <c r="D256" s="2">
        <v>12.28</v>
      </c>
      <c r="E256" s="2">
        <v>488.0</v>
      </c>
      <c r="F256" s="1" t="s">
        <v>92</v>
      </c>
      <c r="G256" s="1" t="s">
        <v>32</v>
      </c>
      <c r="H256" s="1" t="s">
        <v>23</v>
      </c>
      <c r="I256" s="1" t="s">
        <v>93</v>
      </c>
      <c r="J256" s="1" t="s">
        <v>94</v>
      </c>
      <c r="K256" s="19" t="s">
        <v>26</v>
      </c>
      <c r="L256" s="20" t="s">
        <v>27</v>
      </c>
      <c r="M256" s="21">
        <f t="shared" si="1"/>
        <v>1</v>
      </c>
      <c r="N256" s="2">
        <v>-7.94</v>
      </c>
      <c r="O256" s="2">
        <v>2.0</v>
      </c>
      <c r="P256" s="2">
        <v>25.7</v>
      </c>
      <c r="Q256" s="2">
        <v>91063.0</v>
      </c>
      <c r="R256" s="15" t="b">
        <f>ISNUMBER(MATCH(Q256,'Returned order'!A:A,0))</f>
        <v>0</v>
      </c>
      <c r="S256" s="22">
        <v>42142.0</v>
      </c>
      <c r="T256" s="15"/>
      <c r="U256" s="15"/>
      <c r="V256" s="15"/>
    </row>
    <row r="257">
      <c r="A257" s="2">
        <v>23393.0</v>
      </c>
      <c r="B257" s="1" t="s">
        <v>63</v>
      </c>
      <c r="C257" s="2">
        <v>0.09</v>
      </c>
      <c r="D257" s="2">
        <v>20.99</v>
      </c>
      <c r="E257" s="2">
        <v>489.0</v>
      </c>
      <c r="F257" s="1" t="s">
        <v>96</v>
      </c>
      <c r="G257" s="1" t="s">
        <v>32</v>
      </c>
      <c r="H257" s="1" t="s">
        <v>46</v>
      </c>
      <c r="I257" s="1" t="s">
        <v>85</v>
      </c>
      <c r="J257" s="1" t="s">
        <v>97</v>
      </c>
      <c r="K257" s="19" t="s">
        <v>26</v>
      </c>
      <c r="L257" s="20" t="s">
        <v>27</v>
      </c>
      <c r="M257" s="21">
        <f t="shared" si="1"/>
        <v>1</v>
      </c>
      <c r="N257" s="2">
        <v>122.292</v>
      </c>
      <c r="O257" s="2">
        <v>14.0</v>
      </c>
      <c r="P257" s="2">
        <v>229.57</v>
      </c>
      <c r="Q257" s="2">
        <v>91063.0</v>
      </c>
      <c r="R257" s="15" t="b">
        <f>ISNUMBER(MATCH(Q257,'Returned order'!A:A,0))</f>
        <v>0</v>
      </c>
      <c r="S257" s="22">
        <v>42142.0</v>
      </c>
      <c r="T257" s="15"/>
      <c r="U257" s="15"/>
      <c r="V257" s="15"/>
    </row>
    <row r="258">
      <c r="A258" s="2">
        <v>1147.0</v>
      </c>
      <c r="B258" s="1" t="s">
        <v>63</v>
      </c>
      <c r="C258" s="2">
        <v>0.08</v>
      </c>
      <c r="D258" s="2">
        <v>2.94</v>
      </c>
      <c r="E258" s="2">
        <v>491.0</v>
      </c>
      <c r="F258" s="1" t="s">
        <v>514</v>
      </c>
      <c r="G258" s="1" t="s">
        <v>22</v>
      </c>
      <c r="H258" s="1" t="s">
        <v>23</v>
      </c>
      <c r="I258" s="1" t="s">
        <v>29</v>
      </c>
      <c r="J258" s="1" t="s">
        <v>515</v>
      </c>
      <c r="K258" s="19" t="s">
        <v>26</v>
      </c>
      <c r="L258" s="20" t="s">
        <v>76</v>
      </c>
      <c r="M258" s="21">
        <f t="shared" si="1"/>
        <v>5</v>
      </c>
      <c r="N258" s="2">
        <v>-2.12</v>
      </c>
      <c r="O258" s="2">
        <v>23.0</v>
      </c>
      <c r="P258" s="2">
        <v>66.7</v>
      </c>
      <c r="Q258" s="2">
        <v>8353.0</v>
      </c>
      <c r="R258" s="15" t="b">
        <f>ISNUMBER(MATCH(Q258,'Returned order'!A:A,0))</f>
        <v>1</v>
      </c>
      <c r="S258" s="22">
        <v>42139.0</v>
      </c>
      <c r="T258" s="15"/>
      <c r="U258" s="15"/>
      <c r="V258" s="15"/>
    </row>
    <row r="259">
      <c r="A259" s="2">
        <v>1450.0</v>
      </c>
      <c r="B259" s="1" t="s">
        <v>58</v>
      </c>
      <c r="C259" s="2">
        <v>0.01</v>
      </c>
      <c r="D259" s="2">
        <v>4.98</v>
      </c>
      <c r="E259" s="2">
        <v>491.0</v>
      </c>
      <c r="F259" s="1" t="s">
        <v>514</v>
      </c>
      <c r="G259" s="1" t="s">
        <v>22</v>
      </c>
      <c r="H259" s="1" t="s">
        <v>23</v>
      </c>
      <c r="I259" s="1" t="s">
        <v>93</v>
      </c>
      <c r="J259" s="1" t="s">
        <v>140</v>
      </c>
      <c r="K259" s="19" t="s">
        <v>26</v>
      </c>
      <c r="L259" s="20" t="s">
        <v>57</v>
      </c>
      <c r="M259" s="21">
        <f t="shared" si="1"/>
        <v>2</v>
      </c>
      <c r="N259" s="2">
        <v>-69.07</v>
      </c>
      <c r="O259" s="2">
        <v>41.0</v>
      </c>
      <c r="P259" s="2">
        <v>217.0</v>
      </c>
      <c r="Q259" s="2">
        <v>10464.0</v>
      </c>
      <c r="R259" s="15" t="b">
        <f>ISNUMBER(MATCH(Q259,'Returned order'!A:A,0))</f>
        <v>0</v>
      </c>
      <c r="S259" s="22">
        <v>42045.0</v>
      </c>
      <c r="T259" s="15"/>
      <c r="U259" s="15"/>
      <c r="V259" s="15"/>
    </row>
    <row r="260">
      <c r="A260" s="2">
        <v>914.0</v>
      </c>
      <c r="B260" s="1" t="s">
        <v>58</v>
      </c>
      <c r="C260" s="2">
        <v>0.02</v>
      </c>
      <c r="D260" s="2">
        <v>1360.14</v>
      </c>
      <c r="E260" s="2">
        <v>491.0</v>
      </c>
      <c r="F260" s="1" t="s">
        <v>514</v>
      </c>
      <c r="G260" s="1" t="s">
        <v>22</v>
      </c>
      <c r="H260" s="1" t="s">
        <v>46</v>
      </c>
      <c r="I260" s="1" t="s">
        <v>103</v>
      </c>
      <c r="J260" s="1" t="s">
        <v>516</v>
      </c>
      <c r="K260" s="19" t="s">
        <v>26</v>
      </c>
      <c r="L260" s="20" t="s">
        <v>53</v>
      </c>
      <c r="M260" s="21">
        <f t="shared" si="1"/>
        <v>6</v>
      </c>
      <c r="N260" s="2">
        <v>2028.12</v>
      </c>
      <c r="O260" s="2">
        <v>22.0</v>
      </c>
      <c r="P260" s="2">
        <v>31670.6</v>
      </c>
      <c r="Q260" s="2">
        <v>6562.0</v>
      </c>
      <c r="R260" s="15" t="b">
        <f>ISNUMBER(MATCH(Q260,'Returned order'!A:A,0))</f>
        <v>0</v>
      </c>
      <c r="S260" s="22">
        <v>42175.0</v>
      </c>
      <c r="T260" s="15"/>
      <c r="U260" s="15"/>
      <c r="V260" s="15"/>
    </row>
    <row r="261">
      <c r="A261" s="2">
        <v>6046.0</v>
      </c>
      <c r="B261" s="1" t="s">
        <v>49</v>
      </c>
      <c r="C261" s="2">
        <v>0.02</v>
      </c>
      <c r="D261" s="2">
        <v>9.06</v>
      </c>
      <c r="E261" s="2">
        <v>491.0</v>
      </c>
      <c r="F261" s="1" t="s">
        <v>514</v>
      </c>
      <c r="G261" s="1" t="s">
        <v>22</v>
      </c>
      <c r="H261" s="1" t="s">
        <v>23</v>
      </c>
      <c r="I261" s="1" t="s">
        <v>93</v>
      </c>
      <c r="J261" s="1" t="s">
        <v>517</v>
      </c>
      <c r="K261" s="19" t="s">
        <v>26</v>
      </c>
      <c r="L261" s="20" t="s">
        <v>53</v>
      </c>
      <c r="M261" s="21">
        <f t="shared" si="1"/>
        <v>6</v>
      </c>
      <c r="N261" s="2">
        <v>-63.51</v>
      </c>
      <c r="O261" s="2">
        <v>24.0</v>
      </c>
      <c r="P261" s="2">
        <v>239.82</v>
      </c>
      <c r="Q261" s="2">
        <v>42852.0</v>
      </c>
      <c r="R261" s="15" t="b">
        <f>ISNUMBER(MATCH(Q261,'Returned order'!A:A,0))</f>
        <v>0</v>
      </c>
      <c r="S261" s="22">
        <v>42175.0</v>
      </c>
      <c r="T261" s="15"/>
      <c r="U261" s="15"/>
      <c r="V261" s="15"/>
    </row>
    <row r="262">
      <c r="A262" s="2">
        <v>18757.0</v>
      </c>
      <c r="B262" s="1" t="s">
        <v>49</v>
      </c>
      <c r="C262" s="2">
        <v>0.02</v>
      </c>
      <c r="D262" s="2">
        <v>6.48</v>
      </c>
      <c r="E262" s="2">
        <v>493.0</v>
      </c>
      <c r="F262" s="1" t="s">
        <v>518</v>
      </c>
      <c r="G262" s="1" t="s">
        <v>22</v>
      </c>
      <c r="H262" s="1" t="s">
        <v>23</v>
      </c>
      <c r="I262" s="1" t="s">
        <v>93</v>
      </c>
      <c r="J262" s="1" t="s">
        <v>519</v>
      </c>
      <c r="K262" s="19" t="s">
        <v>34</v>
      </c>
      <c r="L262" s="20" t="s">
        <v>57</v>
      </c>
      <c r="M262" s="21">
        <f t="shared" si="1"/>
        <v>2</v>
      </c>
      <c r="N262" s="2">
        <v>-92.05</v>
      </c>
      <c r="O262" s="2">
        <v>10.0</v>
      </c>
      <c r="P262" s="2">
        <v>66.71</v>
      </c>
      <c r="Q262" s="2">
        <v>88906.0</v>
      </c>
      <c r="R262" s="15" t="b">
        <f>ISNUMBER(MATCH(Q262,'Returned order'!A:A,0))</f>
        <v>0</v>
      </c>
      <c r="S262" s="22">
        <v>42024.0</v>
      </c>
      <c r="T262" s="15"/>
      <c r="U262" s="15"/>
      <c r="V262" s="15"/>
    </row>
    <row r="263">
      <c r="A263" s="2">
        <v>18758.0</v>
      </c>
      <c r="B263" s="1" t="s">
        <v>49</v>
      </c>
      <c r="C263" s="2">
        <v>0.04</v>
      </c>
      <c r="D263" s="2">
        <v>17.15</v>
      </c>
      <c r="E263" s="2">
        <v>493.0</v>
      </c>
      <c r="F263" s="1" t="s">
        <v>518</v>
      </c>
      <c r="G263" s="1" t="s">
        <v>22</v>
      </c>
      <c r="H263" s="1" t="s">
        <v>23</v>
      </c>
      <c r="I263" s="1" t="s">
        <v>120</v>
      </c>
      <c r="J263" s="1" t="s">
        <v>520</v>
      </c>
      <c r="K263" s="19" t="s">
        <v>34</v>
      </c>
      <c r="L263" s="20" t="s">
        <v>57</v>
      </c>
      <c r="M263" s="21">
        <f t="shared" si="1"/>
        <v>2</v>
      </c>
      <c r="N263" s="2">
        <v>6.11</v>
      </c>
      <c r="O263" s="2">
        <v>5.0</v>
      </c>
      <c r="P263" s="2">
        <v>87.16</v>
      </c>
      <c r="Q263" s="2">
        <v>88906.0</v>
      </c>
      <c r="R263" s="15" t="b">
        <f>ISNUMBER(MATCH(Q263,'Returned order'!A:A,0))</f>
        <v>0</v>
      </c>
      <c r="S263" s="22">
        <v>42024.0</v>
      </c>
      <c r="T263" s="15"/>
      <c r="U263" s="15"/>
      <c r="V263" s="15"/>
    </row>
    <row r="264">
      <c r="A264" s="2">
        <v>19146.0</v>
      </c>
      <c r="B264" s="1" t="s">
        <v>63</v>
      </c>
      <c r="C264" s="2">
        <v>0.06</v>
      </c>
      <c r="D264" s="2">
        <v>8.32</v>
      </c>
      <c r="E264" s="2">
        <v>494.0</v>
      </c>
      <c r="F264" s="1" t="s">
        <v>521</v>
      </c>
      <c r="G264" s="1" t="s">
        <v>22</v>
      </c>
      <c r="H264" s="1" t="s">
        <v>46</v>
      </c>
      <c r="I264" s="1" t="s">
        <v>47</v>
      </c>
      <c r="J264" s="1" t="s">
        <v>522</v>
      </c>
      <c r="K264" s="19" t="s">
        <v>34</v>
      </c>
      <c r="L264" s="20" t="s">
        <v>76</v>
      </c>
      <c r="M264" s="21">
        <f t="shared" si="1"/>
        <v>5</v>
      </c>
      <c r="N264" s="2">
        <v>-36.63</v>
      </c>
      <c r="O264" s="2">
        <v>12.0</v>
      </c>
      <c r="P264" s="2">
        <v>101.26</v>
      </c>
      <c r="Q264" s="2">
        <v>88905.0</v>
      </c>
      <c r="R264" s="15" t="b">
        <f>ISNUMBER(MATCH(Q264,'Returned order'!A:A,0))</f>
        <v>0</v>
      </c>
      <c r="S264" s="22">
        <v>42139.0</v>
      </c>
      <c r="T264" s="15"/>
      <c r="U264" s="15"/>
      <c r="V264" s="15"/>
    </row>
    <row r="265">
      <c r="A265" s="2">
        <v>19147.0</v>
      </c>
      <c r="B265" s="1" t="s">
        <v>63</v>
      </c>
      <c r="C265" s="2">
        <v>0.08</v>
      </c>
      <c r="D265" s="2">
        <v>2.94</v>
      </c>
      <c r="E265" s="2">
        <v>494.0</v>
      </c>
      <c r="F265" s="1" t="s">
        <v>521</v>
      </c>
      <c r="G265" s="1" t="s">
        <v>22</v>
      </c>
      <c r="H265" s="1" t="s">
        <v>23</v>
      </c>
      <c r="I265" s="1" t="s">
        <v>29</v>
      </c>
      <c r="J265" s="1" t="s">
        <v>515</v>
      </c>
      <c r="K265" s="19" t="s">
        <v>34</v>
      </c>
      <c r="L265" s="20" t="s">
        <v>76</v>
      </c>
      <c r="M265" s="21">
        <f t="shared" si="1"/>
        <v>5</v>
      </c>
      <c r="N265" s="2">
        <v>-2.12</v>
      </c>
      <c r="O265" s="2">
        <v>6.0</v>
      </c>
      <c r="P265" s="2">
        <v>17.4</v>
      </c>
      <c r="Q265" s="2">
        <v>88905.0</v>
      </c>
      <c r="R265" s="15" t="b">
        <f>ISNUMBER(MATCH(Q265,'Returned order'!A:A,0))</f>
        <v>0</v>
      </c>
      <c r="S265" s="22">
        <v>42139.0</v>
      </c>
      <c r="T265" s="15"/>
      <c r="U265" s="15"/>
      <c r="V265" s="15"/>
    </row>
    <row r="266">
      <c r="A266" s="2">
        <v>19450.0</v>
      </c>
      <c r="B266" s="1" t="s">
        <v>58</v>
      </c>
      <c r="C266" s="2">
        <v>0.01</v>
      </c>
      <c r="D266" s="2">
        <v>4.98</v>
      </c>
      <c r="E266" s="2">
        <v>494.0</v>
      </c>
      <c r="F266" s="1" t="s">
        <v>521</v>
      </c>
      <c r="G266" s="1" t="s">
        <v>22</v>
      </c>
      <c r="H266" s="1" t="s">
        <v>23</v>
      </c>
      <c r="I266" s="1" t="s">
        <v>93</v>
      </c>
      <c r="J266" s="1" t="s">
        <v>140</v>
      </c>
      <c r="K266" s="19" t="s">
        <v>34</v>
      </c>
      <c r="L266" s="20" t="s">
        <v>57</v>
      </c>
      <c r="M266" s="21">
        <f t="shared" si="1"/>
        <v>2</v>
      </c>
      <c r="N266" s="2">
        <v>-35.9164</v>
      </c>
      <c r="O266" s="2">
        <v>10.0</v>
      </c>
      <c r="P266" s="2">
        <v>52.93</v>
      </c>
      <c r="Q266" s="2">
        <v>88907.0</v>
      </c>
      <c r="R266" s="15" t="b">
        <f>ISNUMBER(MATCH(Q266,'Returned order'!A:A,0))</f>
        <v>0</v>
      </c>
      <c r="S266" s="22">
        <v>42045.0</v>
      </c>
      <c r="T266" s="15"/>
      <c r="U266" s="15"/>
      <c r="V266" s="15"/>
    </row>
    <row r="267">
      <c r="A267" s="2">
        <v>18914.0</v>
      </c>
      <c r="B267" s="1" t="s">
        <v>58</v>
      </c>
      <c r="C267" s="2">
        <v>0.02</v>
      </c>
      <c r="D267" s="2">
        <v>1360.14</v>
      </c>
      <c r="E267" s="2">
        <v>494.0</v>
      </c>
      <c r="F267" s="1" t="s">
        <v>521</v>
      </c>
      <c r="G267" s="1" t="s">
        <v>22</v>
      </c>
      <c r="H267" s="1" t="s">
        <v>46</v>
      </c>
      <c r="I267" s="1" t="s">
        <v>103</v>
      </c>
      <c r="J267" s="1" t="s">
        <v>516</v>
      </c>
      <c r="K267" s="19" t="s">
        <v>34</v>
      </c>
      <c r="L267" s="20" t="s">
        <v>53</v>
      </c>
      <c r="M267" s="21">
        <f t="shared" si="1"/>
        <v>6</v>
      </c>
      <c r="N267" s="2">
        <v>3042.18</v>
      </c>
      <c r="O267" s="2">
        <v>6.0</v>
      </c>
      <c r="P267" s="2">
        <v>8637.44</v>
      </c>
      <c r="Q267" s="2">
        <v>88908.0</v>
      </c>
      <c r="R267" s="15" t="b">
        <f>ISNUMBER(MATCH(Q267,'Returned order'!A:A,0))</f>
        <v>0</v>
      </c>
      <c r="S267" s="22">
        <v>42175.0</v>
      </c>
      <c r="T267" s="15"/>
      <c r="U267" s="15"/>
      <c r="V267" s="15"/>
    </row>
    <row r="268">
      <c r="A268" s="2">
        <v>24046.0</v>
      </c>
      <c r="B268" s="1" t="s">
        <v>49</v>
      </c>
      <c r="C268" s="2">
        <v>0.02</v>
      </c>
      <c r="D268" s="2">
        <v>9.06</v>
      </c>
      <c r="E268" s="2">
        <v>494.0</v>
      </c>
      <c r="F268" s="1" t="s">
        <v>521</v>
      </c>
      <c r="G268" s="1" t="s">
        <v>22</v>
      </c>
      <c r="H268" s="1" t="s">
        <v>23</v>
      </c>
      <c r="I268" s="1" t="s">
        <v>93</v>
      </c>
      <c r="J268" s="1" t="s">
        <v>517</v>
      </c>
      <c r="K268" s="19" t="s">
        <v>34</v>
      </c>
      <c r="L268" s="20" t="s">
        <v>53</v>
      </c>
      <c r="M268" s="21">
        <f t="shared" si="1"/>
        <v>6</v>
      </c>
      <c r="N268" s="2">
        <v>-31.755</v>
      </c>
      <c r="O268" s="2">
        <v>6.0</v>
      </c>
      <c r="P268" s="2">
        <v>59.95</v>
      </c>
      <c r="Q268" s="2">
        <v>88908.0</v>
      </c>
      <c r="R268" s="15" t="b">
        <f>ISNUMBER(MATCH(Q268,'Returned order'!A:A,0))</f>
        <v>0</v>
      </c>
      <c r="S268" s="22">
        <v>42175.0</v>
      </c>
      <c r="T268" s="15"/>
      <c r="U268" s="15"/>
      <c r="V268" s="15"/>
    </row>
    <row r="269">
      <c r="A269" s="2">
        <v>26315.0</v>
      </c>
      <c r="B269" s="1" t="s">
        <v>58</v>
      </c>
      <c r="C269" s="2">
        <v>0.07</v>
      </c>
      <c r="D269" s="2">
        <v>152.48</v>
      </c>
      <c r="E269" s="2">
        <v>497.0</v>
      </c>
      <c r="F269" s="1" t="s">
        <v>523</v>
      </c>
      <c r="G269" s="1" t="s">
        <v>66</v>
      </c>
      <c r="H269" s="1" t="s">
        <v>46</v>
      </c>
      <c r="I269" s="1" t="s">
        <v>47</v>
      </c>
      <c r="J269" s="1" t="s">
        <v>524</v>
      </c>
      <c r="K269" s="19" t="s">
        <v>229</v>
      </c>
      <c r="L269" s="20" t="s">
        <v>70</v>
      </c>
      <c r="M269" s="21">
        <f t="shared" si="1"/>
        <v>4</v>
      </c>
      <c r="N269" s="2">
        <v>171.8388</v>
      </c>
      <c r="O269" s="2">
        <v>35.0</v>
      </c>
      <c r="P269" s="2">
        <v>5062.49</v>
      </c>
      <c r="Q269" s="2">
        <v>90706.0</v>
      </c>
      <c r="R269" s="15" t="b">
        <f>ISNUMBER(MATCH(Q269,'Returned order'!A:A,0))</f>
        <v>0</v>
      </c>
      <c r="S269" s="22">
        <v>42138.0</v>
      </c>
      <c r="T269" s="15"/>
      <c r="U269" s="15"/>
      <c r="V269" s="15"/>
    </row>
    <row r="270">
      <c r="A270" s="2">
        <v>18303.0</v>
      </c>
      <c r="B270" s="1" t="s">
        <v>58</v>
      </c>
      <c r="C270" s="2">
        <v>0.01</v>
      </c>
      <c r="D270" s="2">
        <v>55.98</v>
      </c>
      <c r="E270" s="2">
        <v>507.0</v>
      </c>
      <c r="F270" s="1" t="s">
        <v>525</v>
      </c>
      <c r="G270" s="1" t="s">
        <v>32</v>
      </c>
      <c r="H270" s="1" t="s">
        <v>23</v>
      </c>
      <c r="I270" s="1" t="s">
        <v>93</v>
      </c>
      <c r="J270" s="1" t="s">
        <v>526</v>
      </c>
      <c r="K270" s="19" t="s">
        <v>229</v>
      </c>
      <c r="L270" s="20" t="s">
        <v>53</v>
      </c>
      <c r="M270" s="21">
        <f t="shared" si="1"/>
        <v>6</v>
      </c>
      <c r="N270" s="2">
        <v>32.9409</v>
      </c>
      <c r="O270" s="2">
        <v>11.0</v>
      </c>
      <c r="P270" s="2">
        <v>646.97</v>
      </c>
      <c r="Q270" s="2">
        <v>87357.0</v>
      </c>
      <c r="R270" s="15" t="b">
        <f>ISNUMBER(MATCH(Q270,'Returned order'!A:A,0))</f>
        <v>0</v>
      </c>
      <c r="S270" s="22">
        <v>42112.0</v>
      </c>
      <c r="T270" s="15"/>
      <c r="U270" s="15"/>
      <c r="V270" s="15"/>
    </row>
    <row r="271">
      <c r="A271" s="2">
        <v>18304.0</v>
      </c>
      <c r="B271" s="1" t="s">
        <v>58</v>
      </c>
      <c r="C271" s="2">
        <v>0.04</v>
      </c>
      <c r="D271" s="2">
        <v>65.99</v>
      </c>
      <c r="E271" s="2">
        <v>507.0</v>
      </c>
      <c r="F271" s="1" t="s">
        <v>525</v>
      </c>
      <c r="G271" s="1" t="s">
        <v>32</v>
      </c>
      <c r="H271" s="1" t="s">
        <v>46</v>
      </c>
      <c r="I271" s="1" t="s">
        <v>85</v>
      </c>
      <c r="J271" s="1" t="s">
        <v>527</v>
      </c>
      <c r="K271" s="19" t="s">
        <v>229</v>
      </c>
      <c r="L271" s="20" t="s">
        <v>53</v>
      </c>
      <c r="M271" s="21">
        <f t="shared" si="1"/>
        <v>6</v>
      </c>
      <c r="N271" s="2">
        <v>131.334</v>
      </c>
      <c r="O271" s="2">
        <v>17.0</v>
      </c>
      <c r="P271" s="2">
        <v>946.29</v>
      </c>
      <c r="Q271" s="2">
        <v>87357.0</v>
      </c>
      <c r="R271" s="15" t="b">
        <f>ISNUMBER(MATCH(Q271,'Returned order'!A:A,0))</f>
        <v>0</v>
      </c>
      <c r="S271" s="22">
        <v>42112.0</v>
      </c>
      <c r="T271" s="15"/>
      <c r="U271" s="15"/>
      <c r="V271" s="15"/>
    </row>
    <row r="272">
      <c r="A272" s="2">
        <v>21958.0</v>
      </c>
      <c r="B272" s="1" t="s">
        <v>28</v>
      </c>
      <c r="C272" s="2">
        <v>0.01</v>
      </c>
      <c r="D272" s="2">
        <v>20.98</v>
      </c>
      <c r="E272" s="2">
        <v>508.0</v>
      </c>
      <c r="F272" s="1" t="s">
        <v>528</v>
      </c>
      <c r="G272" s="1" t="s">
        <v>32</v>
      </c>
      <c r="H272" s="1" t="s">
        <v>23</v>
      </c>
      <c r="I272" s="1" t="s">
        <v>120</v>
      </c>
      <c r="J272" s="1" t="s">
        <v>529</v>
      </c>
      <c r="K272" s="19" t="s">
        <v>229</v>
      </c>
      <c r="L272" s="20" t="s">
        <v>27</v>
      </c>
      <c r="M272" s="21">
        <f t="shared" si="1"/>
        <v>1</v>
      </c>
      <c r="N272" s="2">
        <v>-282.0818</v>
      </c>
      <c r="O272" s="2">
        <v>5.0</v>
      </c>
      <c r="P272" s="2">
        <v>123.0</v>
      </c>
      <c r="Q272" s="2">
        <v>87356.0</v>
      </c>
      <c r="R272" s="15" t="b">
        <f>ISNUMBER(MATCH(Q272,'Returned order'!A:A,0))</f>
        <v>0</v>
      </c>
      <c r="S272" s="22">
        <v>42058.0</v>
      </c>
      <c r="T272" s="15"/>
      <c r="U272" s="15"/>
      <c r="V272" s="15"/>
    </row>
    <row r="273">
      <c r="A273" s="2">
        <v>18305.0</v>
      </c>
      <c r="B273" s="1" t="s">
        <v>58</v>
      </c>
      <c r="C273" s="2">
        <v>0.01</v>
      </c>
      <c r="D273" s="2">
        <v>128.24</v>
      </c>
      <c r="E273" s="2">
        <v>508.0</v>
      </c>
      <c r="F273" s="1" t="s">
        <v>528</v>
      </c>
      <c r="G273" s="1" t="s">
        <v>32</v>
      </c>
      <c r="H273" s="1" t="s">
        <v>37</v>
      </c>
      <c r="I273" s="1" t="s">
        <v>38</v>
      </c>
      <c r="J273" s="1" t="s">
        <v>530</v>
      </c>
      <c r="K273" s="19" t="s">
        <v>229</v>
      </c>
      <c r="L273" s="20" t="s">
        <v>53</v>
      </c>
      <c r="M273" s="21">
        <f t="shared" si="1"/>
        <v>6</v>
      </c>
      <c r="N273" s="2">
        <v>140.1354</v>
      </c>
      <c r="O273" s="2">
        <v>4.0</v>
      </c>
      <c r="P273" s="2">
        <v>554.08</v>
      </c>
      <c r="Q273" s="2">
        <v>87357.0</v>
      </c>
      <c r="R273" s="15" t="b">
        <f>ISNUMBER(MATCH(Q273,'Returned order'!A:A,0))</f>
        <v>0</v>
      </c>
      <c r="S273" s="22">
        <v>42112.0</v>
      </c>
      <c r="T273" s="15"/>
      <c r="U273" s="15"/>
      <c r="V273" s="15"/>
    </row>
    <row r="274">
      <c r="A274" s="2">
        <v>19895.0</v>
      </c>
      <c r="B274" s="1" t="s">
        <v>170</v>
      </c>
      <c r="C274" s="2">
        <v>0.02</v>
      </c>
      <c r="D274" s="2">
        <v>48.04</v>
      </c>
      <c r="E274" s="2">
        <v>510.0</v>
      </c>
      <c r="F274" s="1" t="s">
        <v>531</v>
      </c>
      <c r="G274" s="1" t="s">
        <v>32</v>
      </c>
      <c r="H274" s="1" t="s">
        <v>23</v>
      </c>
      <c r="I274" s="1" t="s">
        <v>93</v>
      </c>
      <c r="J274" s="1" t="s">
        <v>532</v>
      </c>
      <c r="K274" s="19" t="s">
        <v>34</v>
      </c>
      <c r="L274" s="20" t="s">
        <v>57</v>
      </c>
      <c r="M274" s="21">
        <f t="shared" si="1"/>
        <v>2</v>
      </c>
      <c r="N274" s="2">
        <v>105.2526</v>
      </c>
      <c r="O274" s="2">
        <v>3.0</v>
      </c>
      <c r="P274" s="2">
        <v>152.54</v>
      </c>
      <c r="Q274" s="2">
        <v>90058.0</v>
      </c>
      <c r="R274" s="15" t="b">
        <f>ISNUMBER(MATCH(Q274,'Returned order'!A:A,0))</f>
        <v>0</v>
      </c>
      <c r="S274" s="22">
        <v>42017.0</v>
      </c>
      <c r="T274" s="15"/>
      <c r="U274" s="15"/>
      <c r="V274" s="15"/>
    </row>
    <row r="275">
      <c r="A275" s="2">
        <v>20007.0</v>
      </c>
      <c r="B275" s="1" t="s">
        <v>58</v>
      </c>
      <c r="C275" s="2">
        <v>0.03</v>
      </c>
      <c r="D275" s="2">
        <v>6.37</v>
      </c>
      <c r="E275" s="2">
        <v>510.0</v>
      </c>
      <c r="F275" s="1" t="s">
        <v>531</v>
      </c>
      <c r="G275" s="1" t="s">
        <v>32</v>
      </c>
      <c r="H275" s="1" t="s">
        <v>23</v>
      </c>
      <c r="I275" s="1" t="s">
        <v>24</v>
      </c>
      <c r="J275" s="1" t="s">
        <v>533</v>
      </c>
      <c r="K275" s="19" t="s">
        <v>34</v>
      </c>
      <c r="L275" s="20" t="s">
        <v>61</v>
      </c>
      <c r="M275" s="21">
        <f t="shared" si="1"/>
        <v>7</v>
      </c>
      <c r="N275" s="2">
        <v>-29.0927</v>
      </c>
      <c r="O275" s="2">
        <v>14.0</v>
      </c>
      <c r="P275" s="2">
        <v>89.79</v>
      </c>
      <c r="Q275" s="2">
        <v>90059.0</v>
      </c>
      <c r="R275" s="15" t="b">
        <f>ISNUMBER(MATCH(Q275,'Returned order'!A:A,0))</f>
        <v>0</v>
      </c>
      <c r="S275" s="22">
        <v>42036.0</v>
      </c>
      <c r="T275" s="15"/>
      <c r="U275" s="15"/>
      <c r="V275" s="15"/>
    </row>
    <row r="276">
      <c r="A276" s="2">
        <v>20216.0</v>
      </c>
      <c r="B276" s="1" t="s">
        <v>170</v>
      </c>
      <c r="C276" s="2">
        <v>0.07</v>
      </c>
      <c r="D276" s="2">
        <v>12.64</v>
      </c>
      <c r="E276" s="2">
        <v>518.0</v>
      </c>
      <c r="F276" s="1" t="s">
        <v>534</v>
      </c>
      <c r="G276" s="1" t="s">
        <v>51</v>
      </c>
      <c r="H276" s="1" t="s">
        <v>37</v>
      </c>
      <c r="I276" s="1" t="s">
        <v>42</v>
      </c>
      <c r="J276" s="1" t="s">
        <v>535</v>
      </c>
      <c r="K276" s="19" t="s">
        <v>68</v>
      </c>
      <c r="L276" s="20" t="s">
        <v>76</v>
      </c>
      <c r="M276" s="21">
        <f t="shared" si="1"/>
        <v>5</v>
      </c>
      <c r="N276" s="2">
        <v>113.415</v>
      </c>
      <c r="O276" s="2">
        <v>16.0</v>
      </c>
      <c r="P276" s="2">
        <v>199.76</v>
      </c>
      <c r="Q276" s="2">
        <v>90867.0</v>
      </c>
      <c r="R276" s="15" t="b">
        <f>ISNUMBER(MATCH(Q276,'Returned order'!A:A,0))</f>
        <v>0</v>
      </c>
      <c r="S276" s="22">
        <v>42160.0</v>
      </c>
      <c r="T276" s="15"/>
      <c r="U276" s="15"/>
      <c r="V276" s="15"/>
    </row>
    <row r="277">
      <c r="A277" s="2">
        <v>23200.0</v>
      </c>
      <c r="B277" s="1" t="s">
        <v>63</v>
      </c>
      <c r="C277" s="2">
        <v>0.02</v>
      </c>
      <c r="D277" s="2">
        <v>150.98</v>
      </c>
      <c r="E277" s="2">
        <v>522.0</v>
      </c>
      <c r="F277" s="1" t="s">
        <v>536</v>
      </c>
      <c r="G277" s="1" t="s">
        <v>66</v>
      </c>
      <c r="H277" s="1" t="s">
        <v>46</v>
      </c>
      <c r="I277" s="1" t="s">
        <v>103</v>
      </c>
      <c r="J277" s="1" t="s">
        <v>537</v>
      </c>
      <c r="K277" s="19" t="s">
        <v>34</v>
      </c>
      <c r="L277" s="20" t="s">
        <v>27</v>
      </c>
      <c r="M277" s="21">
        <f t="shared" si="1"/>
        <v>1</v>
      </c>
      <c r="N277" s="2">
        <v>26.1</v>
      </c>
      <c r="O277" s="2">
        <v>3.0</v>
      </c>
      <c r="P277" s="2">
        <v>480.37</v>
      </c>
      <c r="Q277" s="2">
        <v>89327.0</v>
      </c>
      <c r="R277" s="15" t="b">
        <f>ISNUMBER(MATCH(Q277,'Returned order'!A:A,0))</f>
        <v>0</v>
      </c>
      <c r="S277" s="22">
        <v>42177.0</v>
      </c>
      <c r="T277" s="15"/>
      <c r="U277" s="15"/>
      <c r="V277" s="15"/>
    </row>
    <row r="278">
      <c r="A278" s="2">
        <v>23201.0</v>
      </c>
      <c r="B278" s="1" t="s">
        <v>63</v>
      </c>
      <c r="C278" s="2">
        <v>0.1</v>
      </c>
      <c r="D278" s="2">
        <v>5.43</v>
      </c>
      <c r="E278" s="2">
        <v>522.0</v>
      </c>
      <c r="F278" s="1" t="s">
        <v>536</v>
      </c>
      <c r="G278" s="1" t="s">
        <v>66</v>
      </c>
      <c r="H278" s="1" t="s">
        <v>23</v>
      </c>
      <c r="I278" s="1" t="s">
        <v>93</v>
      </c>
      <c r="J278" s="1" t="s">
        <v>538</v>
      </c>
      <c r="K278" s="19" t="s">
        <v>34</v>
      </c>
      <c r="L278" s="20" t="s">
        <v>27</v>
      </c>
      <c r="M278" s="21">
        <f t="shared" si="1"/>
        <v>1</v>
      </c>
      <c r="N278" s="2">
        <v>-2.58</v>
      </c>
      <c r="O278" s="2">
        <v>1.0</v>
      </c>
      <c r="P278" s="2">
        <v>5.76</v>
      </c>
      <c r="Q278" s="2">
        <v>89327.0</v>
      </c>
      <c r="R278" s="15" t="b">
        <f>ISNUMBER(MATCH(Q278,'Returned order'!A:A,0))</f>
        <v>0</v>
      </c>
      <c r="S278" s="22">
        <v>42177.0</v>
      </c>
      <c r="T278" s="15"/>
      <c r="U278" s="15"/>
      <c r="V278" s="15"/>
    </row>
    <row r="279">
      <c r="A279" s="2">
        <v>23202.0</v>
      </c>
      <c r="B279" s="1" t="s">
        <v>63</v>
      </c>
      <c r="C279" s="2">
        <v>0.01</v>
      </c>
      <c r="D279" s="2">
        <v>179.29</v>
      </c>
      <c r="E279" s="2">
        <v>522.0</v>
      </c>
      <c r="F279" s="1" t="s">
        <v>536</v>
      </c>
      <c r="G279" s="1" t="s">
        <v>66</v>
      </c>
      <c r="H279" s="1" t="s">
        <v>37</v>
      </c>
      <c r="I279" s="1" t="s">
        <v>73</v>
      </c>
      <c r="J279" s="1" t="s">
        <v>539</v>
      </c>
      <c r="K279" s="19" t="s">
        <v>34</v>
      </c>
      <c r="L279" s="20" t="s">
        <v>27</v>
      </c>
      <c r="M279" s="21">
        <f t="shared" si="1"/>
        <v>1</v>
      </c>
      <c r="N279" s="2">
        <v>2800.12</v>
      </c>
      <c r="O279" s="2">
        <v>21.0</v>
      </c>
      <c r="P279" s="2">
        <v>3112.13</v>
      </c>
      <c r="Q279" s="2">
        <v>89327.0</v>
      </c>
      <c r="R279" s="15" t="b">
        <f>ISNUMBER(MATCH(Q279,'Returned order'!A:A,0))</f>
        <v>0</v>
      </c>
      <c r="S279" s="22">
        <v>42177.0</v>
      </c>
      <c r="T279" s="15"/>
      <c r="U279" s="15"/>
      <c r="V279" s="15"/>
    </row>
    <row r="280">
      <c r="A280" s="2">
        <v>21517.0</v>
      </c>
      <c r="B280" s="1" t="s">
        <v>49</v>
      </c>
      <c r="C280" s="2">
        <v>0.03</v>
      </c>
      <c r="D280" s="2">
        <v>1270.99</v>
      </c>
      <c r="E280" s="2">
        <v>524.0</v>
      </c>
      <c r="F280" s="1" t="s">
        <v>540</v>
      </c>
      <c r="G280" s="1" t="s">
        <v>22</v>
      </c>
      <c r="H280" s="1" t="s">
        <v>23</v>
      </c>
      <c r="I280" s="1" t="s">
        <v>24</v>
      </c>
      <c r="J280" s="1" t="s">
        <v>541</v>
      </c>
      <c r="K280" s="19" t="s">
        <v>229</v>
      </c>
      <c r="L280" s="20" t="s">
        <v>57</v>
      </c>
      <c r="M280" s="21">
        <f t="shared" si="1"/>
        <v>2</v>
      </c>
      <c r="N280" s="2">
        <v>363.552</v>
      </c>
      <c r="O280" s="2">
        <v>2.0</v>
      </c>
      <c r="P280" s="2">
        <v>2589.01</v>
      </c>
      <c r="Q280" s="2">
        <v>91127.0</v>
      </c>
      <c r="R280" s="15" t="b">
        <f>ISNUMBER(MATCH(Q280,'Returned order'!A:A,0))</f>
        <v>0</v>
      </c>
      <c r="S280" s="22">
        <v>42024.0</v>
      </c>
      <c r="T280" s="15"/>
      <c r="U280" s="15"/>
      <c r="V280" s="15"/>
    </row>
    <row r="281">
      <c r="A281" s="2">
        <v>21518.0</v>
      </c>
      <c r="B281" s="1" t="s">
        <v>49</v>
      </c>
      <c r="C281" s="2">
        <v>0.07</v>
      </c>
      <c r="D281" s="2">
        <v>2036.48</v>
      </c>
      <c r="E281" s="2">
        <v>524.0</v>
      </c>
      <c r="F281" s="1" t="s">
        <v>540</v>
      </c>
      <c r="G281" s="1" t="s">
        <v>22</v>
      </c>
      <c r="H281" s="1" t="s">
        <v>46</v>
      </c>
      <c r="I281" s="1" t="s">
        <v>103</v>
      </c>
      <c r="J281" s="1" t="s">
        <v>542</v>
      </c>
      <c r="K281" s="19" t="s">
        <v>229</v>
      </c>
      <c r="L281" s="20" t="s">
        <v>57</v>
      </c>
      <c r="M281" s="21">
        <f t="shared" si="1"/>
        <v>2</v>
      </c>
      <c r="N281" s="2">
        <v>-11.536</v>
      </c>
      <c r="O281" s="2">
        <v>1.0</v>
      </c>
      <c r="P281" s="2">
        <v>1893.93</v>
      </c>
      <c r="Q281" s="2">
        <v>91127.0</v>
      </c>
      <c r="R281" s="15" t="b">
        <f>ISNUMBER(MATCH(Q281,'Returned order'!A:A,0))</f>
        <v>0</v>
      </c>
      <c r="S281" s="22">
        <v>42024.0</v>
      </c>
      <c r="T281" s="15"/>
      <c r="U281" s="15"/>
      <c r="V281" s="15"/>
    </row>
    <row r="282">
      <c r="A282" s="2">
        <v>22176.0</v>
      </c>
      <c r="B282" s="1" t="s">
        <v>28</v>
      </c>
      <c r="C282" s="2">
        <v>0.09</v>
      </c>
      <c r="D282" s="2">
        <v>17.98</v>
      </c>
      <c r="E282" s="2">
        <v>526.0</v>
      </c>
      <c r="F282" s="1" t="s">
        <v>543</v>
      </c>
      <c r="G282" s="1" t="s">
        <v>51</v>
      </c>
      <c r="H282" s="1" t="s">
        <v>46</v>
      </c>
      <c r="I282" s="1" t="s">
        <v>103</v>
      </c>
      <c r="J282" s="1" t="s">
        <v>160</v>
      </c>
      <c r="K282" s="19" t="s">
        <v>34</v>
      </c>
      <c r="L282" s="20" t="s">
        <v>27</v>
      </c>
      <c r="M282" s="21">
        <f t="shared" si="1"/>
        <v>1</v>
      </c>
      <c r="N282" s="2">
        <v>-6.612</v>
      </c>
      <c r="O282" s="2">
        <v>12.0</v>
      </c>
      <c r="P282" s="2">
        <v>211.13</v>
      </c>
      <c r="Q282" s="2">
        <v>90026.0</v>
      </c>
      <c r="R282" s="15" t="b">
        <f>ISNUMBER(MATCH(Q282,'Returned order'!A:A,0))</f>
        <v>0</v>
      </c>
      <c r="S282" s="22">
        <v>42149.0</v>
      </c>
      <c r="T282" s="15"/>
      <c r="U282" s="15"/>
      <c r="V282" s="15"/>
    </row>
    <row r="283">
      <c r="A283" s="2">
        <v>20494.0</v>
      </c>
      <c r="B283" s="1" t="s">
        <v>49</v>
      </c>
      <c r="C283" s="2">
        <v>0.0</v>
      </c>
      <c r="D283" s="2">
        <v>1.88</v>
      </c>
      <c r="E283" s="2">
        <v>526.0</v>
      </c>
      <c r="F283" s="1" t="s">
        <v>543</v>
      </c>
      <c r="G283" s="1" t="s">
        <v>51</v>
      </c>
      <c r="H283" s="1" t="s">
        <v>23</v>
      </c>
      <c r="I283" s="1" t="s">
        <v>24</v>
      </c>
      <c r="J283" s="1" t="s">
        <v>78</v>
      </c>
      <c r="K283" s="19" t="s">
        <v>34</v>
      </c>
      <c r="L283" s="20" t="s">
        <v>53</v>
      </c>
      <c r="M283" s="21">
        <f t="shared" si="1"/>
        <v>6</v>
      </c>
      <c r="N283" s="2">
        <v>-15.5595</v>
      </c>
      <c r="O283" s="2">
        <v>13.0</v>
      </c>
      <c r="P283" s="2">
        <v>25.39</v>
      </c>
      <c r="Q283" s="2">
        <v>90027.0</v>
      </c>
      <c r="R283" s="15" t="b">
        <f>ISNUMBER(MATCH(Q283,'Returned order'!A:A,0))</f>
        <v>0</v>
      </c>
      <c r="S283" s="22">
        <v>42021.0</v>
      </c>
      <c r="T283" s="15"/>
      <c r="U283" s="15"/>
      <c r="V283" s="15"/>
    </row>
    <row r="284">
      <c r="A284" s="2">
        <v>20495.0</v>
      </c>
      <c r="B284" s="1" t="s">
        <v>49</v>
      </c>
      <c r="C284" s="2">
        <v>0.06</v>
      </c>
      <c r="D284" s="2">
        <v>5.78</v>
      </c>
      <c r="E284" s="2">
        <v>526.0</v>
      </c>
      <c r="F284" s="1" t="s">
        <v>543</v>
      </c>
      <c r="G284" s="1" t="s">
        <v>51</v>
      </c>
      <c r="H284" s="1" t="s">
        <v>23</v>
      </c>
      <c r="I284" s="1" t="s">
        <v>93</v>
      </c>
      <c r="J284" s="1" t="s">
        <v>544</v>
      </c>
      <c r="K284" s="19" t="s">
        <v>34</v>
      </c>
      <c r="L284" s="20" t="s">
        <v>53</v>
      </c>
      <c r="M284" s="21">
        <f t="shared" si="1"/>
        <v>6</v>
      </c>
      <c r="N284" s="2">
        <v>-108.19</v>
      </c>
      <c r="O284" s="2">
        <v>15.0</v>
      </c>
      <c r="P284" s="2">
        <v>87.27</v>
      </c>
      <c r="Q284" s="2">
        <v>90027.0</v>
      </c>
      <c r="R284" s="15" t="b">
        <f>ISNUMBER(MATCH(Q284,'Returned order'!A:A,0))</f>
        <v>0</v>
      </c>
      <c r="S284" s="22">
        <v>42021.0</v>
      </c>
      <c r="T284" s="15"/>
      <c r="U284" s="15"/>
      <c r="V284" s="15"/>
    </row>
    <row r="285">
      <c r="A285" s="2">
        <v>26210.0</v>
      </c>
      <c r="B285" s="1" t="s">
        <v>170</v>
      </c>
      <c r="C285" s="2">
        <v>0.0</v>
      </c>
      <c r="D285" s="2">
        <v>15.99</v>
      </c>
      <c r="E285" s="2">
        <v>535.0</v>
      </c>
      <c r="F285" s="1" t="s">
        <v>545</v>
      </c>
      <c r="G285" s="1" t="s">
        <v>32</v>
      </c>
      <c r="H285" s="1" t="s">
        <v>23</v>
      </c>
      <c r="I285" s="1" t="s">
        <v>24</v>
      </c>
      <c r="J285" s="1" t="s">
        <v>546</v>
      </c>
      <c r="K285" s="19" t="s">
        <v>229</v>
      </c>
      <c r="L285" s="20" t="s">
        <v>57</v>
      </c>
      <c r="M285" s="21">
        <f t="shared" si="1"/>
        <v>2</v>
      </c>
      <c r="N285" s="2">
        <v>46.488</v>
      </c>
      <c r="O285" s="2">
        <v>23.0</v>
      </c>
      <c r="P285" s="2">
        <v>403.25</v>
      </c>
      <c r="Q285" s="2">
        <v>88511.0</v>
      </c>
      <c r="R285" s="15" t="b">
        <f>ISNUMBER(MATCH(Q285,'Returned order'!A:A,0))</f>
        <v>0</v>
      </c>
      <c r="S285" s="22">
        <v>42115.0</v>
      </c>
      <c r="T285" s="15"/>
      <c r="U285" s="15"/>
      <c r="V285" s="15"/>
    </row>
    <row r="286">
      <c r="A286" s="2">
        <v>20811.0</v>
      </c>
      <c r="B286" s="1" t="s">
        <v>63</v>
      </c>
      <c r="C286" s="2">
        <v>0.05</v>
      </c>
      <c r="D286" s="2">
        <v>59.78</v>
      </c>
      <c r="E286" s="2">
        <v>539.0</v>
      </c>
      <c r="F286" s="1" t="s">
        <v>547</v>
      </c>
      <c r="G286" s="1" t="s">
        <v>66</v>
      </c>
      <c r="H286" s="1" t="s">
        <v>23</v>
      </c>
      <c r="I286" s="1" t="s">
        <v>24</v>
      </c>
      <c r="J286" s="1" t="s">
        <v>548</v>
      </c>
      <c r="K286" s="19" t="s">
        <v>68</v>
      </c>
      <c r="L286" s="20" t="s">
        <v>70</v>
      </c>
      <c r="M286" s="21">
        <f t="shared" si="1"/>
        <v>4</v>
      </c>
      <c r="N286" s="2">
        <v>159.5297</v>
      </c>
      <c r="O286" s="2">
        <v>7.0</v>
      </c>
      <c r="P286" s="2">
        <v>414.49</v>
      </c>
      <c r="Q286" s="2">
        <v>91174.0</v>
      </c>
      <c r="R286" s="15" t="b">
        <f>ISNUMBER(MATCH(Q286,'Returned order'!A:A,0))</f>
        <v>0</v>
      </c>
      <c r="S286" s="22">
        <v>42138.0</v>
      </c>
      <c r="T286" s="15"/>
      <c r="U286" s="15"/>
      <c r="V286" s="15"/>
    </row>
    <row r="287">
      <c r="A287" s="2">
        <v>20812.0</v>
      </c>
      <c r="B287" s="1" t="s">
        <v>63</v>
      </c>
      <c r="C287" s="2">
        <v>0.08</v>
      </c>
      <c r="D287" s="2">
        <v>20.99</v>
      </c>
      <c r="E287" s="2">
        <v>540.0</v>
      </c>
      <c r="F287" s="1" t="s">
        <v>549</v>
      </c>
      <c r="G287" s="1" t="s">
        <v>66</v>
      </c>
      <c r="H287" s="1" t="s">
        <v>46</v>
      </c>
      <c r="I287" s="1" t="s">
        <v>85</v>
      </c>
      <c r="J287" s="1" t="s">
        <v>550</v>
      </c>
      <c r="K287" s="19" t="s">
        <v>68</v>
      </c>
      <c r="L287" s="20" t="s">
        <v>70</v>
      </c>
      <c r="M287" s="21">
        <f t="shared" si="1"/>
        <v>4</v>
      </c>
      <c r="N287" s="2">
        <v>15.3714</v>
      </c>
      <c r="O287" s="2">
        <v>28.0</v>
      </c>
      <c r="P287" s="2">
        <v>469.69</v>
      </c>
      <c r="Q287" s="2">
        <v>91174.0</v>
      </c>
      <c r="R287" s="15" t="b">
        <f>ISNUMBER(MATCH(Q287,'Returned order'!A:A,0))</f>
        <v>0</v>
      </c>
      <c r="S287" s="22">
        <v>42138.0</v>
      </c>
      <c r="T287" s="15"/>
      <c r="U287" s="15"/>
      <c r="V287" s="15"/>
    </row>
    <row r="288">
      <c r="A288" s="2">
        <v>24783.0</v>
      </c>
      <c r="B288" s="1" t="s">
        <v>63</v>
      </c>
      <c r="C288" s="2">
        <v>0.05</v>
      </c>
      <c r="D288" s="2">
        <v>204.1</v>
      </c>
      <c r="E288" s="2">
        <v>540.0</v>
      </c>
      <c r="F288" s="1" t="s">
        <v>549</v>
      </c>
      <c r="G288" s="1" t="s">
        <v>66</v>
      </c>
      <c r="H288" s="1" t="s">
        <v>46</v>
      </c>
      <c r="I288" s="1" t="s">
        <v>103</v>
      </c>
      <c r="J288" s="1" t="s">
        <v>551</v>
      </c>
      <c r="K288" s="19" t="s">
        <v>68</v>
      </c>
      <c r="L288" s="20" t="s">
        <v>53</v>
      </c>
      <c r="M288" s="21">
        <f t="shared" si="1"/>
        <v>6</v>
      </c>
      <c r="N288" s="2">
        <v>5924.1123</v>
      </c>
      <c r="O288" s="2">
        <v>41.0</v>
      </c>
      <c r="P288" s="2">
        <v>8585.67</v>
      </c>
      <c r="Q288" s="2">
        <v>91175.0</v>
      </c>
      <c r="R288" s="15" t="b">
        <f>ISNUMBER(MATCH(Q288,'Returned order'!A:A,0))</f>
        <v>0</v>
      </c>
      <c r="S288" s="22">
        <v>42147.0</v>
      </c>
      <c r="T288" s="15"/>
      <c r="U288" s="15"/>
      <c r="V288" s="15"/>
    </row>
    <row r="289">
      <c r="A289" s="2">
        <v>23401.0</v>
      </c>
      <c r="B289" s="1" t="s">
        <v>49</v>
      </c>
      <c r="C289" s="2">
        <v>0.03</v>
      </c>
      <c r="D289" s="2">
        <v>13.73</v>
      </c>
      <c r="E289" s="2">
        <v>547.0</v>
      </c>
      <c r="F289" s="1" t="s">
        <v>552</v>
      </c>
      <c r="G289" s="1" t="s">
        <v>32</v>
      </c>
      <c r="H289" s="1" t="s">
        <v>37</v>
      </c>
      <c r="I289" s="1" t="s">
        <v>42</v>
      </c>
      <c r="J289" s="1" t="s">
        <v>553</v>
      </c>
      <c r="K289" s="19" t="s">
        <v>26</v>
      </c>
      <c r="L289" s="20" t="s">
        <v>61</v>
      </c>
      <c r="M289" s="21">
        <f t="shared" si="1"/>
        <v>7</v>
      </c>
      <c r="N289" s="2">
        <v>39.5853</v>
      </c>
      <c r="O289" s="2">
        <v>4.0</v>
      </c>
      <c r="P289" s="2">
        <v>57.37</v>
      </c>
      <c r="Q289" s="2">
        <v>86250.0</v>
      </c>
      <c r="R289" s="15" t="b">
        <f>ISNUMBER(MATCH(Q289,'Returned order'!A:A,0))</f>
        <v>0</v>
      </c>
      <c r="S289" s="22">
        <v>42169.0</v>
      </c>
      <c r="T289" s="15"/>
      <c r="U289" s="15"/>
      <c r="V289" s="15"/>
    </row>
    <row r="290">
      <c r="A290" s="2">
        <v>25806.0</v>
      </c>
      <c r="B290" s="1" t="s">
        <v>49</v>
      </c>
      <c r="C290" s="2">
        <v>0.02</v>
      </c>
      <c r="D290" s="2">
        <v>7.1</v>
      </c>
      <c r="E290" s="2">
        <v>549.0</v>
      </c>
      <c r="F290" s="1" t="s">
        <v>554</v>
      </c>
      <c r="G290" s="1" t="s">
        <v>32</v>
      </c>
      <c r="H290" s="1" t="s">
        <v>23</v>
      </c>
      <c r="I290" s="1" t="s">
        <v>24</v>
      </c>
      <c r="J290" s="1" t="s">
        <v>143</v>
      </c>
      <c r="K290" s="19" t="s">
        <v>34</v>
      </c>
      <c r="L290" s="20" t="s">
        <v>57</v>
      </c>
      <c r="M290" s="21">
        <f t="shared" si="1"/>
        <v>2</v>
      </c>
      <c r="N290" s="2">
        <v>-66.378</v>
      </c>
      <c r="O290" s="2">
        <v>9.0</v>
      </c>
      <c r="P290" s="2">
        <v>66.32</v>
      </c>
      <c r="Q290" s="2">
        <v>90908.0</v>
      </c>
      <c r="R290" s="15" t="b">
        <f>ISNUMBER(MATCH(Q290,'Returned order'!A:A,0))</f>
        <v>0</v>
      </c>
      <c r="S290" s="22">
        <v>42024.0</v>
      </c>
      <c r="T290" s="15"/>
      <c r="U290" s="15"/>
      <c r="V290" s="15"/>
    </row>
    <row r="291">
      <c r="A291" s="2">
        <v>24132.0</v>
      </c>
      <c r="B291" s="1" t="s">
        <v>28</v>
      </c>
      <c r="C291" s="2">
        <v>0.05</v>
      </c>
      <c r="D291" s="2">
        <v>1.68</v>
      </c>
      <c r="E291" s="2">
        <v>550.0</v>
      </c>
      <c r="F291" s="1" t="s">
        <v>555</v>
      </c>
      <c r="G291" s="1" t="s">
        <v>32</v>
      </c>
      <c r="H291" s="1" t="s">
        <v>23</v>
      </c>
      <c r="I291" s="1" t="s">
        <v>29</v>
      </c>
      <c r="J291" s="1" t="s">
        <v>141</v>
      </c>
      <c r="K291" s="19" t="s">
        <v>68</v>
      </c>
      <c r="L291" s="20" t="s">
        <v>76</v>
      </c>
      <c r="M291" s="21">
        <f t="shared" si="1"/>
        <v>5</v>
      </c>
      <c r="N291" s="2">
        <v>-33.34</v>
      </c>
      <c r="O291" s="2">
        <v>11.0</v>
      </c>
      <c r="P291" s="2">
        <v>18.75</v>
      </c>
      <c r="Q291" s="2">
        <v>90909.0</v>
      </c>
      <c r="R291" s="15" t="b">
        <f>ISNUMBER(MATCH(Q291,'Returned order'!A:A,0))</f>
        <v>0</v>
      </c>
      <c r="S291" s="22">
        <v>42034.0</v>
      </c>
      <c r="T291" s="15"/>
      <c r="U291" s="15"/>
      <c r="V291" s="15"/>
    </row>
    <row r="292">
      <c r="A292" s="2">
        <v>24133.0</v>
      </c>
      <c r="B292" s="1" t="s">
        <v>28</v>
      </c>
      <c r="C292" s="2">
        <v>0.1</v>
      </c>
      <c r="D292" s="2">
        <v>218.75</v>
      </c>
      <c r="E292" s="2">
        <v>550.0</v>
      </c>
      <c r="F292" s="1" t="s">
        <v>555</v>
      </c>
      <c r="G292" s="1" t="s">
        <v>32</v>
      </c>
      <c r="H292" s="1" t="s">
        <v>37</v>
      </c>
      <c r="I292" s="1" t="s">
        <v>73</v>
      </c>
      <c r="J292" s="1" t="s">
        <v>556</v>
      </c>
      <c r="K292" s="19" t="s">
        <v>68</v>
      </c>
      <c r="L292" s="20" t="s">
        <v>76</v>
      </c>
      <c r="M292" s="21">
        <f t="shared" si="1"/>
        <v>5</v>
      </c>
      <c r="N292" s="2">
        <v>-201.276</v>
      </c>
      <c r="O292" s="2">
        <v>1.0</v>
      </c>
      <c r="P292" s="2">
        <v>188.51</v>
      </c>
      <c r="Q292" s="2">
        <v>90909.0</v>
      </c>
      <c r="R292" s="15" t="b">
        <f>ISNUMBER(MATCH(Q292,'Returned order'!A:A,0))</f>
        <v>0</v>
      </c>
      <c r="S292" s="22">
        <v>42034.0</v>
      </c>
      <c r="T292" s="15"/>
      <c r="U292" s="15"/>
      <c r="V292" s="15"/>
    </row>
    <row r="293">
      <c r="A293" s="2">
        <v>23209.0</v>
      </c>
      <c r="B293" s="1" t="s">
        <v>63</v>
      </c>
      <c r="C293" s="2">
        <v>0.06</v>
      </c>
      <c r="D293" s="2">
        <v>549.99</v>
      </c>
      <c r="E293" s="2">
        <v>550.0</v>
      </c>
      <c r="F293" s="1" t="s">
        <v>555</v>
      </c>
      <c r="G293" s="1" t="s">
        <v>32</v>
      </c>
      <c r="H293" s="1" t="s">
        <v>46</v>
      </c>
      <c r="I293" s="1" t="s">
        <v>138</v>
      </c>
      <c r="J293" s="1" t="s">
        <v>557</v>
      </c>
      <c r="K293" s="19" t="s">
        <v>68</v>
      </c>
      <c r="L293" s="20" t="s">
        <v>76</v>
      </c>
      <c r="M293" s="21">
        <f t="shared" si="1"/>
        <v>5</v>
      </c>
      <c r="N293" s="2">
        <v>4637.4072</v>
      </c>
      <c r="O293" s="2">
        <v>13.0</v>
      </c>
      <c r="P293" s="2">
        <v>6720.88</v>
      </c>
      <c r="Q293" s="2">
        <v>90910.0</v>
      </c>
      <c r="R293" s="15" t="b">
        <f>ISNUMBER(MATCH(Q293,'Returned order'!A:A,0))</f>
        <v>0</v>
      </c>
      <c r="S293" s="22">
        <v>42167.0</v>
      </c>
      <c r="T293" s="15"/>
      <c r="U293" s="15"/>
      <c r="V293" s="15"/>
    </row>
    <row r="294">
      <c r="A294" s="2">
        <v>23210.0</v>
      </c>
      <c r="B294" s="1" t="s">
        <v>63</v>
      </c>
      <c r="C294" s="2">
        <v>0.08</v>
      </c>
      <c r="D294" s="2">
        <v>115.99</v>
      </c>
      <c r="E294" s="2">
        <v>550.0</v>
      </c>
      <c r="F294" s="1" t="s">
        <v>555</v>
      </c>
      <c r="G294" s="1" t="s">
        <v>32</v>
      </c>
      <c r="H294" s="1" t="s">
        <v>46</v>
      </c>
      <c r="I294" s="1" t="s">
        <v>85</v>
      </c>
      <c r="J294" s="1">
        <v>2160.0</v>
      </c>
      <c r="K294" s="19" t="s">
        <v>68</v>
      </c>
      <c r="L294" s="20" t="s">
        <v>76</v>
      </c>
      <c r="M294" s="21">
        <f t="shared" si="1"/>
        <v>5</v>
      </c>
      <c r="N294" s="2">
        <v>-239.5415</v>
      </c>
      <c r="O294" s="2">
        <v>1.0</v>
      </c>
      <c r="P294" s="2">
        <v>102.21</v>
      </c>
      <c r="Q294" s="2">
        <v>90910.0</v>
      </c>
      <c r="R294" s="15" t="b">
        <f>ISNUMBER(MATCH(Q294,'Returned order'!A:A,0))</f>
        <v>0</v>
      </c>
      <c r="S294" s="22">
        <v>42167.0</v>
      </c>
      <c r="T294" s="15"/>
      <c r="U294" s="15"/>
      <c r="V294" s="15"/>
    </row>
    <row r="295">
      <c r="A295" s="2">
        <v>24134.0</v>
      </c>
      <c r="B295" s="1" t="s">
        <v>28</v>
      </c>
      <c r="C295" s="2">
        <v>0.0</v>
      </c>
      <c r="D295" s="2">
        <v>15.04</v>
      </c>
      <c r="E295" s="2">
        <v>551.0</v>
      </c>
      <c r="F295" s="1" t="s">
        <v>558</v>
      </c>
      <c r="G295" s="1" t="s">
        <v>32</v>
      </c>
      <c r="H295" s="1" t="s">
        <v>23</v>
      </c>
      <c r="I295" s="1" t="s">
        <v>93</v>
      </c>
      <c r="J295" s="1" t="s">
        <v>559</v>
      </c>
      <c r="K295" s="19" t="s">
        <v>68</v>
      </c>
      <c r="L295" s="20" t="s">
        <v>76</v>
      </c>
      <c r="M295" s="21">
        <f t="shared" si="1"/>
        <v>5</v>
      </c>
      <c r="N295" s="2">
        <v>21.5142</v>
      </c>
      <c r="O295" s="2">
        <v>2.0</v>
      </c>
      <c r="P295" s="2">
        <v>31.18</v>
      </c>
      <c r="Q295" s="2">
        <v>90909.0</v>
      </c>
      <c r="R295" s="15" t="b">
        <f>ISNUMBER(MATCH(Q295,'Returned order'!A:A,0))</f>
        <v>0</v>
      </c>
      <c r="S295" s="22">
        <v>42034.0</v>
      </c>
      <c r="T295" s="15"/>
      <c r="U295" s="15"/>
      <c r="V295" s="15"/>
    </row>
    <row r="296">
      <c r="A296" s="2">
        <v>2368.0</v>
      </c>
      <c r="B296" s="1" t="s">
        <v>63</v>
      </c>
      <c r="C296" s="2">
        <v>0.0</v>
      </c>
      <c r="D296" s="2">
        <v>6.88</v>
      </c>
      <c r="E296" s="2">
        <v>553.0</v>
      </c>
      <c r="F296" s="1" t="s">
        <v>560</v>
      </c>
      <c r="G296" s="1" t="s">
        <v>51</v>
      </c>
      <c r="H296" s="1" t="s">
        <v>23</v>
      </c>
      <c r="I296" s="1" t="s">
        <v>93</v>
      </c>
      <c r="J296" s="1" t="s">
        <v>561</v>
      </c>
      <c r="K296" s="19" t="s">
        <v>34</v>
      </c>
      <c r="L296" s="20" t="s">
        <v>35</v>
      </c>
      <c r="M296" s="21">
        <f t="shared" si="1"/>
        <v>3</v>
      </c>
      <c r="N296" s="2">
        <v>34.068</v>
      </c>
      <c r="O296" s="2">
        <v>36.0</v>
      </c>
      <c r="P296" s="2">
        <v>267.53</v>
      </c>
      <c r="Q296" s="2">
        <v>17155.0</v>
      </c>
      <c r="R296" s="15" t="b">
        <f>ISNUMBER(MATCH(Q296,'Returned order'!A:A,0))</f>
        <v>1</v>
      </c>
      <c r="S296" s="22">
        <v>42032.0</v>
      </c>
      <c r="T296" s="15"/>
      <c r="U296" s="15"/>
      <c r="V296" s="15"/>
    </row>
    <row r="297">
      <c r="A297" s="2">
        <v>349.0</v>
      </c>
      <c r="B297" s="1" t="s">
        <v>49</v>
      </c>
      <c r="C297" s="2">
        <v>0.07</v>
      </c>
      <c r="D297" s="2">
        <v>2036.48</v>
      </c>
      <c r="E297" s="2">
        <v>553.0</v>
      </c>
      <c r="F297" s="1" t="s">
        <v>560</v>
      </c>
      <c r="G297" s="1" t="s">
        <v>32</v>
      </c>
      <c r="H297" s="1" t="s">
        <v>46</v>
      </c>
      <c r="I297" s="1" t="s">
        <v>103</v>
      </c>
      <c r="J297" s="1" t="s">
        <v>542</v>
      </c>
      <c r="K297" s="19" t="s">
        <v>34</v>
      </c>
      <c r="L297" s="20" t="s">
        <v>53</v>
      </c>
      <c r="M297" s="21">
        <f t="shared" si="1"/>
        <v>6</v>
      </c>
      <c r="N297" s="2">
        <v>4073.25</v>
      </c>
      <c r="O297" s="2">
        <v>25.0</v>
      </c>
      <c r="P297" s="2">
        <v>43046.2</v>
      </c>
      <c r="Q297" s="2">
        <v>2433.0</v>
      </c>
      <c r="R297" s="15" t="b">
        <f>ISNUMBER(MATCH(Q297,'Returned order'!A:A,0))</f>
        <v>0</v>
      </c>
      <c r="S297" s="22">
        <v>42056.0</v>
      </c>
      <c r="T297" s="15"/>
      <c r="U297" s="15"/>
      <c r="V297" s="15"/>
    </row>
    <row r="298">
      <c r="A298" s="2">
        <v>1115.0</v>
      </c>
      <c r="B298" s="1" t="s">
        <v>170</v>
      </c>
      <c r="C298" s="2">
        <v>0.01</v>
      </c>
      <c r="D298" s="2">
        <v>4.98</v>
      </c>
      <c r="E298" s="2">
        <v>553.0</v>
      </c>
      <c r="F298" s="1" t="s">
        <v>560</v>
      </c>
      <c r="G298" s="1" t="s">
        <v>32</v>
      </c>
      <c r="H298" s="1" t="s">
        <v>23</v>
      </c>
      <c r="I298" s="1" t="s">
        <v>93</v>
      </c>
      <c r="J298" s="1" t="s">
        <v>375</v>
      </c>
      <c r="K298" s="19" t="s">
        <v>34</v>
      </c>
      <c r="L298" s="20" t="s">
        <v>35</v>
      </c>
      <c r="M298" s="21">
        <f t="shared" si="1"/>
        <v>3</v>
      </c>
      <c r="N298" s="2">
        <v>-179.592</v>
      </c>
      <c r="O298" s="2">
        <v>63.0</v>
      </c>
      <c r="P298" s="2">
        <v>330.21</v>
      </c>
      <c r="Q298" s="2">
        <v>8165.0</v>
      </c>
      <c r="R298" s="15" t="b">
        <f>ISNUMBER(MATCH(Q298,'Returned order'!A:A,0))</f>
        <v>0</v>
      </c>
      <c r="S298" s="22">
        <v>42109.0</v>
      </c>
      <c r="T298" s="15"/>
      <c r="U298" s="15"/>
      <c r="V298" s="15"/>
    </row>
    <row r="299">
      <c r="A299" s="2">
        <v>64.0</v>
      </c>
      <c r="B299" s="1" t="s">
        <v>63</v>
      </c>
      <c r="C299" s="2">
        <v>0.08</v>
      </c>
      <c r="D299" s="2">
        <v>124.49</v>
      </c>
      <c r="E299" s="2">
        <v>553.0</v>
      </c>
      <c r="F299" s="1" t="s">
        <v>560</v>
      </c>
      <c r="G299" s="1" t="s">
        <v>32</v>
      </c>
      <c r="H299" s="1" t="s">
        <v>37</v>
      </c>
      <c r="I299" s="1" t="s">
        <v>73</v>
      </c>
      <c r="J299" s="1" t="s">
        <v>432</v>
      </c>
      <c r="K299" s="19" t="s">
        <v>34</v>
      </c>
      <c r="L299" s="20" t="s">
        <v>70</v>
      </c>
      <c r="M299" s="21">
        <f t="shared" si="1"/>
        <v>4</v>
      </c>
      <c r="N299" s="2">
        <v>-500.38</v>
      </c>
      <c r="O299" s="2">
        <v>56.0</v>
      </c>
      <c r="P299" s="2">
        <v>6831.37</v>
      </c>
      <c r="Q299" s="2">
        <v>359.0</v>
      </c>
      <c r="R299" s="15" t="b">
        <f>ISNUMBER(MATCH(Q299,'Returned order'!A:A,0))</f>
        <v>0</v>
      </c>
      <c r="S299" s="22">
        <v>42173.0</v>
      </c>
      <c r="T299" s="15"/>
      <c r="U299" s="15"/>
      <c r="V299" s="15"/>
    </row>
    <row r="300">
      <c r="A300" s="2">
        <v>18349.0</v>
      </c>
      <c r="B300" s="1" t="s">
        <v>49</v>
      </c>
      <c r="C300" s="2">
        <v>0.07</v>
      </c>
      <c r="D300" s="2">
        <v>2036.48</v>
      </c>
      <c r="E300" s="2">
        <v>555.0</v>
      </c>
      <c r="F300" s="1" t="s">
        <v>562</v>
      </c>
      <c r="G300" s="1" t="s">
        <v>32</v>
      </c>
      <c r="H300" s="1" t="s">
        <v>46</v>
      </c>
      <c r="I300" s="1" t="s">
        <v>103</v>
      </c>
      <c r="J300" s="1" t="s">
        <v>542</v>
      </c>
      <c r="K300" s="19" t="s">
        <v>34</v>
      </c>
      <c r="L300" s="20" t="s">
        <v>53</v>
      </c>
      <c r="M300" s="21">
        <f t="shared" si="1"/>
        <v>6</v>
      </c>
      <c r="N300" s="2">
        <v>6028.41</v>
      </c>
      <c r="O300" s="2">
        <v>6.0</v>
      </c>
      <c r="P300" s="2">
        <v>10331.09</v>
      </c>
      <c r="Q300" s="2">
        <v>86190.0</v>
      </c>
      <c r="R300" s="15" t="b">
        <f>ISNUMBER(MATCH(Q300,'Returned order'!A:A,0))</f>
        <v>0</v>
      </c>
      <c r="S300" s="22">
        <v>42056.0</v>
      </c>
      <c r="T300" s="15"/>
      <c r="U300" s="15"/>
      <c r="V300" s="15"/>
    </row>
    <row r="301">
      <c r="A301" s="2">
        <v>19115.0</v>
      </c>
      <c r="B301" s="1" t="s">
        <v>170</v>
      </c>
      <c r="C301" s="2">
        <v>0.01</v>
      </c>
      <c r="D301" s="2">
        <v>4.98</v>
      </c>
      <c r="E301" s="2">
        <v>555.0</v>
      </c>
      <c r="F301" s="1" t="s">
        <v>562</v>
      </c>
      <c r="G301" s="1" t="s">
        <v>32</v>
      </c>
      <c r="H301" s="1" t="s">
        <v>23</v>
      </c>
      <c r="I301" s="1" t="s">
        <v>93</v>
      </c>
      <c r="J301" s="1" t="s">
        <v>375</v>
      </c>
      <c r="K301" s="19" t="s">
        <v>34</v>
      </c>
      <c r="L301" s="20" t="s">
        <v>35</v>
      </c>
      <c r="M301" s="21">
        <f t="shared" si="1"/>
        <v>3</v>
      </c>
      <c r="N301" s="2">
        <v>-161.6328</v>
      </c>
      <c r="O301" s="2">
        <v>16.0</v>
      </c>
      <c r="P301" s="2">
        <v>83.86</v>
      </c>
      <c r="Q301" s="2">
        <v>86191.0</v>
      </c>
      <c r="R301" s="15" t="b">
        <f>ISNUMBER(MATCH(Q301,'Returned order'!A:A,0))</f>
        <v>0</v>
      </c>
      <c r="S301" s="22">
        <v>42109.0</v>
      </c>
      <c r="T301" s="15"/>
      <c r="U301" s="15"/>
      <c r="V301" s="15"/>
    </row>
    <row r="302">
      <c r="A302" s="2">
        <v>18064.0</v>
      </c>
      <c r="B302" s="1" t="s">
        <v>63</v>
      </c>
      <c r="C302" s="2">
        <v>0.08</v>
      </c>
      <c r="D302" s="2">
        <v>124.49</v>
      </c>
      <c r="E302" s="2">
        <v>555.0</v>
      </c>
      <c r="F302" s="1" t="s">
        <v>562</v>
      </c>
      <c r="G302" s="1" t="s">
        <v>32</v>
      </c>
      <c r="H302" s="1" t="s">
        <v>37</v>
      </c>
      <c r="I302" s="1" t="s">
        <v>73</v>
      </c>
      <c r="J302" s="1" t="s">
        <v>432</v>
      </c>
      <c r="K302" s="19" t="s">
        <v>34</v>
      </c>
      <c r="L302" s="20" t="s">
        <v>70</v>
      </c>
      <c r="M302" s="21">
        <f t="shared" si="1"/>
        <v>4</v>
      </c>
      <c r="N302" s="2">
        <v>-250.19</v>
      </c>
      <c r="O302" s="2">
        <v>14.0</v>
      </c>
      <c r="P302" s="2">
        <v>1707.84</v>
      </c>
      <c r="Q302" s="2">
        <v>86192.0</v>
      </c>
      <c r="R302" s="15" t="b">
        <f>ISNUMBER(MATCH(Q302,'Returned order'!A:A,0))</f>
        <v>0</v>
      </c>
      <c r="S302" s="22">
        <v>42173.0</v>
      </c>
      <c r="T302" s="15"/>
      <c r="U302" s="15"/>
      <c r="V302" s="15"/>
    </row>
    <row r="303">
      <c r="A303" s="2">
        <v>20368.0</v>
      </c>
      <c r="B303" s="1" t="s">
        <v>63</v>
      </c>
      <c r="C303" s="2">
        <v>0.0</v>
      </c>
      <c r="D303" s="2">
        <v>6.88</v>
      </c>
      <c r="E303" s="2">
        <v>556.0</v>
      </c>
      <c r="F303" s="1" t="s">
        <v>563</v>
      </c>
      <c r="G303" s="1" t="s">
        <v>51</v>
      </c>
      <c r="H303" s="1" t="s">
        <v>23</v>
      </c>
      <c r="I303" s="1" t="s">
        <v>93</v>
      </c>
      <c r="J303" s="1" t="s">
        <v>561</v>
      </c>
      <c r="K303" s="19" t="s">
        <v>34</v>
      </c>
      <c r="L303" s="20" t="s">
        <v>35</v>
      </c>
      <c r="M303" s="21">
        <f t="shared" si="1"/>
        <v>3</v>
      </c>
      <c r="N303" s="2">
        <v>46.1472</v>
      </c>
      <c r="O303" s="2">
        <v>9.0</v>
      </c>
      <c r="P303" s="2">
        <v>66.88</v>
      </c>
      <c r="Q303" s="2">
        <v>86189.0</v>
      </c>
      <c r="R303" s="15" t="b">
        <f>ISNUMBER(MATCH(Q303,'Returned order'!A:A,0))</f>
        <v>0</v>
      </c>
      <c r="S303" s="22">
        <v>42032.0</v>
      </c>
      <c r="T303" s="15"/>
      <c r="U303" s="15"/>
      <c r="V303" s="15"/>
    </row>
    <row r="304">
      <c r="A304" s="2">
        <v>20369.0</v>
      </c>
      <c r="B304" s="1" t="s">
        <v>63</v>
      </c>
      <c r="C304" s="2">
        <v>0.03</v>
      </c>
      <c r="D304" s="2">
        <v>32.48</v>
      </c>
      <c r="E304" s="2">
        <v>556.0</v>
      </c>
      <c r="F304" s="1" t="s">
        <v>563</v>
      </c>
      <c r="G304" s="1" t="s">
        <v>51</v>
      </c>
      <c r="H304" s="1" t="s">
        <v>23</v>
      </c>
      <c r="I304" s="1" t="s">
        <v>120</v>
      </c>
      <c r="J304" s="1" t="s">
        <v>564</v>
      </c>
      <c r="K304" s="19" t="s">
        <v>34</v>
      </c>
      <c r="L304" s="20" t="s">
        <v>35</v>
      </c>
      <c r="M304" s="21">
        <f t="shared" si="1"/>
        <v>3</v>
      </c>
      <c r="N304" s="2">
        <v>-1116.3348</v>
      </c>
      <c r="O304" s="2">
        <v>8.0</v>
      </c>
      <c r="P304" s="2">
        <v>274.91</v>
      </c>
      <c r="Q304" s="2">
        <v>86189.0</v>
      </c>
      <c r="R304" s="15" t="b">
        <f>ISNUMBER(MATCH(Q304,'Returned order'!A:A,0))</f>
        <v>0</v>
      </c>
      <c r="S304" s="22">
        <v>42032.0</v>
      </c>
      <c r="T304" s="15"/>
      <c r="U304" s="15"/>
      <c r="V304" s="15"/>
    </row>
    <row r="305">
      <c r="A305" s="2">
        <v>21966.0</v>
      </c>
      <c r="B305" s="1" t="s">
        <v>58</v>
      </c>
      <c r="C305" s="2">
        <v>0.02</v>
      </c>
      <c r="D305" s="2">
        <v>280.98</v>
      </c>
      <c r="E305" s="2">
        <v>568.0</v>
      </c>
      <c r="F305" s="1" t="s">
        <v>565</v>
      </c>
      <c r="G305" s="1" t="s">
        <v>22</v>
      </c>
      <c r="H305" s="1" t="s">
        <v>37</v>
      </c>
      <c r="I305" s="1" t="s">
        <v>38</v>
      </c>
      <c r="J305" s="1" t="s">
        <v>566</v>
      </c>
      <c r="K305" s="19" t="s">
        <v>229</v>
      </c>
      <c r="L305" s="20" t="s">
        <v>35</v>
      </c>
      <c r="M305" s="21">
        <f t="shared" si="1"/>
        <v>3</v>
      </c>
      <c r="N305" s="2">
        <v>1141.794</v>
      </c>
      <c r="O305" s="2">
        <v>4.0</v>
      </c>
      <c r="P305" s="2">
        <v>1128.74</v>
      </c>
      <c r="Q305" s="2">
        <v>88879.0</v>
      </c>
      <c r="R305" s="15" t="b">
        <f>ISNUMBER(MATCH(Q305,'Returned order'!A:A,0))</f>
        <v>0</v>
      </c>
      <c r="S305" s="22">
        <v>42067.0</v>
      </c>
      <c r="T305" s="15"/>
      <c r="U305" s="15"/>
      <c r="V305" s="15"/>
    </row>
    <row r="306">
      <c r="A306" s="2">
        <v>22667.0</v>
      </c>
      <c r="B306" s="1" t="s">
        <v>49</v>
      </c>
      <c r="C306" s="2">
        <v>0.09</v>
      </c>
      <c r="D306" s="2">
        <v>70.97</v>
      </c>
      <c r="E306" s="2">
        <v>568.0</v>
      </c>
      <c r="F306" s="1" t="s">
        <v>565</v>
      </c>
      <c r="G306" s="1" t="s">
        <v>22</v>
      </c>
      <c r="H306" s="1" t="s">
        <v>23</v>
      </c>
      <c r="I306" s="1" t="s">
        <v>151</v>
      </c>
      <c r="J306" s="1" t="s">
        <v>567</v>
      </c>
      <c r="K306" s="19" t="s">
        <v>229</v>
      </c>
      <c r="L306" s="20" t="s">
        <v>35</v>
      </c>
      <c r="M306" s="21">
        <f t="shared" si="1"/>
        <v>3</v>
      </c>
      <c r="N306" s="2">
        <v>-99.568</v>
      </c>
      <c r="O306" s="2">
        <v>12.0</v>
      </c>
      <c r="P306" s="2">
        <v>805.99</v>
      </c>
      <c r="Q306" s="2">
        <v>88880.0</v>
      </c>
      <c r="R306" s="15" t="b">
        <f>ISNUMBER(MATCH(Q306,'Returned order'!A:A,0))</f>
        <v>0</v>
      </c>
      <c r="S306" s="22">
        <v>42109.0</v>
      </c>
      <c r="T306" s="15"/>
      <c r="U306" s="15"/>
      <c r="V306" s="15"/>
    </row>
    <row r="307">
      <c r="A307" s="2">
        <v>22736.0</v>
      </c>
      <c r="B307" s="1" t="s">
        <v>63</v>
      </c>
      <c r="C307" s="2">
        <v>0.08</v>
      </c>
      <c r="D307" s="2">
        <v>67.28</v>
      </c>
      <c r="E307" s="2">
        <v>568.0</v>
      </c>
      <c r="F307" s="1" t="s">
        <v>565</v>
      </c>
      <c r="G307" s="1" t="s">
        <v>22</v>
      </c>
      <c r="H307" s="1" t="s">
        <v>23</v>
      </c>
      <c r="I307" s="1" t="s">
        <v>24</v>
      </c>
      <c r="J307" s="1" t="s">
        <v>568</v>
      </c>
      <c r="K307" s="19" t="s">
        <v>229</v>
      </c>
      <c r="L307" s="20" t="s">
        <v>35</v>
      </c>
      <c r="M307" s="21">
        <f t="shared" si="1"/>
        <v>3</v>
      </c>
      <c r="N307" s="2">
        <v>224.8506</v>
      </c>
      <c r="O307" s="2">
        <v>16.0</v>
      </c>
      <c r="P307" s="2">
        <v>1066.54</v>
      </c>
      <c r="Q307" s="2">
        <v>88882.0</v>
      </c>
      <c r="R307" s="15" t="b">
        <f>ISNUMBER(MATCH(Q307,'Returned order'!A:A,0))</f>
        <v>0</v>
      </c>
      <c r="S307" s="22">
        <v>42095.0</v>
      </c>
      <c r="T307" s="15"/>
      <c r="U307" s="15"/>
      <c r="V307" s="15"/>
    </row>
    <row r="308">
      <c r="A308" s="2">
        <v>26038.0</v>
      </c>
      <c r="B308" s="1" t="s">
        <v>170</v>
      </c>
      <c r="C308" s="2">
        <v>0.06</v>
      </c>
      <c r="D308" s="2">
        <v>7.99</v>
      </c>
      <c r="E308" s="2">
        <v>570.0</v>
      </c>
      <c r="F308" s="1" t="s">
        <v>569</v>
      </c>
      <c r="G308" s="1" t="s">
        <v>22</v>
      </c>
      <c r="H308" s="1" t="s">
        <v>46</v>
      </c>
      <c r="I308" s="1" t="s">
        <v>85</v>
      </c>
      <c r="J308" s="1" t="s">
        <v>404</v>
      </c>
      <c r="K308" s="19" t="s">
        <v>34</v>
      </c>
      <c r="L308" s="20" t="s">
        <v>57</v>
      </c>
      <c r="M308" s="21">
        <f t="shared" si="1"/>
        <v>2</v>
      </c>
      <c r="N308" s="2">
        <v>-122.133</v>
      </c>
      <c r="O308" s="2">
        <v>10.0</v>
      </c>
      <c r="P308" s="2">
        <v>65.74</v>
      </c>
      <c r="Q308" s="2">
        <v>88881.0</v>
      </c>
      <c r="R308" s="15" t="b">
        <f>ISNUMBER(MATCH(Q308,'Returned order'!A:A,0))</f>
        <v>0</v>
      </c>
      <c r="S308" s="22">
        <v>42017.0</v>
      </c>
      <c r="T308" s="15"/>
      <c r="U308" s="15"/>
      <c r="V308" s="15"/>
    </row>
    <row r="309">
      <c r="A309" s="2">
        <v>23719.0</v>
      </c>
      <c r="B309" s="1" t="s">
        <v>58</v>
      </c>
      <c r="C309" s="2">
        <v>0.05</v>
      </c>
      <c r="D309" s="2">
        <v>4.13</v>
      </c>
      <c r="E309" s="2">
        <v>573.0</v>
      </c>
      <c r="F309" s="1" t="s">
        <v>570</v>
      </c>
      <c r="G309" s="1" t="s">
        <v>51</v>
      </c>
      <c r="H309" s="1" t="s">
        <v>23</v>
      </c>
      <c r="I309" s="1" t="s">
        <v>24</v>
      </c>
      <c r="J309" s="1" t="s">
        <v>571</v>
      </c>
      <c r="K309" s="19" t="s">
        <v>68</v>
      </c>
      <c r="L309" s="20" t="s">
        <v>76</v>
      </c>
      <c r="M309" s="21">
        <f t="shared" si="1"/>
        <v>5</v>
      </c>
      <c r="N309" s="2">
        <v>-12.1555</v>
      </c>
      <c r="O309" s="2">
        <v>1.0</v>
      </c>
      <c r="P309" s="2">
        <v>5.84</v>
      </c>
      <c r="Q309" s="2">
        <v>86555.0</v>
      </c>
      <c r="R309" s="15" t="b">
        <f>ISNUMBER(MATCH(Q309,'Returned order'!A:A,0))</f>
        <v>0</v>
      </c>
      <c r="S309" s="22">
        <v>42076.0</v>
      </c>
      <c r="T309" s="15"/>
      <c r="U309" s="15"/>
      <c r="V309" s="15"/>
    </row>
    <row r="310">
      <c r="A310" s="2">
        <v>21992.0</v>
      </c>
      <c r="B310" s="1" t="s">
        <v>28</v>
      </c>
      <c r="C310" s="2">
        <v>0.08</v>
      </c>
      <c r="D310" s="2">
        <v>415.88</v>
      </c>
      <c r="E310" s="2">
        <v>573.0</v>
      </c>
      <c r="F310" s="1" t="s">
        <v>570</v>
      </c>
      <c r="G310" s="1" t="s">
        <v>32</v>
      </c>
      <c r="H310" s="1" t="s">
        <v>23</v>
      </c>
      <c r="I310" s="1" t="s">
        <v>120</v>
      </c>
      <c r="J310" s="1" t="s">
        <v>450</v>
      </c>
      <c r="K310" s="19" t="s">
        <v>68</v>
      </c>
      <c r="L310" s="20" t="s">
        <v>70</v>
      </c>
      <c r="M310" s="21">
        <f t="shared" si="1"/>
        <v>4</v>
      </c>
      <c r="N310" s="2">
        <v>-269.0844</v>
      </c>
      <c r="O310" s="2">
        <v>1.0</v>
      </c>
      <c r="P310" s="2">
        <v>405.57</v>
      </c>
      <c r="Q310" s="2">
        <v>86556.0</v>
      </c>
      <c r="R310" s="15" t="b">
        <f>ISNUMBER(MATCH(Q310,'Returned order'!A:A,0))</f>
        <v>0</v>
      </c>
      <c r="S310" s="22">
        <v>42061.0</v>
      </c>
      <c r="T310" s="15"/>
      <c r="U310" s="15"/>
      <c r="V310" s="15"/>
    </row>
    <row r="311">
      <c r="A311" s="2">
        <v>21325.0</v>
      </c>
      <c r="B311" s="1" t="s">
        <v>170</v>
      </c>
      <c r="C311" s="2">
        <v>0.06</v>
      </c>
      <c r="D311" s="2">
        <v>4.48</v>
      </c>
      <c r="E311" s="2">
        <v>576.0</v>
      </c>
      <c r="F311" s="1" t="s">
        <v>572</v>
      </c>
      <c r="G311" s="1" t="s">
        <v>32</v>
      </c>
      <c r="H311" s="1" t="s">
        <v>23</v>
      </c>
      <c r="I311" s="1" t="s">
        <v>151</v>
      </c>
      <c r="J311" s="1" t="s">
        <v>573</v>
      </c>
      <c r="K311" s="19" t="s">
        <v>34</v>
      </c>
      <c r="L311" s="20" t="s">
        <v>57</v>
      </c>
      <c r="M311" s="21">
        <f t="shared" si="1"/>
        <v>2</v>
      </c>
      <c r="N311" s="2">
        <v>-566.0</v>
      </c>
      <c r="O311" s="2">
        <v>4.0</v>
      </c>
      <c r="P311" s="2">
        <v>32.6</v>
      </c>
      <c r="Q311" s="2">
        <v>88645.0</v>
      </c>
      <c r="R311" s="15" t="b">
        <f>ISNUMBER(MATCH(Q311,'Returned order'!A:A,0))</f>
        <v>0</v>
      </c>
      <c r="S311" s="22">
        <v>42017.0</v>
      </c>
      <c r="T311" s="15"/>
      <c r="U311" s="15"/>
      <c r="V311" s="15"/>
    </row>
    <row r="312">
      <c r="A312" s="2">
        <v>18664.0</v>
      </c>
      <c r="B312" s="1" t="s">
        <v>63</v>
      </c>
      <c r="C312" s="2">
        <v>0.03</v>
      </c>
      <c r="D312" s="2">
        <v>162.93</v>
      </c>
      <c r="E312" s="2">
        <v>578.0</v>
      </c>
      <c r="F312" s="1" t="s">
        <v>574</v>
      </c>
      <c r="G312" s="1" t="s">
        <v>32</v>
      </c>
      <c r="H312" s="1" t="s">
        <v>23</v>
      </c>
      <c r="I312" s="1" t="s">
        <v>88</v>
      </c>
      <c r="J312" s="1" t="s">
        <v>575</v>
      </c>
      <c r="K312" s="19" t="s">
        <v>26</v>
      </c>
      <c r="L312" s="20" t="s">
        <v>35</v>
      </c>
      <c r="M312" s="21">
        <f t="shared" si="1"/>
        <v>3</v>
      </c>
      <c r="N312" s="2">
        <v>293.14</v>
      </c>
      <c r="O312" s="2">
        <v>3.0</v>
      </c>
      <c r="P312" s="2">
        <v>515.88</v>
      </c>
      <c r="Q312" s="2">
        <v>88644.0</v>
      </c>
      <c r="R312" s="15" t="b">
        <f>ISNUMBER(MATCH(Q312,'Returned order'!A:A,0))</f>
        <v>0</v>
      </c>
      <c r="S312" s="22">
        <v>42137.0</v>
      </c>
      <c r="T312" s="15"/>
      <c r="U312" s="15"/>
      <c r="V312" s="15"/>
    </row>
    <row r="313">
      <c r="A313" s="2">
        <v>18665.0</v>
      </c>
      <c r="B313" s="1" t="s">
        <v>63</v>
      </c>
      <c r="C313" s="2">
        <v>0.01</v>
      </c>
      <c r="D313" s="2">
        <v>11.58</v>
      </c>
      <c r="E313" s="2">
        <v>579.0</v>
      </c>
      <c r="F313" s="1" t="s">
        <v>576</v>
      </c>
      <c r="G313" s="1" t="s">
        <v>32</v>
      </c>
      <c r="H313" s="1" t="s">
        <v>23</v>
      </c>
      <c r="I313" s="1" t="s">
        <v>88</v>
      </c>
      <c r="J313" s="1" t="s">
        <v>154</v>
      </c>
      <c r="K313" s="19" t="s">
        <v>26</v>
      </c>
      <c r="L313" s="20" t="s">
        <v>35</v>
      </c>
      <c r="M313" s="21">
        <f t="shared" si="1"/>
        <v>3</v>
      </c>
      <c r="N313" s="2">
        <v>-6.61</v>
      </c>
      <c r="O313" s="2">
        <v>2.0</v>
      </c>
      <c r="P313" s="2">
        <v>25.06</v>
      </c>
      <c r="Q313" s="2">
        <v>88644.0</v>
      </c>
      <c r="R313" s="15" t="b">
        <f>ISNUMBER(MATCH(Q313,'Returned order'!A:A,0))</f>
        <v>0</v>
      </c>
      <c r="S313" s="22">
        <v>42137.0</v>
      </c>
      <c r="T313" s="15"/>
      <c r="U313" s="15"/>
      <c r="V313" s="15"/>
    </row>
    <row r="314">
      <c r="A314" s="2">
        <v>18662.0</v>
      </c>
      <c r="B314" s="1" t="s">
        <v>63</v>
      </c>
      <c r="C314" s="2">
        <v>0.01</v>
      </c>
      <c r="D314" s="2">
        <v>55.99</v>
      </c>
      <c r="E314" s="2">
        <v>580.0</v>
      </c>
      <c r="F314" s="1" t="s">
        <v>577</v>
      </c>
      <c r="G314" s="1" t="s">
        <v>32</v>
      </c>
      <c r="H314" s="1" t="s">
        <v>46</v>
      </c>
      <c r="I314" s="1" t="s">
        <v>85</v>
      </c>
      <c r="J314" s="1" t="s">
        <v>578</v>
      </c>
      <c r="K314" s="19" t="s">
        <v>26</v>
      </c>
      <c r="L314" s="20" t="s">
        <v>35</v>
      </c>
      <c r="M314" s="21">
        <f t="shared" si="1"/>
        <v>3</v>
      </c>
      <c r="N314" s="2">
        <v>-57.541</v>
      </c>
      <c r="O314" s="2">
        <v>12.0</v>
      </c>
      <c r="P314" s="2">
        <v>578.24</v>
      </c>
      <c r="Q314" s="2">
        <v>88644.0</v>
      </c>
      <c r="R314" s="15" t="b">
        <f>ISNUMBER(MATCH(Q314,'Returned order'!A:A,0))</f>
        <v>0</v>
      </c>
      <c r="S314" s="22">
        <v>42137.0</v>
      </c>
      <c r="T314" s="15"/>
      <c r="U314" s="15"/>
      <c r="V314" s="15"/>
    </row>
    <row r="315">
      <c r="A315" s="2">
        <v>24180.0</v>
      </c>
      <c r="B315" s="1" t="s">
        <v>49</v>
      </c>
      <c r="C315" s="2">
        <v>0.04</v>
      </c>
      <c r="D315" s="2">
        <v>15.51</v>
      </c>
      <c r="E315" s="2">
        <v>584.0</v>
      </c>
      <c r="F315" s="1" t="s">
        <v>579</v>
      </c>
      <c r="G315" s="1" t="s">
        <v>32</v>
      </c>
      <c r="H315" s="1" t="s">
        <v>23</v>
      </c>
      <c r="I315" s="1" t="s">
        <v>120</v>
      </c>
      <c r="J315" s="1" t="s">
        <v>580</v>
      </c>
      <c r="K315" s="19" t="s">
        <v>26</v>
      </c>
      <c r="L315" s="20" t="s">
        <v>35</v>
      </c>
      <c r="M315" s="21">
        <f t="shared" si="1"/>
        <v>3</v>
      </c>
      <c r="N315" s="2">
        <v>-266.22</v>
      </c>
      <c r="O315" s="2">
        <v>7.0</v>
      </c>
      <c r="P315" s="2">
        <v>116.93</v>
      </c>
      <c r="Q315" s="2">
        <v>88646.0</v>
      </c>
      <c r="R315" s="15" t="b">
        <f>ISNUMBER(MATCH(Q315,'Returned order'!A:A,0))</f>
        <v>0</v>
      </c>
      <c r="S315" s="22">
        <v>42025.0</v>
      </c>
      <c r="T315" s="15"/>
      <c r="U315" s="15"/>
      <c r="V315" s="15"/>
    </row>
    <row r="316">
      <c r="A316" s="2">
        <v>18663.0</v>
      </c>
      <c r="B316" s="1" t="s">
        <v>63</v>
      </c>
      <c r="C316" s="2">
        <v>0.06</v>
      </c>
      <c r="D316" s="2">
        <v>13.9</v>
      </c>
      <c r="E316" s="2">
        <v>585.0</v>
      </c>
      <c r="F316" s="1" t="s">
        <v>581</v>
      </c>
      <c r="G316" s="1" t="s">
        <v>32</v>
      </c>
      <c r="H316" s="1" t="s">
        <v>23</v>
      </c>
      <c r="I316" s="1" t="s">
        <v>257</v>
      </c>
      <c r="J316" s="1" t="s">
        <v>582</v>
      </c>
      <c r="K316" s="19" t="s">
        <v>26</v>
      </c>
      <c r="L316" s="20" t="s">
        <v>35</v>
      </c>
      <c r="M316" s="21">
        <f t="shared" si="1"/>
        <v>3</v>
      </c>
      <c r="N316" s="2">
        <v>-67.59</v>
      </c>
      <c r="O316" s="2">
        <v>12.0</v>
      </c>
      <c r="P316" s="2">
        <v>170.45</v>
      </c>
      <c r="Q316" s="2">
        <v>88644.0</v>
      </c>
      <c r="R316" s="15" t="b">
        <f>ISNUMBER(MATCH(Q316,'Returned order'!A:A,0))</f>
        <v>0</v>
      </c>
      <c r="S316" s="22">
        <v>42137.0</v>
      </c>
      <c r="T316" s="15"/>
      <c r="U316" s="15"/>
      <c r="V316" s="15"/>
    </row>
    <row r="317">
      <c r="A317" s="2">
        <v>19781.0</v>
      </c>
      <c r="B317" s="1" t="s">
        <v>58</v>
      </c>
      <c r="C317" s="2">
        <v>0.08</v>
      </c>
      <c r="D317" s="2">
        <v>30.53</v>
      </c>
      <c r="E317" s="2">
        <v>592.0</v>
      </c>
      <c r="F317" s="1" t="s">
        <v>583</v>
      </c>
      <c r="G317" s="1" t="s">
        <v>66</v>
      </c>
      <c r="H317" s="1" t="s">
        <v>23</v>
      </c>
      <c r="I317" s="1" t="s">
        <v>130</v>
      </c>
      <c r="J317" s="1" t="s">
        <v>584</v>
      </c>
      <c r="K317" s="19" t="s">
        <v>68</v>
      </c>
      <c r="L317" s="20" t="s">
        <v>53</v>
      </c>
      <c r="M317" s="21">
        <f t="shared" si="1"/>
        <v>6</v>
      </c>
      <c r="N317" s="2">
        <v>-239.8656</v>
      </c>
      <c r="O317" s="2">
        <v>10.0</v>
      </c>
      <c r="P317" s="2">
        <v>285.87</v>
      </c>
      <c r="Q317" s="2">
        <v>86307.0</v>
      </c>
      <c r="R317" s="15" t="b">
        <f>ISNUMBER(MATCH(Q317,'Returned order'!A:A,0))</f>
        <v>0</v>
      </c>
      <c r="S317" s="22">
        <v>42021.0</v>
      </c>
      <c r="T317" s="15"/>
      <c r="U317" s="15"/>
      <c r="V317" s="15"/>
    </row>
    <row r="318">
      <c r="A318" s="2">
        <v>19782.0</v>
      </c>
      <c r="B318" s="1" t="s">
        <v>58</v>
      </c>
      <c r="C318" s="2">
        <v>0.01</v>
      </c>
      <c r="D318" s="2">
        <v>1.68</v>
      </c>
      <c r="E318" s="2">
        <v>593.0</v>
      </c>
      <c r="F318" s="1" t="s">
        <v>585</v>
      </c>
      <c r="G318" s="1" t="s">
        <v>66</v>
      </c>
      <c r="H318" s="1" t="s">
        <v>23</v>
      </c>
      <c r="I318" s="1" t="s">
        <v>29</v>
      </c>
      <c r="J318" s="1" t="s">
        <v>141</v>
      </c>
      <c r="K318" s="19" t="s">
        <v>68</v>
      </c>
      <c r="L318" s="20" t="s">
        <v>53</v>
      </c>
      <c r="M318" s="21">
        <f t="shared" si="1"/>
        <v>6</v>
      </c>
      <c r="N318" s="2">
        <v>-53.444</v>
      </c>
      <c r="O318" s="2">
        <v>12.0</v>
      </c>
      <c r="P318" s="2">
        <v>20.37</v>
      </c>
      <c r="Q318" s="2">
        <v>86307.0</v>
      </c>
      <c r="R318" s="15" t="b">
        <f>ISNUMBER(MATCH(Q318,'Returned order'!A:A,0))</f>
        <v>0</v>
      </c>
      <c r="S318" s="22">
        <v>42021.0</v>
      </c>
      <c r="T318" s="15"/>
      <c r="U318" s="15"/>
      <c r="V318" s="15"/>
    </row>
    <row r="319">
      <c r="A319" s="2">
        <v>22996.0</v>
      </c>
      <c r="B319" s="1" t="s">
        <v>58</v>
      </c>
      <c r="C319" s="2">
        <v>0.09</v>
      </c>
      <c r="D319" s="2">
        <v>13.79</v>
      </c>
      <c r="E319" s="2">
        <v>594.0</v>
      </c>
      <c r="F319" s="1" t="s">
        <v>586</v>
      </c>
      <c r="G319" s="1" t="s">
        <v>22</v>
      </c>
      <c r="H319" s="1" t="s">
        <v>37</v>
      </c>
      <c r="I319" s="1" t="s">
        <v>42</v>
      </c>
      <c r="J319" s="1" t="s">
        <v>587</v>
      </c>
      <c r="K319" s="19" t="s">
        <v>68</v>
      </c>
      <c r="L319" s="20" t="s">
        <v>61</v>
      </c>
      <c r="M319" s="21">
        <f t="shared" si="1"/>
        <v>7</v>
      </c>
      <c r="N319" s="2">
        <v>-22.12</v>
      </c>
      <c r="O319" s="2">
        <v>1.0</v>
      </c>
      <c r="P319" s="2">
        <v>17.44</v>
      </c>
      <c r="Q319" s="2">
        <v>86309.0</v>
      </c>
      <c r="R319" s="15" t="b">
        <f>ISNUMBER(MATCH(Q319,'Returned order'!A:A,0))</f>
        <v>0</v>
      </c>
      <c r="S319" s="22">
        <v>42078.0</v>
      </c>
      <c r="T319" s="15"/>
      <c r="U319" s="15"/>
      <c r="V319" s="15"/>
    </row>
    <row r="320">
      <c r="A320" s="2">
        <v>21662.0</v>
      </c>
      <c r="B320" s="1" t="s">
        <v>58</v>
      </c>
      <c r="C320" s="2">
        <v>0.04</v>
      </c>
      <c r="D320" s="2">
        <v>39.48</v>
      </c>
      <c r="E320" s="2">
        <v>594.0</v>
      </c>
      <c r="F320" s="1" t="s">
        <v>586</v>
      </c>
      <c r="G320" s="1" t="s">
        <v>22</v>
      </c>
      <c r="H320" s="1" t="s">
        <v>46</v>
      </c>
      <c r="I320" s="1" t="s">
        <v>47</v>
      </c>
      <c r="J320" s="1" t="s">
        <v>588</v>
      </c>
      <c r="K320" s="19" t="s">
        <v>68</v>
      </c>
      <c r="L320" s="20" t="s">
        <v>76</v>
      </c>
      <c r="M320" s="21">
        <f t="shared" si="1"/>
        <v>5</v>
      </c>
      <c r="N320" s="2">
        <v>484.8492</v>
      </c>
      <c r="O320" s="2">
        <v>18.0</v>
      </c>
      <c r="P320" s="2">
        <v>702.68</v>
      </c>
      <c r="Q320" s="2">
        <v>86311.0</v>
      </c>
      <c r="R320" s="15" t="b">
        <f>ISNUMBER(MATCH(Q320,'Returned order'!A:A,0))</f>
        <v>0</v>
      </c>
      <c r="S320" s="22">
        <v>42174.0</v>
      </c>
      <c r="T320" s="15"/>
      <c r="U320" s="15"/>
      <c r="V320" s="15"/>
    </row>
    <row r="321">
      <c r="A321" s="2">
        <v>21663.0</v>
      </c>
      <c r="B321" s="1" t="s">
        <v>58</v>
      </c>
      <c r="C321" s="2">
        <v>0.04</v>
      </c>
      <c r="D321" s="2">
        <v>3.7</v>
      </c>
      <c r="E321" s="2">
        <v>594.0</v>
      </c>
      <c r="F321" s="1" t="s">
        <v>586</v>
      </c>
      <c r="G321" s="1" t="s">
        <v>22</v>
      </c>
      <c r="H321" s="1" t="s">
        <v>37</v>
      </c>
      <c r="I321" s="1" t="s">
        <v>42</v>
      </c>
      <c r="J321" s="1" t="s">
        <v>589</v>
      </c>
      <c r="K321" s="19" t="s">
        <v>68</v>
      </c>
      <c r="L321" s="20" t="s">
        <v>76</v>
      </c>
      <c r="M321" s="21">
        <f t="shared" si="1"/>
        <v>5</v>
      </c>
      <c r="N321" s="2">
        <v>18.0</v>
      </c>
      <c r="O321" s="2">
        <v>18.0</v>
      </c>
      <c r="P321" s="2">
        <v>67.24</v>
      </c>
      <c r="Q321" s="2">
        <v>86311.0</v>
      </c>
      <c r="R321" s="15" t="b">
        <f>ISNUMBER(MATCH(Q321,'Returned order'!A:A,0))</f>
        <v>0</v>
      </c>
      <c r="S321" s="22">
        <v>42174.0</v>
      </c>
      <c r="T321" s="15"/>
      <c r="U321" s="15"/>
      <c r="V321" s="15"/>
    </row>
    <row r="322">
      <c r="A322" s="2">
        <v>24480.0</v>
      </c>
      <c r="B322" s="1" t="s">
        <v>58</v>
      </c>
      <c r="C322" s="2">
        <v>0.03</v>
      </c>
      <c r="D322" s="2">
        <v>3.8</v>
      </c>
      <c r="E322" s="2">
        <v>596.0</v>
      </c>
      <c r="F322" s="1" t="s">
        <v>590</v>
      </c>
      <c r="G322" s="1" t="s">
        <v>22</v>
      </c>
      <c r="H322" s="1" t="s">
        <v>23</v>
      </c>
      <c r="I322" s="1" t="s">
        <v>24</v>
      </c>
      <c r="J322" s="1" t="s">
        <v>25</v>
      </c>
      <c r="K322" s="19" t="s">
        <v>68</v>
      </c>
      <c r="L322" s="20" t="s">
        <v>61</v>
      </c>
      <c r="M322" s="21">
        <f t="shared" si="1"/>
        <v>7</v>
      </c>
      <c r="N322" s="2">
        <v>15.2745</v>
      </c>
      <c r="O322" s="2">
        <v>6.0</v>
      </c>
      <c r="P322" s="2">
        <v>24.27</v>
      </c>
      <c r="Q322" s="2">
        <v>86308.0</v>
      </c>
      <c r="R322" s="15" t="b">
        <f>ISNUMBER(MATCH(Q322,'Returned order'!A:A,0))</f>
        <v>0</v>
      </c>
      <c r="S322" s="22">
        <v>42050.0</v>
      </c>
      <c r="T322" s="15"/>
      <c r="U322" s="15"/>
      <c r="V322" s="15"/>
    </row>
    <row r="323">
      <c r="A323" s="2">
        <v>24481.0</v>
      </c>
      <c r="B323" s="1" t="s">
        <v>58</v>
      </c>
      <c r="C323" s="2">
        <v>0.07</v>
      </c>
      <c r="D323" s="2">
        <v>7.98</v>
      </c>
      <c r="E323" s="2">
        <v>596.0</v>
      </c>
      <c r="F323" s="1" t="s">
        <v>590</v>
      </c>
      <c r="G323" s="1" t="s">
        <v>22</v>
      </c>
      <c r="H323" s="1" t="s">
        <v>23</v>
      </c>
      <c r="I323" s="1" t="s">
        <v>93</v>
      </c>
      <c r="J323" s="1" t="s">
        <v>591</v>
      </c>
      <c r="K323" s="19" t="s">
        <v>68</v>
      </c>
      <c r="L323" s="20" t="s">
        <v>61</v>
      </c>
      <c r="M323" s="21">
        <f t="shared" si="1"/>
        <v>7</v>
      </c>
      <c r="N323" s="2">
        <v>26.5857</v>
      </c>
      <c r="O323" s="2">
        <v>5.0</v>
      </c>
      <c r="P323" s="2">
        <v>38.53</v>
      </c>
      <c r="Q323" s="2">
        <v>86308.0</v>
      </c>
      <c r="R323" s="15" t="b">
        <f>ISNUMBER(MATCH(Q323,'Returned order'!A:A,0))</f>
        <v>0</v>
      </c>
      <c r="S323" s="22">
        <v>42050.0</v>
      </c>
      <c r="T323" s="15"/>
      <c r="U323" s="15"/>
      <c r="V323" s="15"/>
    </row>
    <row r="324">
      <c r="A324" s="2">
        <v>24482.0</v>
      </c>
      <c r="B324" s="1" t="s">
        <v>58</v>
      </c>
      <c r="C324" s="2">
        <v>0.07</v>
      </c>
      <c r="D324" s="2">
        <v>417.4</v>
      </c>
      <c r="E324" s="2">
        <v>596.0</v>
      </c>
      <c r="F324" s="1" t="s">
        <v>590</v>
      </c>
      <c r="G324" s="1" t="s">
        <v>22</v>
      </c>
      <c r="H324" s="1" t="s">
        <v>37</v>
      </c>
      <c r="I324" s="1" t="s">
        <v>73</v>
      </c>
      <c r="J324" s="1" t="s">
        <v>592</v>
      </c>
      <c r="K324" s="19" t="s">
        <v>68</v>
      </c>
      <c r="L324" s="20" t="s">
        <v>61</v>
      </c>
      <c r="M324" s="21">
        <f t="shared" si="1"/>
        <v>7</v>
      </c>
      <c r="N324" s="2">
        <v>-575.352</v>
      </c>
      <c r="O324" s="2">
        <v>12.0</v>
      </c>
      <c r="P324" s="2">
        <v>4910.72</v>
      </c>
      <c r="Q324" s="2">
        <v>86308.0</v>
      </c>
      <c r="R324" s="15" t="b">
        <f>ISNUMBER(MATCH(Q324,'Returned order'!A:A,0))</f>
        <v>0</v>
      </c>
      <c r="S324" s="22">
        <v>42050.0</v>
      </c>
      <c r="T324" s="15"/>
      <c r="U324" s="15"/>
      <c r="V324" s="15"/>
    </row>
    <row r="325">
      <c r="A325" s="2">
        <v>25949.0</v>
      </c>
      <c r="B325" s="1" t="s">
        <v>49</v>
      </c>
      <c r="C325" s="2">
        <v>0.1</v>
      </c>
      <c r="D325" s="2">
        <v>6.48</v>
      </c>
      <c r="E325" s="2">
        <v>597.0</v>
      </c>
      <c r="F325" s="1" t="s">
        <v>593</v>
      </c>
      <c r="G325" s="1" t="s">
        <v>66</v>
      </c>
      <c r="H325" s="1" t="s">
        <v>23</v>
      </c>
      <c r="I325" s="1" t="s">
        <v>93</v>
      </c>
      <c r="J325" s="1" t="s">
        <v>594</v>
      </c>
      <c r="K325" s="19" t="s">
        <v>68</v>
      </c>
      <c r="L325" s="20" t="s">
        <v>35</v>
      </c>
      <c r="M325" s="21">
        <f t="shared" si="1"/>
        <v>3</v>
      </c>
      <c r="N325" s="2">
        <v>-51.635</v>
      </c>
      <c r="O325" s="2">
        <v>19.0</v>
      </c>
      <c r="P325" s="2">
        <v>116.8</v>
      </c>
      <c r="Q325" s="2">
        <v>86310.0</v>
      </c>
      <c r="R325" s="15" t="b">
        <f>ISNUMBER(MATCH(Q325,'Returned order'!A:A,0))</f>
        <v>0</v>
      </c>
      <c r="S325" s="22">
        <v>42165.0</v>
      </c>
      <c r="T325" s="15"/>
      <c r="U325" s="15"/>
      <c r="V325" s="15"/>
    </row>
    <row r="326">
      <c r="A326" s="2">
        <v>21274.0</v>
      </c>
      <c r="B326" s="1" t="s">
        <v>63</v>
      </c>
      <c r="C326" s="2">
        <v>0.06</v>
      </c>
      <c r="D326" s="2">
        <v>6.48</v>
      </c>
      <c r="E326" s="2">
        <v>600.0</v>
      </c>
      <c r="F326" s="1" t="s">
        <v>595</v>
      </c>
      <c r="G326" s="1" t="s">
        <v>32</v>
      </c>
      <c r="H326" s="1" t="s">
        <v>23</v>
      </c>
      <c r="I326" s="1" t="s">
        <v>93</v>
      </c>
      <c r="J326" s="1" t="s">
        <v>596</v>
      </c>
      <c r="K326" s="19" t="s">
        <v>26</v>
      </c>
      <c r="L326" s="20" t="s">
        <v>76</v>
      </c>
      <c r="M326" s="21">
        <f t="shared" si="1"/>
        <v>5</v>
      </c>
      <c r="N326" s="2">
        <v>-75.44</v>
      </c>
      <c r="O326" s="2">
        <v>5.0</v>
      </c>
      <c r="P326" s="2">
        <v>32.39</v>
      </c>
      <c r="Q326" s="2">
        <v>87579.0</v>
      </c>
      <c r="R326" s="15" t="b">
        <f>ISNUMBER(MATCH(Q326,'Returned order'!A:A,0))</f>
        <v>0</v>
      </c>
      <c r="S326" s="22">
        <v>42076.0</v>
      </c>
      <c r="T326" s="15"/>
      <c r="U326" s="15"/>
      <c r="V326" s="15"/>
    </row>
    <row r="327">
      <c r="A327" s="2">
        <v>20929.0</v>
      </c>
      <c r="B327" s="1" t="s">
        <v>49</v>
      </c>
      <c r="C327" s="2">
        <v>0.02</v>
      </c>
      <c r="D327" s="2">
        <v>35.99</v>
      </c>
      <c r="E327" s="2">
        <v>603.0</v>
      </c>
      <c r="F327" s="1" t="s">
        <v>597</v>
      </c>
      <c r="G327" s="1" t="s">
        <v>51</v>
      </c>
      <c r="H327" s="1" t="s">
        <v>46</v>
      </c>
      <c r="I327" s="1" t="s">
        <v>85</v>
      </c>
      <c r="J327" s="1" t="s">
        <v>598</v>
      </c>
      <c r="K327" s="19" t="s">
        <v>34</v>
      </c>
      <c r="L327" s="20" t="s">
        <v>57</v>
      </c>
      <c r="M327" s="21">
        <f t="shared" si="1"/>
        <v>2</v>
      </c>
      <c r="N327" s="2">
        <v>-120.934</v>
      </c>
      <c r="O327" s="2">
        <v>7.0</v>
      </c>
      <c r="P327" s="2">
        <v>227.79</v>
      </c>
      <c r="Q327" s="2">
        <v>87020.0</v>
      </c>
      <c r="R327" s="15" t="b">
        <f>ISNUMBER(MATCH(Q327,'Returned order'!A:A,0))</f>
        <v>0</v>
      </c>
      <c r="S327" s="22">
        <v>42038.0</v>
      </c>
      <c r="T327" s="15"/>
      <c r="U327" s="15"/>
      <c r="V327" s="15"/>
    </row>
    <row r="328">
      <c r="A328" s="2">
        <v>4015.0</v>
      </c>
      <c r="B328" s="1" t="s">
        <v>58</v>
      </c>
      <c r="C328" s="2">
        <v>0.09</v>
      </c>
      <c r="D328" s="2">
        <v>154.13</v>
      </c>
      <c r="E328" s="2">
        <v>604.0</v>
      </c>
      <c r="F328" s="1" t="s">
        <v>599</v>
      </c>
      <c r="G328" s="1" t="s">
        <v>32</v>
      </c>
      <c r="H328" s="1" t="s">
        <v>37</v>
      </c>
      <c r="I328" s="1" t="s">
        <v>73</v>
      </c>
      <c r="J328" s="1" t="s">
        <v>74</v>
      </c>
      <c r="K328" s="19" t="s">
        <v>34</v>
      </c>
      <c r="L328" s="20" t="s">
        <v>53</v>
      </c>
      <c r="M328" s="21">
        <f t="shared" si="1"/>
        <v>6</v>
      </c>
      <c r="N328" s="2">
        <v>-1763.7477</v>
      </c>
      <c r="O328" s="2">
        <v>38.0</v>
      </c>
      <c r="P328" s="2">
        <v>5679.59</v>
      </c>
      <c r="Q328" s="2">
        <v>28647.0</v>
      </c>
      <c r="R328" s="15" t="b">
        <f>ISNUMBER(MATCH(Q328,'Returned order'!A:A,0))</f>
        <v>0</v>
      </c>
      <c r="S328" s="22">
        <v>42077.0</v>
      </c>
      <c r="T328" s="15"/>
      <c r="U328" s="15"/>
      <c r="V328" s="15"/>
    </row>
    <row r="329">
      <c r="A329" s="2">
        <v>4903.0</v>
      </c>
      <c r="B329" s="1" t="s">
        <v>58</v>
      </c>
      <c r="C329" s="2">
        <v>0.03</v>
      </c>
      <c r="D329" s="2">
        <v>1.88</v>
      </c>
      <c r="E329" s="2">
        <v>604.0</v>
      </c>
      <c r="F329" s="1" t="s">
        <v>599</v>
      </c>
      <c r="G329" s="1" t="s">
        <v>51</v>
      </c>
      <c r="H329" s="1" t="s">
        <v>23</v>
      </c>
      <c r="I329" s="1" t="s">
        <v>24</v>
      </c>
      <c r="J329" s="1" t="s">
        <v>78</v>
      </c>
      <c r="K329" s="19" t="s">
        <v>34</v>
      </c>
      <c r="L329" s="20" t="s">
        <v>53</v>
      </c>
      <c r="M329" s="21">
        <f t="shared" si="1"/>
        <v>6</v>
      </c>
      <c r="N329" s="2">
        <v>-15.0995</v>
      </c>
      <c r="O329" s="2">
        <v>52.0</v>
      </c>
      <c r="P329" s="2">
        <v>102.32</v>
      </c>
      <c r="Q329" s="2">
        <v>34882.0</v>
      </c>
      <c r="R329" s="15" t="b">
        <f>ISNUMBER(MATCH(Q329,'Returned order'!A:A,0))</f>
        <v>0</v>
      </c>
      <c r="S329" s="22">
        <v>42028.0</v>
      </c>
      <c r="T329" s="15"/>
      <c r="U329" s="15"/>
      <c r="V329" s="15"/>
    </row>
    <row r="330">
      <c r="A330" s="2">
        <v>22015.0</v>
      </c>
      <c r="B330" s="1" t="s">
        <v>58</v>
      </c>
      <c r="C330" s="2">
        <v>0.09</v>
      </c>
      <c r="D330" s="2">
        <v>154.13</v>
      </c>
      <c r="E330" s="2">
        <v>605.0</v>
      </c>
      <c r="F330" s="1" t="s">
        <v>600</v>
      </c>
      <c r="G330" s="1" t="s">
        <v>32</v>
      </c>
      <c r="H330" s="1" t="s">
        <v>37</v>
      </c>
      <c r="I330" s="1" t="s">
        <v>73</v>
      </c>
      <c r="J330" s="1" t="s">
        <v>74</v>
      </c>
      <c r="K330" s="19" t="s">
        <v>26</v>
      </c>
      <c r="L330" s="20" t="s">
        <v>53</v>
      </c>
      <c r="M330" s="21">
        <f t="shared" si="1"/>
        <v>6</v>
      </c>
      <c r="N330" s="2">
        <v>-1763.7477</v>
      </c>
      <c r="O330" s="2">
        <v>10.0</v>
      </c>
      <c r="P330" s="2">
        <v>1494.63</v>
      </c>
      <c r="Q330" s="2">
        <v>91144.0</v>
      </c>
      <c r="R330" s="15" t="b">
        <f>ISNUMBER(MATCH(Q330,'Returned order'!A:A,0))</f>
        <v>0</v>
      </c>
      <c r="S330" s="22">
        <v>42077.0</v>
      </c>
      <c r="T330" s="15"/>
      <c r="U330" s="15"/>
      <c r="V330" s="15"/>
    </row>
    <row r="331">
      <c r="A331" s="2">
        <v>18492.0</v>
      </c>
      <c r="B331" s="1" t="s">
        <v>49</v>
      </c>
      <c r="C331" s="2">
        <v>0.02</v>
      </c>
      <c r="D331" s="2">
        <v>15.57</v>
      </c>
      <c r="E331" s="2">
        <v>617.0</v>
      </c>
      <c r="F331" s="1" t="s">
        <v>601</v>
      </c>
      <c r="G331" s="1" t="s">
        <v>22</v>
      </c>
      <c r="H331" s="1" t="s">
        <v>23</v>
      </c>
      <c r="I331" s="1" t="s">
        <v>88</v>
      </c>
      <c r="J331" s="1" t="s">
        <v>602</v>
      </c>
      <c r="K331" s="19" t="s">
        <v>34</v>
      </c>
      <c r="L331" s="20" t="s">
        <v>35</v>
      </c>
      <c r="M331" s="21">
        <f t="shared" si="1"/>
        <v>3</v>
      </c>
      <c r="N331" s="2">
        <v>23.5428</v>
      </c>
      <c r="O331" s="2">
        <v>3.0</v>
      </c>
      <c r="P331" s="2">
        <v>46.23</v>
      </c>
      <c r="Q331" s="2">
        <v>88198.0</v>
      </c>
      <c r="R331" s="15" t="b">
        <f>ISNUMBER(MATCH(Q331,'Returned order'!A:A,0))</f>
        <v>0</v>
      </c>
      <c r="S331" s="22">
        <v>42123.0</v>
      </c>
      <c r="T331" s="15"/>
      <c r="U331" s="15"/>
      <c r="V331" s="15"/>
    </row>
    <row r="332">
      <c r="A332" s="2">
        <v>18493.0</v>
      </c>
      <c r="B332" s="1" t="s">
        <v>49</v>
      </c>
      <c r="C332" s="2">
        <v>0.02</v>
      </c>
      <c r="D332" s="2">
        <v>20.89</v>
      </c>
      <c r="E332" s="2">
        <v>617.0</v>
      </c>
      <c r="F332" s="1" t="s">
        <v>601</v>
      </c>
      <c r="G332" s="1" t="s">
        <v>22</v>
      </c>
      <c r="H332" s="1" t="s">
        <v>23</v>
      </c>
      <c r="I332" s="1" t="s">
        <v>120</v>
      </c>
      <c r="J332" s="1" t="s">
        <v>603</v>
      </c>
      <c r="K332" s="19" t="s">
        <v>34</v>
      </c>
      <c r="L332" s="20" t="s">
        <v>35</v>
      </c>
      <c r="M332" s="21">
        <f t="shared" si="1"/>
        <v>3</v>
      </c>
      <c r="N332" s="2">
        <v>-276.1128</v>
      </c>
      <c r="O332" s="2">
        <v>13.0</v>
      </c>
      <c r="P332" s="2">
        <v>279.28</v>
      </c>
      <c r="Q332" s="2">
        <v>88198.0</v>
      </c>
      <c r="R332" s="15" t="b">
        <f>ISNUMBER(MATCH(Q332,'Returned order'!A:A,0))</f>
        <v>0</v>
      </c>
      <c r="S332" s="22">
        <v>42123.0</v>
      </c>
      <c r="T332" s="15"/>
      <c r="U332" s="15"/>
      <c r="V332" s="15"/>
    </row>
    <row r="333">
      <c r="A333" s="2">
        <v>22196.0</v>
      </c>
      <c r="B333" s="1" t="s">
        <v>58</v>
      </c>
      <c r="C333" s="2">
        <v>0.06</v>
      </c>
      <c r="D333" s="2">
        <v>17.98</v>
      </c>
      <c r="E333" s="2">
        <v>618.0</v>
      </c>
      <c r="F333" s="1" t="s">
        <v>604</v>
      </c>
      <c r="G333" s="1" t="s">
        <v>22</v>
      </c>
      <c r="H333" s="1" t="s">
        <v>46</v>
      </c>
      <c r="I333" s="1" t="s">
        <v>47</v>
      </c>
      <c r="J333" s="1" t="s">
        <v>261</v>
      </c>
      <c r="K333" s="19" t="s">
        <v>34</v>
      </c>
      <c r="L333" s="20" t="s">
        <v>57</v>
      </c>
      <c r="M333" s="21">
        <f t="shared" si="1"/>
        <v>2</v>
      </c>
      <c r="N333" s="2">
        <v>-78.13</v>
      </c>
      <c r="O333" s="2">
        <v>4.0</v>
      </c>
      <c r="P333" s="2">
        <v>70.06</v>
      </c>
      <c r="Q333" s="2">
        <v>88197.0</v>
      </c>
      <c r="R333" s="15" t="b">
        <f>ISNUMBER(MATCH(Q333,'Returned order'!A:A,0))</f>
        <v>0</v>
      </c>
      <c r="S333" s="22">
        <v>42087.0</v>
      </c>
      <c r="T333" s="15"/>
      <c r="U333" s="15"/>
      <c r="V333" s="15"/>
    </row>
    <row r="334">
      <c r="A334" s="2">
        <v>18490.0</v>
      </c>
      <c r="B334" s="1" t="s">
        <v>49</v>
      </c>
      <c r="C334" s="2">
        <v>0.06</v>
      </c>
      <c r="D334" s="2">
        <v>5.38</v>
      </c>
      <c r="E334" s="2">
        <v>618.0</v>
      </c>
      <c r="F334" s="1" t="s">
        <v>604</v>
      </c>
      <c r="G334" s="1" t="s">
        <v>22</v>
      </c>
      <c r="H334" s="1" t="s">
        <v>23</v>
      </c>
      <c r="I334" s="1" t="s">
        <v>24</v>
      </c>
      <c r="J334" s="1" t="s">
        <v>605</v>
      </c>
      <c r="K334" s="19" t="s">
        <v>34</v>
      </c>
      <c r="L334" s="20" t="s">
        <v>35</v>
      </c>
      <c r="M334" s="21">
        <f t="shared" si="1"/>
        <v>3</v>
      </c>
      <c r="N334" s="2">
        <v>-64.67094</v>
      </c>
      <c r="O334" s="2">
        <v>14.0</v>
      </c>
      <c r="P334" s="2">
        <v>81.82</v>
      </c>
      <c r="Q334" s="2">
        <v>88198.0</v>
      </c>
      <c r="R334" s="15" t="b">
        <f>ISNUMBER(MATCH(Q334,'Returned order'!A:A,0))</f>
        <v>0</v>
      </c>
      <c r="S334" s="22">
        <v>42123.0</v>
      </c>
      <c r="T334" s="15"/>
      <c r="U334" s="15"/>
      <c r="V334" s="15"/>
    </row>
    <row r="335">
      <c r="A335" s="2">
        <v>18491.0</v>
      </c>
      <c r="B335" s="1" t="s">
        <v>49</v>
      </c>
      <c r="C335" s="2">
        <v>0.03</v>
      </c>
      <c r="D335" s="2">
        <v>7.35</v>
      </c>
      <c r="E335" s="2">
        <v>618.0</v>
      </c>
      <c r="F335" s="1" t="s">
        <v>604</v>
      </c>
      <c r="G335" s="1" t="s">
        <v>22</v>
      </c>
      <c r="H335" s="1" t="s">
        <v>23</v>
      </c>
      <c r="I335" s="1" t="s">
        <v>93</v>
      </c>
      <c r="J335" s="1" t="s">
        <v>606</v>
      </c>
      <c r="K335" s="19" t="s">
        <v>34</v>
      </c>
      <c r="L335" s="20" t="s">
        <v>35</v>
      </c>
      <c r="M335" s="21">
        <f t="shared" si="1"/>
        <v>3</v>
      </c>
      <c r="N335" s="2">
        <v>-11.1132</v>
      </c>
      <c r="O335" s="2">
        <v>1.0</v>
      </c>
      <c r="P335" s="2">
        <v>13.16</v>
      </c>
      <c r="Q335" s="2">
        <v>88198.0</v>
      </c>
      <c r="R335" s="15" t="b">
        <f>ISNUMBER(MATCH(Q335,'Returned order'!A:A,0))</f>
        <v>0</v>
      </c>
      <c r="S335" s="22">
        <v>42123.0</v>
      </c>
      <c r="T335" s="15"/>
      <c r="U335" s="15"/>
      <c r="V335" s="15"/>
    </row>
    <row r="336">
      <c r="A336" s="2">
        <v>25539.0</v>
      </c>
      <c r="B336" s="1" t="s">
        <v>58</v>
      </c>
      <c r="C336" s="2">
        <v>0.03</v>
      </c>
      <c r="D336" s="2">
        <v>14.2</v>
      </c>
      <c r="E336" s="2">
        <v>619.0</v>
      </c>
      <c r="F336" s="1" t="s">
        <v>607</v>
      </c>
      <c r="G336" s="1" t="s">
        <v>22</v>
      </c>
      <c r="H336" s="1" t="s">
        <v>37</v>
      </c>
      <c r="I336" s="1" t="s">
        <v>42</v>
      </c>
      <c r="J336" s="1" t="s">
        <v>608</v>
      </c>
      <c r="K336" s="19" t="s">
        <v>68</v>
      </c>
      <c r="L336" s="20" t="s">
        <v>35</v>
      </c>
      <c r="M336" s="21">
        <f t="shared" si="1"/>
        <v>3</v>
      </c>
      <c r="N336" s="2">
        <v>107.02</v>
      </c>
      <c r="O336" s="2">
        <v>14.0</v>
      </c>
      <c r="P336" s="2">
        <v>205.98</v>
      </c>
      <c r="Q336" s="2">
        <v>88196.0</v>
      </c>
      <c r="R336" s="15" t="b">
        <f>ISNUMBER(MATCH(Q336,'Returned order'!A:A,0))</f>
        <v>0</v>
      </c>
      <c r="S336" s="22">
        <v>42011.0</v>
      </c>
      <c r="T336" s="15"/>
      <c r="U336" s="15"/>
      <c r="V336" s="15"/>
    </row>
    <row r="337">
      <c r="A337" s="2">
        <v>22248.0</v>
      </c>
      <c r="B337" s="1" t="s">
        <v>63</v>
      </c>
      <c r="C337" s="2">
        <v>0.1</v>
      </c>
      <c r="D337" s="2">
        <v>6.88</v>
      </c>
      <c r="E337" s="2">
        <v>621.0</v>
      </c>
      <c r="F337" s="1" t="s">
        <v>609</v>
      </c>
      <c r="G337" s="1" t="s">
        <v>51</v>
      </c>
      <c r="H337" s="1" t="s">
        <v>23</v>
      </c>
      <c r="I337" s="1" t="s">
        <v>93</v>
      </c>
      <c r="J337" s="1" t="s">
        <v>561</v>
      </c>
      <c r="K337" s="19" t="s">
        <v>26</v>
      </c>
      <c r="L337" s="20" t="s">
        <v>70</v>
      </c>
      <c r="M337" s="21">
        <f t="shared" si="1"/>
        <v>4</v>
      </c>
      <c r="N337" s="2">
        <v>18.42</v>
      </c>
      <c r="O337" s="2">
        <v>5.0</v>
      </c>
      <c r="P337" s="2">
        <v>31.46</v>
      </c>
      <c r="Q337" s="2">
        <v>91432.0</v>
      </c>
      <c r="R337" s="15" t="b">
        <f>ISNUMBER(MATCH(Q337,'Returned order'!A:A,0))</f>
        <v>0</v>
      </c>
      <c r="S337" s="22">
        <v>42061.0</v>
      </c>
      <c r="T337" s="15"/>
      <c r="U337" s="15"/>
      <c r="V337" s="15"/>
    </row>
    <row r="338">
      <c r="A338" s="2">
        <v>22247.0</v>
      </c>
      <c r="B338" s="1" t="s">
        <v>63</v>
      </c>
      <c r="C338" s="2">
        <v>0.06</v>
      </c>
      <c r="D338" s="2">
        <v>195.99</v>
      </c>
      <c r="E338" s="2">
        <v>622.0</v>
      </c>
      <c r="F338" s="1" t="s">
        <v>610</v>
      </c>
      <c r="G338" s="1" t="s">
        <v>51</v>
      </c>
      <c r="H338" s="1" t="s">
        <v>46</v>
      </c>
      <c r="I338" s="1" t="s">
        <v>85</v>
      </c>
      <c r="J338" s="1" t="s">
        <v>611</v>
      </c>
      <c r="K338" s="19" t="s">
        <v>26</v>
      </c>
      <c r="L338" s="20" t="s">
        <v>70</v>
      </c>
      <c r="M338" s="21">
        <f t="shared" si="1"/>
        <v>4</v>
      </c>
      <c r="N338" s="2">
        <v>349.47</v>
      </c>
      <c r="O338" s="2">
        <v>6.0</v>
      </c>
      <c r="P338" s="2">
        <v>948.97</v>
      </c>
      <c r="Q338" s="2">
        <v>91432.0</v>
      </c>
      <c r="R338" s="15" t="b">
        <f>ISNUMBER(MATCH(Q338,'Returned order'!A:A,0))</f>
        <v>0</v>
      </c>
      <c r="S338" s="22">
        <v>42061.0</v>
      </c>
      <c r="T338" s="15"/>
      <c r="U338" s="15"/>
      <c r="V338" s="15"/>
    </row>
    <row r="339">
      <c r="A339" s="2">
        <v>24880.0</v>
      </c>
      <c r="B339" s="1" t="s">
        <v>28</v>
      </c>
      <c r="C339" s="2">
        <v>0.05</v>
      </c>
      <c r="D339" s="2">
        <v>6.48</v>
      </c>
      <c r="E339" s="2">
        <v>623.0</v>
      </c>
      <c r="F339" s="1" t="s">
        <v>612</v>
      </c>
      <c r="G339" s="1" t="s">
        <v>51</v>
      </c>
      <c r="H339" s="1" t="s">
        <v>23</v>
      </c>
      <c r="I339" s="1" t="s">
        <v>93</v>
      </c>
      <c r="J339" s="1" t="s">
        <v>613</v>
      </c>
      <c r="K339" s="19" t="s">
        <v>26</v>
      </c>
      <c r="L339" s="20" t="s">
        <v>35</v>
      </c>
      <c r="M339" s="21">
        <f t="shared" si="1"/>
        <v>3</v>
      </c>
      <c r="N339" s="2">
        <v>-226.3464</v>
      </c>
      <c r="O339" s="2">
        <v>21.0</v>
      </c>
      <c r="P339" s="2">
        <v>136.99</v>
      </c>
      <c r="Q339" s="2">
        <v>91433.0</v>
      </c>
      <c r="R339" s="15" t="b">
        <f>ISNUMBER(MATCH(Q339,'Returned order'!A:A,0))</f>
        <v>0</v>
      </c>
      <c r="S339" s="22">
        <v>42095.0</v>
      </c>
      <c r="T339" s="15"/>
      <c r="U339" s="15"/>
      <c r="V339" s="15"/>
    </row>
    <row r="340">
      <c r="A340" s="2">
        <v>24881.0</v>
      </c>
      <c r="B340" s="1" t="s">
        <v>28</v>
      </c>
      <c r="C340" s="2">
        <v>0.05</v>
      </c>
      <c r="D340" s="2">
        <v>55.99</v>
      </c>
      <c r="E340" s="2">
        <v>624.0</v>
      </c>
      <c r="F340" s="1" t="s">
        <v>614</v>
      </c>
      <c r="G340" s="1" t="s">
        <v>51</v>
      </c>
      <c r="H340" s="1" t="s">
        <v>46</v>
      </c>
      <c r="I340" s="1" t="s">
        <v>85</v>
      </c>
      <c r="J340" s="1" t="s">
        <v>578</v>
      </c>
      <c r="K340" s="19" t="s">
        <v>26</v>
      </c>
      <c r="L340" s="20" t="s">
        <v>35</v>
      </c>
      <c r="M340" s="21">
        <f t="shared" si="1"/>
        <v>3</v>
      </c>
      <c r="N340" s="2">
        <v>-281.17584</v>
      </c>
      <c r="O340" s="2">
        <v>2.0</v>
      </c>
      <c r="P340" s="2">
        <v>99.36</v>
      </c>
      <c r="Q340" s="2">
        <v>91433.0</v>
      </c>
      <c r="R340" s="15" t="b">
        <f>ISNUMBER(MATCH(Q340,'Returned order'!A:A,0))</f>
        <v>0</v>
      </c>
      <c r="S340" s="22">
        <v>42095.0</v>
      </c>
      <c r="T340" s="15"/>
      <c r="U340" s="15"/>
      <c r="V340" s="15"/>
    </row>
    <row r="341">
      <c r="A341" s="2">
        <v>21718.0</v>
      </c>
      <c r="B341" s="1" t="s">
        <v>63</v>
      </c>
      <c r="C341" s="2">
        <v>0.02</v>
      </c>
      <c r="D341" s="2">
        <v>419.19</v>
      </c>
      <c r="E341" s="2">
        <v>627.0</v>
      </c>
      <c r="F341" s="1" t="s">
        <v>615</v>
      </c>
      <c r="G341" s="1" t="s">
        <v>32</v>
      </c>
      <c r="H341" s="1" t="s">
        <v>23</v>
      </c>
      <c r="I341" s="1" t="s">
        <v>120</v>
      </c>
      <c r="J341" s="1" t="s">
        <v>616</v>
      </c>
      <c r="K341" s="19" t="s">
        <v>26</v>
      </c>
      <c r="L341" s="20" t="s">
        <v>57</v>
      </c>
      <c r="M341" s="21">
        <f t="shared" si="1"/>
        <v>2</v>
      </c>
      <c r="N341" s="2">
        <v>6610.2</v>
      </c>
      <c r="O341" s="2">
        <v>22.0</v>
      </c>
      <c r="P341" s="2">
        <v>9580.0</v>
      </c>
      <c r="Q341" s="2">
        <v>90469.0</v>
      </c>
      <c r="R341" s="15" t="b">
        <f>ISNUMBER(MATCH(Q341,'Returned order'!A:A,0))</f>
        <v>0</v>
      </c>
      <c r="S341" s="22">
        <v>42115.0</v>
      </c>
      <c r="T341" s="15"/>
      <c r="U341" s="15"/>
      <c r="V341" s="15"/>
    </row>
    <row r="342">
      <c r="A342" s="2">
        <v>19364.0</v>
      </c>
      <c r="B342" s="1" t="s">
        <v>28</v>
      </c>
      <c r="C342" s="2">
        <v>0.01</v>
      </c>
      <c r="D342" s="2">
        <v>2.08</v>
      </c>
      <c r="E342" s="2">
        <v>635.0</v>
      </c>
      <c r="F342" s="1" t="s">
        <v>617</v>
      </c>
      <c r="G342" s="1" t="s">
        <v>32</v>
      </c>
      <c r="H342" s="1" t="s">
        <v>37</v>
      </c>
      <c r="I342" s="1" t="s">
        <v>42</v>
      </c>
      <c r="J342" s="1" t="s">
        <v>180</v>
      </c>
      <c r="K342" s="19" t="s">
        <v>68</v>
      </c>
      <c r="L342" s="20" t="s">
        <v>61</v>
      </c>
      <c r="M342" s="21">
        <f t="shared" si="1"/>
        <v>7</v>
      </c>
      <c r="N342" s="2">
        <v>-103.7124</v>
      </c>
      <c r="O342" s="2">
        <v>12.0</v>
      </c>
      <c r="P342" s="2">
        <v>28.32</v>
      </c>
      <c r="Q342" s="2">
        <v>89284.0</v>
      </c>
      <c r="R342" s="15" t="b">
        <f>ISNUMBER(MATCH(Q342,'Returned order'!A:A,0))</f>
        <v>0</v>
      </c>
      <c r="S342" s="22">
        <v>42099.0</v>
      </c>
      <c r="T342" s="15"/>
      <c r="U342" s="15"/>
      <c r="V342" s="15"/>
    </row>
    <row r="343">
      <c r="A343" s="2">
        <v>19365.0</v>
      </c>
      <c r="B343" s="1" t="s">
        <v>28</v>
      </c>
      <c r="C343" s="2">
        <v>0.03</v>
      </c>
      <c r="D343" s="2">
        <v>370.98</v>
      </c>
      <c r="E343" s="2">
        <v>635.0</v>
      </c>
      <c r="F343" s="1" t="s">
        <v>617</v>
      </c>
      <c r="G343" s="1" t="s">
        <v>32</v>
      </c>
      <c r="H343" s="1" t="s">
        <v>23</v>
      </c>
      <c r="I343" s="1" t="s">
        <v>120</v>
      </c>
      <c r="J343" s="1" t="s">
        <v>618</v>
      </c>
      <c r="K343" s="19" t="s">
        <v>68</v>
      </c>
      <c r="L343" s="20" t="s">
        <v>61</v>
      </c>
      <c r="M343" s="21">
        <f t="shared" si="1"/>
        <v>7</v>
      </c>
      <c r="N343" s="2">
        <v>-124.2864</v>
      </c>
      <c r="O343" s="2">
        <v>6.0</v>
      </c>
      <c r="P343" s="2">
        <v>2309.49</v>
      </c>
      <c r="Q343" s="2">
        <v>89284.0</v>
      </c>
      <c r="R343" s="15" t="b">
        <f>ISNUMBER(MATCH(Q343,'Returned order'!A:A,0))</f>
        <v>0</v>
      </c>
      <c r="S343" s="22">
        <v>42099.0</v>
      </c>
      <c r="T343" s="15"/>
      <c r="U343" s="15"/>
      <c r="V343" s="15"/>
    </row>
    <row r="344">
      <c r="A344" s="2">
        <v>19539.0</v>
      </c>
      <c r="B344" s="1" t="s">
        <v>170</v>
      </c>
      <c r="C344" s="2">
        <v>0.06</v>
      </c>
      <c r="D344" s="2">
        <v>160.98</v>
      </c>
      <c r="E344" s="2">
        <v>637.0</v>
      </c>
      <c r="F344" s="1" t="s">
        <v>619</v>
      </c>
      <c r="G344" s="1" t="s">
        <v>22</v>
      </c>
      <c r="H344" s="1" t="s">
        <v>37</v>
      </c>
      <c r="I344" s="1" t="s">
        <v>55</v>
      </c>
      <c r="J344" s="1" t="s">
        <v>620</v>
      </c>
      <c r="K344" s="19" t="s">
        <v>34</v>
      </c>
      <c r="L344" s="20" t="s">
        <v>76</v>
      </c>
      <c r="M344" s="21">
        <f t="shared" si="1"/>
        <v>5</v>
      </c>
      <c r="N344" s="2">
        <v>-229.68</v>
      </c>
      <c r="O344" s="2">
        <v>8.0</v>
      </c>
      <c r="P344" s="2">
        <v>1232.01</v>
      </c>
      <c r="Q344" s="2">
        <v>87953.0</v>
      </c>
      <c r="R344" s="15" t="b">
        <f>ISNUMBER(MATCH(Q344,'Returned order'!A:A,0))</f>
        <v>0</v>
      </c>
      <c r="S344" s="22">
        <v>42083.0</v>
      </c>
      <c r="T344" s="15"/>
      <c r="U344" s="15"/>
      <c r="V344" s="15"/>
    </row>
    <row r="345">
      <c r="A345" s="2">
        <v>24387.0</v>
      </c>
      <c r="B345" s="1" t="s">
        <v>58</v>
      </c>
      <c r="C345" s="2">
        <v>0.06</v>
      </c>
      <c r="D345" s="2">
        <v>65.99</v>
      </c>
      <c r="E345" s="2">
        <v>638.0</v>
      </c>
      <c r="F345" s="1" t="s">
        <v>621</v>
      </c>
      <c r="G345" s="1" t="s">
        <v>22</v>
      </c>
      <c r="H345" s="1" t="s">
        <v>46</v>
      </c>
      <c r="I345" s="1" t="s">
        <v>85</v>
      </c>
      <c r="J345" s="1">
        <v>6120.0</v>
      </c>
      <c r="K345" s="19" t="s">
        <v>34</v>
      </c>
      <c r="L345" s="20" t="s">
        <v>70</v>
      </c>
      <c r="M345" s="21">
        <f t="shared" si="1"/>
        <v>4</v>
      </c>
      <c r="N345" s="2">
        <v>288.09</v>
      </c>
      <c r="O345" s="2">
        <v>9.0</v>
      </c>
      <c r="P345" s="2">
        <v>506.38</v>
      </c>
      <c r="Q345" s="2">
        <v>87954.0</v>
      </c>
      <c r="R345" s="15" t="b">
        <f>ISNUMBER(MATCH(Q345,'Returned order'!A:A,0))</f>
        <v>0</v>
      </c>
      <c r="S345" s="22">
        <v>42124.0</v>
      </c>
      <c r="T345" s="15"/>
      <c r="U345" s="15"/>
      <c r="V345" s="15"/>
    </row>
    <row r="346">
      <c r="A346" s="2">
        <v>24388.0</v>
      </c>
      <c r="B346" s="1" t="s">
        <v>58</v>
      </c>
      <c r="C346" s="2">
        <v>0.0</v>
      </c>
      <c r="D346" s="2">
        <v>195.99</v>
      </c>
      <c r="E346" s="2">
        <v>638.0</v>
      </c>
      <c r="F346" s="1" t="s">
        <v>621</v>
      </c>
      <c r="G346" s="1" t="s">
        <v>22</v>
      </c>
      <c r="H346" s="1" t="s">
        <v>46</v>
      </c>
      <c r="I346" s="1" t="s">
        <v>85</v>
      </c>
      <c r="J346" s="1" t="s">
        <v>622</v>
      </c>
      <c r="K346" s="19" t="s">
        <v>34</v>
      </c>
      <c r="L346" s="20" t="s">
        <v>70</v>
      </c>
      <c r="M346" s="21">
        <f t="shared" si="1"/>
        <v>4</v>
      </c>
      <c r="N346" s="2">
        <v>719.4768</v>
      </c>
      <c r="O346" s="2">
        <v>6.0</v>
      </c>
      <c r="P346" s="2">
        <v>1042.72</v>
      </c>
      <c r="Q346" s="2">
        <v>87954.0</v>
      </c>
      <c r="R346" s="15" t="b">
        <f>ISNUMBER(MATCH(Q346,'Returned order'!A:A,0))</f>
        <v>0</v>
      </c>
      <c r="S346" s="22">
        <v>42124.0</v>
      </c>
      <c r="T346" s="15"/>
      <c r="U346" s="15"/>
      <c r="V346" s="15"/>
    </row>
    <row r="347">
      <c r="A347" s="2">
        <v>25893.0</v>
      </c>
      <c r="B347" s="1" t="s">
        <v>49</v>
      </c>
      <c r="C347" s="2">
        <v>0.0</v>
      </c>
      <c r="D347" s="2">
        <v>236.97</v>
      </c>
      <c r="E347" s="2">
        <v>639.0</v>
      </c>
      <c r="F347" s="1" t="s">
        <v>623</v>
      </c>
      <c r="G347" s="1" t="s">
        <v>22</v>
      </c>
      <c r="H347" s="1" t="s">
        <v>37</v>
      </c>
      <c r="I347" s="1" t="s">
        <v>73</v>
      </c>
      <c r="J347" s="1" t="s">
        <v>624</v>
      </c>
      <c r="K347" s="19" t="s">
        <v>34</v>
      </c>
      <c r="L347" s="20" t="s">
        <v>53</v>
      </c>
      <c r="M347" s="21">
        <f t="shared" si="1"/>
        <v>6</v>
      </c>
      <c r="N347" s="2">
        <v>1192.04</v>
      </c>
      <c r="O347" s="2">
        <v>9.0</v>
      </c>
      <c r="P347" s="2">
        <v>1769.91</v>
      </c>
      <c r="Q347" s="2">
        <v>87952.0</v>
      </c>
      <c r="R347" s="15" t="b">
        <f>ISNUMBER(MATCH(Q347,'Returned order'!A:A,0))</f>
        <v>0</v>
      </c>
      <c r="S347" s="22">
        <v>42049.0</v>
      </c>
      <c r="T347" s="15"/>
      <c r="U347" s="15"/>
      <c r="V347" s="15"/>
    </row>
    <row r="348">
      <c r="A348" s="2">
        <v>7893.0</v>
      </c>
      <c r="B348" s="1" t="s">
        <v>49</v>
      </c>
      <c r="C348" s="2">
        <v>0.0</v>
      </c>
      <c r="D348" s="2">
        <v>236.97</v>
      </c>
      <c r="E348" s="2">
        <v>640.0</v>
      </c>
      <c r="F348" s="1" t="s">
        <v>625</v>
      </c>
      <c r="G348" s="1" t="s">
        <v>22</v>
      </c>
      <c r="H348" s="1" t="s">
        <v>37</v>
      </c>
      <c r="I348" s="1" t="s">
        <v>73</v>
      </c>
      <c r="J348" s="1" t="s">
        <v>624</v>
      </c>
      <c r="K348" s="19" t="s">
        <v>34</v>
      </c>
      <c r="L348" s="20" t="s">
        <v>53</v>
      </c>
      <c r="M348" s="21">
        <f t="shared" si="1"/>
        <v>6</v>
      </c>
      <c r="N348" s="2">
        <v>1192.04</v>
      </c>
      <c r="O348" s="2">
        <v>34.0</v>
      </c>
      <c r="P348" s="2">
        <v>6686.34</v>
      </c>
      <c r="Q348" s="2">
        <v>56452.0</v>
      </c>
      <c r="R348" s="15" t="b">
        <f>ISNUMBER(MATCH(Q348,'Returned order'!A:A,0))</f>
        <v>1</v>
      </c>
      <c r="S348" s="22">
        <v>42049.0</v>
      </c>
      <c r="T348" s="15"/>
      <c r="U348" s="15"/>
      <c r="V348" s="15"/>
    </row>
    <row r="349">
      <c r="A349" s="2">
        <v>1539.0</v>
      </c>
      <c r="B349" s="1" t="s">
        <v>170</v>
      </c>
      <c r="C349" s="2">
        <v>0.06</v>
      </c>
      <c r="D349" s="2">
        <v>160.98</v>
      </c>
      <c r="E349" s="2">
        <v>640.0</v>
      </c>
      <c r="F349" s="1" t="s">
        <v>625</v>
      </c>
      <c r="G349" s="1" t="s">
        <v>22</v>
      </c>
      <c r="H349" s="1" t="s">
        <v>37</v>
      </c>
      <c r="I349" s="1" t="s">
        <v>55</v>
      </c>
      <c r="J349" s="1" t="s">
        <v>620</v>
      </c>
      <c r="K349" s="19" t="s">
        <v>34</v>
      </c>
      <c r="L349" s="20" t="s">
        <v>76</v>
      </c>
      <c r="M349" s="21">
        <f t="shared" si="1"/>
        <v>5</v>
      </c>
      <c r="N349" s="2">
        <v>-229.68</v>
      </c>
      <c r="O349" s="2">
        <v>30.0</v>
      </c>
      <c r="P349" s="2">
        <v>4620.05</v>
      </c>
      <c r="Q349" s="2">
        <v>11077.0</v>
      </c>
      <c r="R349" s="15" t="b">
        <f>ISNUMBER(MATCH(Q349,'Returned order'!A:A,0))</f>
        <v>0</v>
      </c>
      <c r="S349" s="22">
        <v>42083.0</v>
      </c>
      <c r="T349" s="15"/>
      <c r="U349" s="15"/>
      <c r="V349" s="15"/>
    </row>
    <row r="350">
      <c r="A350" s="2">
        <v>6387.0</v>
      </c>
      <c r="B350" s="1" t="s">
        <v>58</v>
      </c>
      <c r="C350" s="2">
        <v>0.06</v>
      </c>
      <c r="D350" s="2">
        <v>65.99</v>
      </c>
      <c r="E350" s="2">
        <v>640.0</v>
      </c>
      <c r="F350" s="1" t="s">
        <v>625</v>
      </c>
      <c r="G350" s="1" t="s">
        <v>22</v>
      </c>
      <c r="H350" s="1" t="s">
        <v>46</v>
      </c>
      <c r="I350" s="1" t="s">
        <v>85</v>
      </c>
      <c r="J350" s="1">
        <v>6120.0</v>
      </c>
      <c r="K350" s="19" t="s">
        <v>34</v>
      </c>
      <c r="L350" s="20" t="s">
        <v>70</v>
      </c>
      <c r="M350" s="21">
        <f t="shared" si="1"/>
        <v>4</v>
      </c>
      <c r="N350" s="2">
        <v>288.09</v>
      </c>
      <c r="O350" s="2">
        <v>34.0</v>
      </c>
      <c r="P350" s="2">
        <v>1912.98</v>
      </c>
      <c r="Q350" s="2">
        <v>45380.0</v>
      </c>
      <c r="R350" s="15" t="b">
        <f>ISNUMBER(MATCH(Q350,'Returned order'!A:A,0))</f>
        <v>0</v>
      </c>
      <c r="S350" s="22">
        <v>42124.0</v>
      </c>
      <c r="T350" s="15"/>
      <c r="U350" s="15"/>
      <c r="V350" s="15"/>
    </row>
    <row r="351">
      <c r="A351" s="2">
        <v>6388.0</v>
      </c>
      <c r="B351" s="1" t="s">
        <v>58</v>
      </c>
      <c r="C351" s="2">
        <v>0.0</v>
      </c>
      <c r="D351" s="2">
        <v>195.99</v>
      </c>
      <c r="E351" s="2">
        <v>640.0</v>
      </c>
      <c r="F351" s="1" t="s">
        <v>625</v>
      </c>
      <c r="G351" s="1" t="s">
        <v>22</v>
      </c>
      <c r="H351" s="1" t="s">
        <v>46</v>
      </c>
      <c r="I351" s="1" t="s">
        <v>85</v>
      </c>
      <c r="J351" s="1" t="s">
        <v>622</v>
      </c>
      <c r="K351" s="19" t="s">
        <v>34</v>
      </c>
      <c r="L351" s="20" t="s">
        <v>70</v>
      </c>
      <c r="M351" s="21">
        <f t="shared" si="1"/>
        <v>4</v>
      </c>
      <c r="N351" s="2">
        <v>1030.509</v>
      </c>
      <c r="O351" s="2">
        <v>24.0</v>
      </c>
      <c r="P351" s="2">
        <v>4170.87</v>
      </c>
      <c r="Q351" s="2">
        <v>45380.0</v>
      </c>
      <c r="R351" s="15" t="b">
        <f>ISNUMBER(MATCH(Q351,'Returned order'!A:A,0))</f>
        <v>0</v>
      </c>
      <c r="S351" s="22">
        <v>42124.0</v>
      </c>
      <c r="T351" s="15"/>
      <c r="U351" s="15"/>
      <c r="V351" s="15"/>
    </row>
    <row r="352">
      <c r="A352" s="2">
        <v>24869.0</v>
      </c>
      <c r="B352" s="1" t="s">
        <v>170</v>
      </c>
      <c r="C352" s="2">
        <v>0.03</v>
      </c>
      <c r="D352" s="2">
        <v>51.75</v>
      </c>
      <c r="E352" s="2">
        <v>646.0</v>
      </c>
      <c r="F352" s="1" t="s">
        <v>626</v>
      </c>
      <c r="G352" s="1" t="s">
        <v>32</v>
      </c>
      <c r="H352" s="1" t="s">
        <v>37</v>
      </c>
      <c r="I352" s="1" t="s">
        <v>42</v>
      </c>
      <c r="J352" s="1" t="s">
        <v>627</v>
      </c>
      <c r="K352" s="19" t="s">
        <v>68</v>
      </c>
      <c r="L352" s="20" t="s">
        <v>35</v>
      </c>
      <c r="M352" s="21">
        <f t="shared" si="1"/>
        <v>3</v>
      </c>
      <c r="N352" s="2">
        <v>261.444</v>
      </c>
      <c r="O352" s="2">
        <v>16.0</v>
      </c>
      <c r="P352" s="2">
        <v>818.81</v>
      </c>
      <c r="Q352" s="2">
        <v>90735.0</v>
      </c>
      <c r="R352" s="15" t="b">
        <f>ISNUMBER(MATCH(Q352,'Returned order'!A:A,0))</f>
        <v>0</v>
      </c>
      <c r="S352" s="22">
        <v>42172.0</v>
      </c>
      <c r="T352" s="15"/>
      <c r="U352" s="15"/>
      <c r="V352" s="15"/>
    </row>
    <row r="353">
      <c r="A353" s="2">
        <v>21760.0</v>
      </c>
      <c r="B353" s="1" t="s">
        <v>49</v>
      </c>
      <c r="C353" s="2">
        <v>0.02</v>
      </c>
      <c r="D353" s="2">
        <v>25.38</v>
      </c>
      <c r="E353" s="2">
        <v>648.0</v>
      </c>
      <c r="F353" s="1" t="s">
        <v>628</v>
      </c>
      <c r="G353" s="1" t="s">
        <v>51</v>
      </c>
      <c r="H353" s="1" t="s">
        <v>37</v>
      </c>
      <c r="I353" s="1" t="s">
        <v>42</v>
      </c>
      <c r="J353" s="1" t="s">
        <v>629</v>
      </c>
      <c r="K353" s="19" t="s">
        <v>68</v>
      </c>
      <c r="L353" s="20" t="s">
        <v>61</v>
      </c>
      <c r="M353" s="21">
        <f t="shared" si="1"/>
        <v>7</v>
      </c>
      <c r="N353" s="2">
        <v>-10.36</v>
      </c>
      <c r="O353" s="2">
        <v>1.0</v>
      </c>
      <c r="P353" s="2">
        <v>34.11</v>
      </c>
      <c r="Q353" s="2">
        <v>91365.0</v>
      </c>
      <c r="R353" s="15" t="b">
        <f>ISNUMBER(MATCH(Q353,'Returned order'!A:A,0))</f>
        <v>0</v>
      </c>
      <c r="S353" s="22">
        <v>42176.0</v>
      </c>
      <c r="T353" s="15"/>
      <c r="U353" s="15"/>
      <c r="V353" s="15"/>
    </row>
    <row r="354">
      <c r="A354" s="2">
        <v>23154.0</v>
      </c>
      <c r="B354" s="1" t="s">
        <v>63</v>
      </c>
      <c r="C354" s="2">
        <v>0.02</v>
      </c>
      <c r="D354" s="2">
        <v>3.78</v>
      </c>
      <c r="E354" s="2">
        <v>649.0</v>
      </c>
      <c r="F354" s="1" t="s">
        <v>630</v>
      </c>
      <c r="G354" s="1" t="s">
        <v>51</v>
      </c>
      <c r="H354" s="1" t="s">
        <v>23</v>
      </c>
      <c r="I354" s="1" t="s">
        <v>81</v>
      </c>
      <c r="J354" s="1" t="s">
        <v>631</v>
      </c>
      <c r="K354" s="19" t="s">
        <v>68</v>
      </c>
      <c r="L354" s="20" t="s">
        <v>76</v>
      </c>
      <c r="M354" s="21">
        <f t="shared" si="1"/>
        <v>5</v>
      </c>
      <c r="N354" s="2">
        <v>106.7499</v>
      </c>
      <c r="O354" s="2">
        <v>40.0</v>
      </c>
      <c r="P354" s="2">
        <v>154.71</v>
      </c>
      <c r="Q354" s="2">
        <v>91366.0</v>
      </c>
      <c r="R354" s="15" t="b">
        <f>ISNUMBER(MATCH(Q354,'Returned order'!A:A,0))</f>
        <v>0</v>
      </c>
      <c r="S354" s="22">
        <v>42153.0</v>
      </c>
      <c r="T354" s="15"/>
      <c r="U354" s="15"/>
      <c r="V354" s="15"/>
    </row>
    <row r="355">
      <c r="A355" s="2">
        <v>24199.0</v>
      </c>
      <c r="B355" s="1" t="s">
        <v>28</v>
      </c>
      <c r="C355" s="2">
        <v>0.08</v>
      </c>
      <c r="D355" s="2">
        <v>15.99</v>
      </c>
      <c r="E355" s="2">
        <v>651.0</v>
      </c>
      <c r="F355" s="1" t="s">
        <v>632</v>
      </c>
      <c r="G355" s="1" t="s">
        <v>22</v>
      </c>
      <c r="H355" s="1" t="s">
        <v>23</v>
      </c>
      <c r="I355" s="1" t="s">
        <v>24</v>
      </c>
      <c r="J355" s="1" t="s">
        <v>546</v>
      </c>
      <c r="K355" s="19" t="s">
        <v>34</v>
      </c>
      <c r="L355" s="20" t="s">
        <v>35</v>
      </c>
      <c r="M355" s="21">
        <f t="shared" si="1"/>
        <v>3</v>
      </c>
      <c r="N355" s="2">
        <v>-246.92616</v>
      </c>
      <c r="O355" s="2">
        <v>12.0</v>
      </c>
      <c r="P355" s="2">
        <v>192.33</v>
      </c>
      <c r="Q355" s="2">
        <v>91575.0</v>
      </c>
      <c r="R355" s="15" t="b">
        <f>ISNUMBER(MATCH(Q355,'Returned order'!A:A,0))</f>
        <v>0</v>
      </c>
      <c r="S355" s="22">
        <v>42011.0</v>
      </c>
      <c r="T355" s="15"/>
      <c r="U355" s="15"/>
      <c r="V355" s="15"/>
    </row>
    <row r="356">
      <c r="A356" s="2">
        <v>23433.0</v>
      </c>
      <c r="B356" s="1" t="s">
        <v>170</v>
      </c>
      <c r="C356" s="2">
        <v>0.04</v>
      </c>
      <c r="D356" s="2">
        <v>880.98</v>
      </c>
      <c r="E356" s="2">
        <v>651.0</v>
      </c>
      <c r="F356" s="1" t="s">
        <v>632</v>
      </c>
      <c r="G356" s="1" t="s">
        <v>22</v>
      </c>
      <c r="H356" s="1" t="s">
        <v>37</v>
      </c>
      <c r="I356" s="1" t="s">
        <v>55</v>
      </c>
      <c r="J356" s="1" t="s">
        <v>633</v>
      </c>
      <c r="K356" s="19" t="s">
        <v>34</v>
      </c>
      <c r="L356" s="20" t="s">
        <v>61</v>
      </c>
      <c r="M356" s="21">
        <f t="shared" si="1"/>
        <v>7</v>
      </c>
      <c r="N356" s="2">
        <v>4233.2588</v>
      </c>
      <c r="O356" s="2">
        <v>8.0</v>
      </c>
      <c r="P356" s="2">
        <v>6901.25</v>
      </c>
      <c r="Q356" s="2">
        <v>91576.0</v>
      </c>
      <c r="R356" s="15" t="b">
        <f>ISNUMBER(MATCH(Q356,'Returned order'!A:A,0))</f>
        <v>0</v>
      </c>
      <c r="S356" s="22">
        <v>42050.0</v>
      </c>
      <c r="T356" s="15"/>
      <c r="U356" s="15"/>
      <c r="V356" s="15"/>
    </row>
    <row r="357">
      <c r="A357" s="2">
        <v>23434.0</v>
      </c>
      <c r="B357" s="1" t="s">
        <v>170</v>
      </c>
      <c r="C357" s="2">
        <v>0.07</v>
      </c>
      <c r="D357" s="2">
        <v>13.4</v>
      </c>
      <c r="E357" s="2">
        <v>651.0</v>
      </c>
      <c r="F357" s="1" t="s">
        <v>632</v>
      </c>
      <c r="G357" s="1" t="s">
        <v>22</v>
      </c>
      <c r="H357" s="1" t="s">
        <v>37</v>
      </c>
      <c r="I357" s="1" t="s">
        <v>42</v>
      </c>
      <c r="J357" s="1" t="s">
        <v>634</v>
      </c>
      <c r="K357" s="19" t="s">
        <v>34</v>
      </c>
      <c r="L357" s="20" t="s">
        <v>61</v>
      </c>
      <c r="M357" s="21">
        <f t="shared" si="1"/>
        <v>7</v>
      </c>
      <c r="N357" s="2">
        <v>102.7686</v>
      </c>
      <c r="O357" s="2">
        <v>11.0</v>
      </c>
      <c r="P357" s="2">
        <v>148.94</v>
      </c>
      <c r="Q357" s="2">
        <v>91576.0</v>
      </c>
      <c r="R357" s="15" t="b">
        <f>ISNUMBER(MATCH(Q357,'Returned order'!A:A,0))</f>
        <v>0</v>
      </c>
      <c r="S357" s="22">
        <v>42050.0</v>
      </c>
      <c r="T357" s="15"/>
      <c r="U357" s="15"/>
      <c r="V357" s="15"/>
    </row>
    <row r="358">
      <c r="A358" s="2">
        <v>23435.0</v>
      </c>
      <c r="B358" s="1" t="s">
        <v>170</v>
      </c>
      <c r="C358" s="2">
        <v>0.01</v>
      </c>
      <c r="D358" s="2">
        <v>15.99</v>
      </c>
      <c r="E358" s="2">
        <v>651.0</v>
      </c>
      <c r="F358" s="1" t="s">
        <v>632</v>
      </c>
      <c r="G358" s="1" t="s">
        <v>22</v>
      </c>
      <c r="H358" s="1" t="s">
        <v>46</v>
      </c>
      <c r="I358" s="1" t="s">
        <v>103</v>
      </c>
      <c r="J358" s="1" t="s">
        <v>488</v>
      </c>
      <c r="K358" s="19" t="s">
        <v>34</v>
      </c>
      <c r="L358" s="20" t="s">
        <v>61</v>
      </c>
      <c r="M358" s="21">
        <f t="shared" si="1"/>
        <v>7</v>
      </c>
      <c r="N358" s="2">
        <v>-36.671544</v>
      </c>
      <c r="O358" s="2">
        <v>12.0</v>
      </c>
      <c r="P358" s="2">
        <v>200.68</v>
      </c>
      <c r="Q358" s="2">
        <v>91576.0</v>
      </c>
      <c r="R358" s="15" t="b">
        <f>ISNUMBER(MATCH(Q358,'Returned order'!A:A,0))</f>
        <v>0</v>
      </c>
      <c r="S358" s="22">
        <v>42050.0</v>
      </c>
      <c r="T358" s="15"/>
      <c r="U358" s="15"/>
      <c r="V358" s="15"/>
    </row>
    <row r="359">
      <c r="A359" s="2">
        <v>25055.0</v>
      </c>
      <c r="B359" s="1" t="s">
        <v>49</v>
      </c>
      <c r="C359" s="2">
        <v>0.0</v>
      </c>
      <c r="D359" s="2">
        <v>2.78</v>
      </c>
      <c r="E359" s="2">
        <v>653.0</v>
      </c>
      <c r="F359" s="1" t="s">
        <v>635</v>
      </c>
      <c r="G359" s="1" t="s">
        <v>22</v>
      </c>
      <c r="H359" s="1" t="s">
        <v>23</v>
      </c>
      <c r="I359" s="1" t="s">
        <v>24</v>
      </c>
      <c r="J359" s="1" t="s">
        <v>636</v>
      </c>
      <c r="K359" s="19" t="s">
        <v>34</v>
      </c>
      <c r="L359" s="20" t="s">
        <v>70</v>
      </c>
      <c r="M359" s="21">
        <f t="shared" si="1"/>
        <v>4</v>
      </c>
      <c r="N359" s="2">
        <v>20.6448</v>
      </c>
      <c r="O359" s="2">
        <v>9.0</v>
      </c>
      <c r="P359" s="2">
        <v>29.92</v>
      </c>
      <c r="Q359" s="2">
        <v>91213.0</v>
      </c>
      <c r="R359" s="15" t="b">
        <f>ISNUMBER(MATCH(Q359,'Returned order'!A:A,0))</f>
        <v>0</v>
      </c>
      <c r="S359" s="22">
        <v>42110.0</v>
      </c>
      <c r="T359" s="15"/>
      <c r="U359" s="15"/>
      <c r="V359" s="15"/>
    </row>
    <row r="360">
      <c r="A360" s="2">
        <v>20874.0</v>
      </c>
      <c r="B360" s="1" t="s">
        <v>58</v>
      </c>
      <c r="C360" s="2">
        <v>0.1</v>
      </c>
      <c r="D360" s="2">
        <v>18.97</v>
      </c>
      <c r="E360" s="2">
        <v>657.0</v>
      </c>
      <c r="F360" s="1" t="s">
        <v>98</v>
      </c>
      <c r="G360" s="1" t="s">
        <v>22</v>
      </c>
      <c r="H360" s="1" t="s">
        <v>23</v>
      </c>
      <c r="I360" s="1" t="s">
        <v>93</v>
      </c>
      <c r="J360" s="1" t="s">
        <v>99</v>
      </c>
      <c r="K360" s="19" t="s">
        <v>26</v>
      </c>
      <c r="L360" s="20" t="s">
        <v>27</v>
      </c>
      <c r="M360" s="21">
        <f t="shared" si="1"/>
        <v>1</v>
      </c>
      <c r="N360" s="2">
        <v>-24.2048</v>
      </c>
      <c r="O360" s="2">
        <v>1.0</v>
      </c>
      <c r="P360" s="2">
        <v>19.73</v>
      </c>
      <c r="Q360" s="2">
        <v>91212.0</v>
      </c>
      <c r="R360" s="15" t="b">
        <f>ISNUMBER(MATCH(Q360,'Returned order'!A:A,0))</f>
        <v>0</v>
      </c>
      <c r="S360" s="22">
        <v>42023.0</v>
      </c>
      <c r="T360" s="15"/>
      <c r="U360" s="15"/>
      <c r="V360" s="15"/>
    </row>
    <row r="361">
      <c r="A361" s="2">
        <v>20875.0</v>
      </c>
      <c r="B361" s="1" t="s">
        <v>58</v>
      </c>
      <c r="C361" s="2">
        <v>0.0</v>
      </c>
      <c r="D361" s="2">
        <v>119.99</v>
      </c>
      <c r="E361" s="2">
        <v>659.0</v>
      </c>
      <c r="F361" s="1" t="s">
        <v>102</v>
      </c>
      <c r="G361" s="1" t="s">
        <v>22</v>
      </c>
      <c r="H361" s="1" t="s">
        <v>46</v>
      </c>
      <c r="I361" s="1" t="s">
        <v>103</v>
      </c>
      <c r="J361" s="1" t="s">
        <v>104</v>
      </c>
      <c r="K361" s="19" t="s">
        <v>26</v>
      </c>
      <c r="L361" s="20" t="s">
        <v>27</v>
      </c>
      <c r="M361" s="21">
        <f t="shared" si="1"/>
        <v>1</v>
      </c>
      <c r="N361" s="2">
        <v>-126.05778</v>
      </c>
      <c r="O361" s="2">
        <v>5.0</v>
      </c>
      <c r="P361" s="2">
        <v>615.54</v>
      </c>
      <c r="Q361" s="2">
        <v>91212.0</v>
      </c>
      <c r="R361" s="15" t="b">
        <f>ISNUMBER(MATCH(Q361,'Returned order'!A:A,0))</f>
        <v>0</v>
      </c>
      <c r="S361" s="22">
        <v>42023.0</v>
      </c>
      <c r="T361" s="15"/>
      <c r="U361" s="15"/>
      <c r="V361" s="15"/>
    </row>
    <row r="362">
      <c r="A362" s="2">
        <v>23487.0</v>
      </c>
      <c r="B362" s="1" t="s">
        <v>58</v>
      </c>
      <c r="C362" s="2">
        <v>0.02</v>
      </c>
      <c r="D362" s="2">
        <v>14.58</v>
      </c>
      <c r="E362" s="2">
        <v>663.0</v>
      </c>
      <c r="F362" s="1" t="s">
        <v>637</v>
      </c>
      <c r="G362" s="1" t="s">
        <v>51</v>
      </c>
      <c r="H362" s="1" t="s">
        <v>37</v>
      </c>
      <c r="I362" s="1" t="s">
        <v>42</v>
      </c>
      <c r="J362" s="1" t="s">
        <v>638</v>
      </c>
      <c r="K362" s="19" t="s">
        <v>26</v>
      </c>
      <c r="L362" s="20" t="s">
        <v>76</v>
      </c>
      <c r="M362" s="21">
        <f t="shared" si="1"/>
        <v>5</v>
      </c>
      <c r="N362" s="2">
        <v>10.802</v>
      </c>
      <c r="O362" s="2">
        <v>17.0</v>
      </c>
      <c r="P362" s="2">
        <v>261.34</v>
      </c>
      <c r="Q362" s="2">
        <v>90922.0</v>
      </c>
      <c r="R362" s="15" t="b">
        <f>ISNUMBER(MATCH(Q362,'Returned order'!A:A,0))</f>
        <v>0</v>
      </c>
      <c r="S362" s="22">
        <v>42153.0</v>
      </c>
      <c r="T362" s="15"/>
      <c r="U362" s="15"/>
      <c r="V362" s="15"/>
    </row>
    <row r="363">
      <c r="A363" s="2">
        <v>21086.0</v>
      </c>
      <c r="B363" s="1" t="s">
        <v>170</v>
      </c>
      <c r="C363" s="2">
        <v>0.04</v>
      </c>
      <c r="D363" s="2">
        <v>22.72</v>
      </c>
      <c r="E363" s="2">
        <v>665.0</v>
      </c>
      <c r="F363" s="1" t="s">
        <v>639</v>
      </c>
      <c r="G363" s="1" t="s">
        <v>32</v>
      </c>
      <c r="H363" s="1" t="s">
        <v>37</v>
      </c>
      <c r="I363" s="1" t="s">
        <v>42</v>
      </c>
      <c r="J363" s="1" t="s">
        <v>640</v>
      </c>
      <c r="K363" s="19" t="s">
        <v>229</v>
      </c>
      <c r="L363" s="20" t="s">
        <v>76</v>
      </c>
      <c r="M363" s="21">
        <f t="shared" si="1"/>
        <v>5</v>
      </c>
      <c r="N363" s="2">
        <v>-678.496</v>
      </c>
      <c r="O363" s="2">
        <v>9.0</v>
      </c>
      <c r="P363" s="2">
        <v>202.41</v>
      </c>
      <c r="Q363" s="2">
        <v>88677.0</v>
      </c>
      <c r="R363" s="15" t="b">
        <f>ISNUMBER(MATCH(Q363,'Returned order'!A:A,0))</f>
        <v>0</v>
      </c>
      <c r="S363" s="22">
        <v>42020.0</v>
      </c>
      <c r="T363" s="15"/>
      <c r="U363" s="15"/>
      <c r="V363" s="15"/>
    </row>
    <row r="364">
      <c r="A364" s="2">
        <v>18667.0</v>
      </c>
      <c r="B364" s="1" t="s">
        <v>58</v>
      </c>
      <c r="C364" s="2">
        <v>0.02</v>
      </c>
      <c r="D364" s="2">
        <v>130.98</v>
      </c>
      <c r="E364" s="2">
        <v>665.0</v>
      </c>
      <c r="F364" s="1" t="s">
        <v>639</v>
      </c>
      <c r="G364" s="1" t="s">
        <v>32</v>
      </c>
      <c r="H364" s="1" t="s">
        <v>37</v>
      </c>
      <c r="I364" s="1" t="s">
        <v>38</v>
      </c>
      <c r="J364" s="1" t="s">
        <v>485</v>
      </c>
      <c r="K364" s="19" t="s">
        <v>229</v>
      </c>
      <c r="L364" s="20" t="s">
        <v>53</v>
      </c>
      <c r="M364" s="21">
        <f t="shared" si="1"/>
        <v>6</v>
      </c>
      <c r="N364" s="2">
        <v>90.762</v>
      </c>
      <c r="O364" s="2">
        <v>6.0</v>
      </c>
      <c r="P364" s="2">
        <v>793.39</v>
      </c>
      <c r="Q364" s="2">
        <v>88678.0</v>
      </c>
      <c r="R364" s="15" t="b">
        <f>ISNUMBER(MATCH(Q364,'Returned order'!A:A,0))</f>
        <v>0</v>
      </c>
      <c r="S364" s="22">
        <v>42112.0</v>
      </c>
      <c r="T364" s="15"/>
      <c r="U364" s="15"/>
      <c r="V364" s="15"/>
    </row>
    <row r="365">
      <c r="A365" s="2">
        <v>24776.0</v>
      </c>
      <c r="B365" s="1" t="s">
        <v>170</v>
      </c>
      <c r="C365" s="2">
        <v>0.02</v>
      </c>
      <c r="D365" s="2">
        <v>4.57</v>
      </c>
      <c r="E365" s="2">
        <v>666.0</v>
      </c>
      <c r="F365" s="1" t="s">
        <v>641</v>
      </c>
      <c r="G365" s="1" t="s">
        <v>32</v>
      </c>
      <c r="H365" s="1" t="s">
        <v>23</v>
      </c>
      <c r="I365" s="1" t="s">
        <v>24</v>
      </c>
      <c r="J365" s="1" t="s">
        <v>642</v>
      </c>
      <c r="K365" s="19" t="s">
        <v>229</v>
      </c>
      <c r="L365" s="20" t="s">
        <v>35</v>
      </c>
      <c r="M365" s="21">
        <f t="shared" si="1"/>
        <v>3</v>
      </c>
      <c r="N365" s="2">
        <v>-352.814</v>
      </c>
      <c r="O365" s="2">
        <v>11.0</v>
      </c>
      <c r="P365" s="2">
        <v>54.04</v>
      </c>
      <c r="Q365" s="2">
        <v>88679.0</v>
      </c>
      <c r="R365" s="15" t="b">
        <f>ISNUMBER(MATCH(Q365,'Returned order'!A:A,0))</f>
        <v>0</v>
      </c>
      <c r="S365" s="22">
        <v>42116.0</v>
      </c>
      <c r="T365" s="15"/>
      <c r="U365" s="15"/>
      <c r="V365" s="15"/>
    </row>
    <row r="366">
      <c r="A366" s="2">
        <v>3086.0</v>
      </c>
      <c r="B366" s="1" t="s">
        <v>170</v>
      </c>
      <c r="C366" s="2">
        <v>0.04</v>
      </c>
      <c r="D366" s="2">
        <v>22.72</v>
      </c>
      <c r="E366" s="2">
        <v>667.0</v>
      </c>
      <c r="F366" s="1" t="s">
        <v>643</v>
      </c>
      <c r="G366" s="1" t="s">
        <v>32</v>
      </c>
      <c r="H366" s="1" t="s">
        <v>37</v>
      </c>
      <c r="I366" s="1" t="s">
        <v>42</v>
      </c>
      <c r="J366" s="1" t="s">
        <v>640</v>
      </c>
      <c r="K366" s="19" t="s">
        <v>68</v>
      </c>
      <c r="L366" s="20" t="s">
        <v>76</v>
      </c>
      <c r="M366" s="21">
        <f t="shared" si="1"/>
        <v>5</v>
      </c>
      <c r="N366" s="2">
        <v>70.028</v>
      </c>
      <c r="O366" s="2">
        <v>37.0</v>
      </c>
      <c r="P366" s="2">
        <v>832.14</v>
      </c>
      <c r="Q366" s="2">
        <v>22147.0</v>
      </c>
      <c r="R366" s="15" t="b">
        <f>ISNUMBER(MATCH(Q366,'Returned order'!A:A,0))</f>
        <v>0</v>
      </c>
      <c r="S366" s="22">
        <v>42020.0</v>
      </c>
      <c r="T366" s="15"/>
      <c r="U366" s="15"/>
      <c r="V366" s="15"/>
    </row>
    <row r="367">
      <c r="A367" s="2">
        <v>6776.0</v>
      </c>
      <c r="B367" s="1" t="s">
        <v>170</v>
      </c>
      <c r="C367" s="2">
        <v>0.02</v>
      </c>
      <c r="D367" s="2">
        <v>4.57</v>
      </c>
      <c r="E367" s="2">
        <v>667.0</v>
      </c>
      <c r="F367" s="1" t="s">
        <v>643</v>
      </c>
      <c r="G367" s="1" t="s">
        <v>32</v>
      </c>
      <c r="H367" s="1" t="s">
        <v>23</v>
      </c>
      <c r="I367" s="1" t="s">
        <v>24</v>
      </c>
      <c r="J367" s="1" t="s">
        <v>642</v>
      </c>
      <c r="K367" s="19" t="s">
        <v>68</v>
      </c>
      <c r="L367" s="20" t="s">
        <v>35</v>
      </c>
      <c r="M367" s="21">
        <f t="shared" si="1"/>
        <v>3</v>
      </c>
      <c r="N367" s="2">
        <v>-124.2805</v>
      </c>
      <c r="O367" s="2">
        <v>45.0</v>
      </c>
      <c r="P367" s="2">
        <v>221.06</v>
      </c>
      <c r="Q367" s="2">
        <v>48257.0</v>
      </c>
      <c r="R367" s="15" t="b">
        <f>ISNUMBER(MATCH(Q367,'Returned order'!A:A,0))</f>
        <v>0</v>
      </c>
      <c r="S367" s="22">
        <v>42116.0</v>
      </c>
      <c r="T367" s="15"/>
      <c r="U367" s="15"/>
      <c r="V367" s="15"/>
    </row>
    <row r="368">
      <c r="A368" s="2">
        <v>24882.0</v>
      </c>
      <c r="B368" s="1" t="s">
        <v>63</v>
      </c>
      <c r="C368" s="2">
        <v>0.09</v>
      </c>
      <c r="D368" s="2">
        <v>2.89</v>
      </c>
      <c r="E368" s="2">
        <v>669.0</v>
      </c>
      <c r="F368" s="1" t="s">
        <v>644</v>
      </c>
      <c r="G368" s="1" t="s">
        <v>51</v>
      </c>
      <c r="H368" s="1" t="s">
        <v>23</v>
      </c>
      <c r="I368" s="1" t="s">
        <v>130</v>
      </c>
      <c r="J368" s="1" t="s">
        <v>645</v>
      </c>
      <c r="K368" s="19" t="s">
        <v>68</v>
      </c>
      <c r="L368" s="20" t="s">
        <v>76</v>
      </c>
      <c r="M368" s="21">
        <f t="shared" si="1"/>
        <v>5</v>
      </c>
      <c r="N368" s="2">
        <v>40.4823</v>
      </c>
      <c r="O368" s="2">
        <v>22.0</v>
      </c>
      <c r="P368" s="2">
        <v>58.67</v>
      </c>
      <c r="Q368" s="2">
        <v>88475.0</v>
      </c>
      <c r="R368" s="15" t="b">
        <f>ISNUMBER(MATCH(Q368,'Returned order'!A:A,0))</f>
        <v>0</v>
      </c>
      <c r="S368" s="22">
        <v>42083.0</v>
      </c>
      <c r="T368" s="15"/>
      <c r="U368" s="15"/>
      <c r="V368" s="15"/>
    </row>
    <row r="369">
      <c r="A369" s="2">
        <v>24883.0</v>
      </c>
      <c r="B369" s="1" t="s">
        <v>63</v>
      </c>
      <c r="C369" s="2">
        <v>0.02</v>
      </c>
      <c r="D369" s="2">
        <v>48.91</v>
      </c>
      <c r="E369" s="2">
        <v>669.0</v>
      </c>
      <c r="F369" s="1" t="s">
        <v>644</v>
      </c>
      <c r="G369" s="1" t="s">
        <v>51</v>
      </c>
      <c r="H369" s="1" t="s">
        <v>23</v>
      </c>
      <c r="I369" s="1" t="s">
        <v>93</v>
      </c>
      <c r="J369" s="1" t="s">
        <v>647</v>
      </c>
      <c r="K369" s="19" t="s">
        <v>68</v>
      </c>
      <c r="L369" s="20" t="s">
        <v>76</v>
      </c>
      <c r="M369" s="21">
        <f t="shared" si="1"/>
        <v>5</v>
      </c>
      <c r="N369" s="2">
        <v>32.86</v>
      </c>
      <c r="O369" s="2">
        <v>2.0</v>
      </c>
      <c r="P369" s="2">
        <v>101.06</v>
      </c>
      <c r="Q369" s="2">
        <v>88475.0</v>
      </c>
      <c r="R369" s="15" t="b">
        <f>ISNUMBER(MATCH(Q369,'Returned order'!A:A,0))</f>
        <v>0</v>
      </c>
      <c r="S369" s="22">
        <v>42083.0</v>
      </c>
      <c r="T369" s="15"/>
      <c r="U369" s="15"/>
      <c r="V369" s="15"/>
    </row>
    <row r="370">
      <c r="A370" s="2">
        <v>18808.0</v>
      </c>
      <c r="B370" s="1" t="s">
        <v>170</v>
      </c>
      <c r="C370" s="2">
        <v>0.08</v>
      </c>
      <c r="D370" s="2">
        <v>296.18</v>
      </c>
      <c r="E370" s="2">
        <v>670.0</v>
      </c>
      <c r="F370" s="1" t="s">
        <v>648</v>
      </c>
      <c r="G370" s="1" t="s">
        <v>51</v>
      </c>
      <c r="H370" s="1" t="s">
        <v>37</v>
      </c>
      <c r="I370" s="1" t="s">
        <v>73</v>
      </c>
      <c r="J370" s="1" t="s">
        <v>248</v>
      </c>
      <c r="K370" s="19" t="s">
        <v>229</v>
      </c>
      <c r="L370" s="20" t="s">
        <v>70</v>
      </c>
      <c r="M370" s="21">
        <f t="shared" si="1"/>
        <v>4</v>
      </c>
      <c r="N370" s="2">
        <v>-187.222</v>
      </c>
      <c r="O370" s="2">
        <v>5.0</v>
      </c>
      <c r="P370" s="2">
        <v>1429.81</v>
      </c>
      <c r="Q370" s="2">
        <v>88474.0</v>
      </c>
      <c r="R370" s="15" t="b">
        <f>ISNUMBER(MATCH(Q370,'Returned order'!A:A,0))</f>
        <v>0</v>
      </c>
      <c r="S370" s="22">
        <v>42068.0</v>
      </c>
      <c r="T370" s="15"/>
      <c r="U370" s="15"/>
      <c r="V370" s="15"/>
    </row>
    <row r="371">
      <c r="A371" s="2">
        <v>19423.0</v>
      </c>
      <c r="B371" s="1" t="s">
        <v>170</v>
      </c>
      <c r="C371" s="2">
        <v>0.07</v>
      </c>
      <c r="D371" s="2">
        <v>2.88</v>
      </c>
      <c r="E371" s="2">
        <v>672.0</v>
      </c>
      <c r="F371" s="1" t="s">
        <v>649</v>
      </c>
      <c r="G371" s="1" t="s">
        <v>66</v>
      </c>
      <c r="H371" s="1" t="s">
        <v>23</v>
      </c>
      <c r="I371" s="1" t="s">
        <v>29</v>
      </c>
      <c r="J371" s="1" t="s">
        <v>650</v>
      </c>
      <c r="K371" s="19" t="s">
        <v>68</v>
      </c>
      <c r="L371" s="20" t="s">
        <v>70</v>
      </c>
      <c r="M371" s="21">
        <f t="shared" si="1"/>
        <v>4</v>
      </c>
      <c r="N371" s="2">
        <v>9.59</v>
      </c>
      <c r="O371" s="2">
        <v>12.0</v>
      </c>
      <c r="P371" s="2">
        <v>34.97</v>
      </c>
      <c r="Q371" s="2">
        <v>88173.0</v>
      </c>
      <c r="R371" s="15" t="b">
        <f>ISNUMBER(MATCH(Q371,'Returned order'!A:A,0))</f>
        <v>0</v>
      </c>
      <c r="S371" s="22">
        <v>42040.0</v>
      </c>
      <c r="T371" s="15"/>
      <c r="U371" s="15"/>
      <c r="V371" s="15"/>
    </row>
    <row r="372">
      <c r="A372" s="2">
        <v>19424.0</v>
      </c>
      <c r="B372" s="1" t="s">
        <v>170</v>
      </c>
      <c r="C372" s="2">
        <v>0.1</v>
      </c>
      <c r="D372" s="2">
        <v>195.99</v>
      </c>
      <c r="E372" s="2">
        <v>672.0</v>
      </c>
      <c r="F372" s="1" t="s">
        <v>649</v>
      </c>
      <c r="G372" s="1" t="s">
        <v>66</v>
      </c>
      <c r="H372" s="1" t="s">
        <v>46</v>
      </c>
      <c r="I372" s="1" t="s">
        <v>85</v>
      </c>
      <c r="J372" s="1" t="s">
        <v>651</v>
      </c>
      <c r="K372" s="19" t="s">
        <v>68</v>
      </c>
      <c r="L372" s="20" t="s">
        <v>70</v>
      </c>
      <c r="M372" s="21">
        <f t="shared" si="1"/>
        <v>4</v>
      </c>
      <c r="N372" s="2">
        <v>-655.424</v>
      </c>
      <c r="O372" s="2">
        <v>2.0</v>
      </c>
      <c r="P372" s="2">
        <v>308.86</v>
      </c>
      <c r="Q372" s="2">
        <v>88173.0</v>
      </c>
      <c r="R372" s="15" t="b">
        <f>ISNUMBER(MATCH(Q372,'Returned order'!A:A,0))</f>
        <v>0</v>
      </c>
      <c r="S372" s="22">
        <v>42040.0</v>
      </c>
      <c r="T372" s="15"/>
      <c r="U372" s="15"/>
      <c r="V372" s="15"/>
    </row>
    <row r="373">
      <c r="A373" s="2">
        <v>25059.0</v>
      </c>
      <c r="B373" s="1" t="s">
        <v>58</v>
      </c>
      <c r="C373" s="2">
        <v>0.06</v>
      </c>
      <c r="D373" s="2">
        <v>161.55</v>
      </c>
      <c r="E373" s="2">
        <v>674.0</v>
      </c>
      <c r="F373" s="1" t="s">
        <v>652</v>
      </c>
      <c r="G373" s="1" t="s">
        <v>66</v>
      </c>
      <c r="H373" s="1" t="s">
        <v>23</v>
      </c>
      <c r="I373" s="1" t="s">
        <v>120</v>
      </c>
      <c r="J373" s="1" t="s">
        <v>250</v>
      </c>
      <c r="K373" s="19" t="s">
        <v>68</v>
      </c>
      <c r="L373" s="20" t="s">
        <v>76</v>
      </c>
      <c r="M373" s="21">
        <f t="shared" si="1"/>
        <v>5</v>
      </c>
      <c r="N373" s="2">
        <v>-7.58</v>
      </c>
      <c r="O373" s="2">
        <v>3.0</v>
      </c>
      <c r="P373" s="2">
        <v>485.01</v>
      </c>
      <c r="Q373" s="2">
        <v>88174.0</v>
      </c>
      <c r="R373" s="15" t="b">
        <f>ISNUMBER(MATCH(Q373,'Returned order'!A:A,0))</f>
        <v>0</v>
      </c>
      <c r="S373" s="22">
        <v>42006.0</v>
      </c>
      <c r="T373" s="15"/>
      <c r="U373" s="15"/>
      <c r="V373" s="15"/>
    </row>
    <row r="374">
      <c r="A374" s="2">
        <v>19326.0</v>
      </c>
      <c r="B374" s="1" t="s">
        <v>63</v>
      </c>
      <c r="C374" s="2">
        <v>0.04</v>
      </c>
      <c r="D374" s="2">
        <v>15.42</v>
      </c>
      <c r="E374" s="2">
        <v>678.0</v>
      </c>
      <c r="F374" s="1" t="s">
        <v>653</v>
      </c>
      <c r="G374" s="1" t="s">
        <v>32</v>
      </c>
      <c r="H374" s="1" t="s">
        <v>23</v>
      </c>
      <c r="I374" s="1" t="s">
        <v>120</v>
      </c>
      <c r="J374" s="1" t="s">
        <v>401</v>
      </c>
      <c r="K374" s="19" t="s">
        <v>229</v>
      </c>
      <c r="L374" s="20" t="s">
        <v>35</v>
      </c>
      <c r="M374" s="21">
        <f t="shared" si="1"/>
        <v>3</v>
      </c>
      <c r="N374" s="2">
        <v>-109.704</v>
      </c>
      <c r="O374" s="2">
        <v>5.0</v>
      </c>
      <c r="P374" s="2">
        <v>81.14</v>
      </c>
      <c r="Q374" s="2">
        <v>88889.0</v>
      </c>
      <c r="R374" s="15" t="b">
        <f>ISNUMBER(MATCH(Q374,'Returned order'!A:A,0))</f>
        <v>0</v>
      </c>
      <c r="S374" s="22">
        <v>42116.0</v>
      </c>
      <c r="T374" s="15"/>
      <c r="U374" s="15"/>
      <c r="V374" s="15"/>
    </row>
    <row r="375">
      <c r="A375" s="2">
        <v>21609.0</v>
      </c>
      <c r="B375" s="1" t="s">
        <v>63</v>
      </c>
      <c r="C375" s="2">
        <v>0.01</v>
      </c>
      <c r="D375" s="2">
        <v>3.95</v>
      </c>
      <c r="E375" s="2">
        <v>679.0</v>
      </c>
      <c r="F375" s="1" t="s">
        <v>654</v>
      </c>
      <c r="G375" s="1" t="s">
        <v>32</v>
      </c>
      <c r="H375" s="1" t="s">
        <v>23</v>
      </c>
      <c r="I375" s="1" t="s">
        <v>151</v>
      </c>
      <c r="J375" s="1" t="s">
        <v>655</v>
      </c>
      <c r="K375" s="19" t="s">
        <v>34</v>
      </c>
      <c r="L375" s="20" t="s">
        <v>35</v>
      </c>
      <c r="M375" s="21">
        <f t="shared" si="1"/>
        <v>3</v>
      </c>
      <c r="N375" s="2">
        <v>-19.93</v>
      </c>
      <c r="O375" s="2">
        <v>2.0</v>
      </c>
      <c r="P375" s="2">
        <v>10.11</v>
      </c>
      <c r="Q375" s="2">
        <v>88890.0</v>
      </c>
      <c r="R375" s="15" t="b">
        <f>ISNUMBER(MATCH(Q375,'Returned order'!A:A,0))</f>
        <v>0</v>
      </c>
      <c r="S375" s="22">
        <v>42067.0</v>
      </c>
      <c r="T375" s="15"/>
      <c r="U375" s="15"/>
      <c r="V375" s="15"/>
    </row>
    <row r="376">
      <c r="A376" s="2">
        <v>21610.0</v>
      </c>
      <c r="B376" s="1" t="s">
        <v>63</v>
      </c>
      <c r="C376" s="2">
        <v>0.02</v>
      </c>
      <c r="D376" s="2">
        <v>367.99</v>
      </c>
      <c r="E376" s="2">
        <v>679.0</v>
      </c>
      <c r="F376" s="1" t="s">
        <v>654</v>
      </c>
      <c r="G376" s="1" t="s">
        <v>32</v>
      </c>
      <c r="H376" s="1" t="s">
        <v>23</v>
      </c>
      <c r="I376" s="1" t="s">
        <v>24</v>
      </c>
      <c r="J376" s="1" t="s">
        <v>656</v>
      </c>
      <c r="K376" s="19" t="s">
        <v>34</v>
      </c>
      <c r="L376" s="20" t="s">
        <v>35</v>
      </c>
      <c r="M376" s="21">
        <f t="shared" si="1"/>
        <v>3</v>
      </c>
      <c r="N376" s="2">
        <v>4568.6073</v>
      </c>
      <c r="O376" s="2">
        <v>17.0</v>
      </c>
      <c r="P376" s="2">
        <v>6621.17</v>
      </c>
      <c r="Q376" s="2">
        <v>88890.0</v>
      </c>
      <c r="R376" s="15" t="b">
        <f>ISNUMBER(MATCH(Q376,'Returned order'!A:A,0))</f>
        <v>0</v>
      </c>
      <c r="S376" s="22">
        <v>42067.0</v>
      </c>
      <c r="T376" s="15"/>
      <c r="U376" s="15"/>
      <c r="V376" s="15"/>
    </row>
    <row r="377">
      <c r="A377" s="2">
        <v>21612.0</v>
      </c>
      <c r="B377" s="1" t="s">
        <v>63</v>
      </c>
      <c r="C377" s="2">
        <v>0.04</v>
      </c>
      <c r="D377" s="2">
        <v>95.99</v>
      </c>
      <c r="E377" s="2">
        <v>680.0</v>
      </c>
      <c r="F377" s="1" t="s">
        <v>657</v>
      </c>
      <c r="G377" s="1" t="s">
        <v>32</v>
      </c>
      <c r="H377" s="1" t="s">
        <v>46</v>
      </c>
      <c r="I377" s="1" t="s">
        <v>85</v>
      </c>
      <c r="J377" s="1" t="s">
        <v>295</v>
      </c>
      <c r="K377" s="19" t="s">
        <v>34</v>
      </c>
      <c r="L377" s="20" t="s">
        <v>35</v>
      </c>
      <c r="M377" s="21">
        <f t="shared" si="1"/>
        <v>3</v>
      </c>
      <c r="N377" s="2">
        <v>-258.225</v>
      </c>
      <c r="O377" s="2">
        <v>3.0</v>
      </c>
      <c r="P377" s="2">
        <v>253.78</v>
      </c>
      <c r="Q377" s="2">
        <v>88890.0</v>
      </c>
      <c r="R377" s="15" t="b">
        <f>ISNUMBER(MATCH(Q377,'Returned order'!A:A,0))</f>
        <v>0</v>
      </c>
      <c r="S377" s="22">
        <v>42067.0</v>
      </c>
      <c r="T377" s="15"/>
      <c r="U377" s="15"/>
      <c r="V377" s="15"/>
    </row>
    <row r="378">
      <c r="A378" s="2">
        <v>18555.0</v>
      </c>
      <c r="B378" s="1" t="s">
        <v>63</v>
      </c>
      <c r="C378" s="2">
        <v>0.06</v>
      </c>
      <c r="D378" s="2">
        <v>17.67</v>
      </c>
      <c r="E378" s="2">
        <v>683.0</v>
      </c>
      <c r="F378" s="1" t="s">
        <v>658</v>
      </c>
      <c r="G378" s="1" t="s">
        <v>66</v>
      </c>
      <c r="H378" s="1" t="s">
        <v>37</v>
      </c>
      <c r="I378" s="1" t="s">
        <v>42</v>
      </c>
      <c r="J378" s="1" t="s">
        <v>659</v>
      </c>
      <c r="K378" s="19" t="s">
        <v>68</v>
      </c>
      <c r="L378" s="20" t="s">
        <v>57</v>
      </c>
      <c r="M378" s="21">
        <f t="shared" si="1"/>
        <v>2</v>
      </c>
      <c r="N378" s="2">
        <v>38.06</v>
      </c>
      <c r="O378" s="2">
        <v>4.0</v>
      </c>
      <c r="P378" s="2">
        <v>69.96</v>
      </c>
      <c r="Q378" s="2">
        <v>87765.0</v>
      </c>
      <c r="R378" s="15" t="b">
        <f>ISNUMBER(MATCH(Q378,'Returned order'!A:A,0))</f>
        <v>0</v>
      </c>
      <c r="S378" s="22">
        <v>42101.0</v>
      </c>
      <c r="T378" s="15"/>
      <c r="U378" s="15"/>
      <c r="V378" s="15"/>
    </row>
    <row r="379">
      <c r="A379" s="2">
        <v>21411.0</v>
      </c>
      <c r="B379" s="1" t="s">
        <v>58</v>
      </c>
      <c r="C379" s="2">
        <v>0.07</v>
      </c>
      <c r="D379" s="2">
        <v>279.48</v>
      </c>
      <c r="E379" s="2">
        <v>688.0</v>
      </c>
      <c r="F379" s="1" t="s">
        <v>660</v>
      </c>
      <c r="G379" s="1" t="s">
        <v>66</v>
      </c>
      <c r="H379" s="1" t="s">
        <v>23</v>
      </c>
      <c r="I379" s="1" t="s">
        <v>120</v>
      </c>
      <c r="J379" s="1" t="s">
        <v>661</v>
      </c>
      <c r="K379" s="19" t="s">
        <v>68</v>
      </c>
      <c r="L379" s="20" t="s">
        <v>53</v>
      </c>
      <c r="M379" s="21">
        <f t="shared" si="1"/>
        <v>6</v>
      </c>
      <c r="N379" s="2">
        <v>-207.28</v>
      </c>
      <c r="O379" s="2">
        <v>10.0</v>
      </c>
      <c r="P379" s="2">
        <v>2716.09</v>
      </c>
      <c r="Q379" s="2">
        <v>88503.0</v>
      </c>
      <c r="R379" s="15" t="b">
        <f>ISNUMBER(MATCH(Q379,'Returned order'!A:A,0))</f>
        <v>0</v>
      </c>
      <c r="S379" s="22">
        <v>42140.0</v>
      </c>
      <c r="T379" s="15"/>
      <c r="U379" s="15"/>
      <c r="V379" s="15"/>
    </row>
    <row r="380">
      <c r="A380" s="2">
        <v>19325.0</v>
      </c>
      <c r="B380" s="1" t="s">
        <v>170</v>
      </c>
      <c r="C380" s="2">
        <v>0.06</v>
      </c>
      <c r="D380" s="2">
        <v>4.18</v>
      </c>
      <c r="E380" s="2">
        <v>688.0</v>
      </c>
      <c r="F380" s="1" t="s">
        <v>660</v>
      </c>
      <c r="G380" s="1" t="s">
        <v>66</v>
      </c>
      <c r="H380" s="1" t="s">
        <v>23</v>
      </c>
      <c r="I380" s="1" t="s">
        <v>24</v>
      </c>
      <c r="J380" s="1" t="s">
        <v>662</v>
      </c>
      <c r="K380" s="19" t="s">
        <v>68</v>
      </c>
      <c r="L380" s="20" t="s">
        <v>76</v>
      </c>
      <c r="M380" s="21">
        <f t="shared" si="1"/>
        <v>5</v>
      </c>
      <c r="N380" s="2">
        <v>-12.719</v>
      </c>
      <c r="O380" s="2">
        <v>5.0</v>
      </c>
      <c r="P380" s="2">
        <v>21.34</v>
      </c>
      <c r="Q380" s="2">
        <v>88504.0</v>
      </c>
      <c r="R380" s="15" t="b">
        <f>ISNUMBER(MATCH(Q380,'Returned order'!A:A,0))</f>
        <v>0</v>
      </c>
      <c r="S380" s="22">
        <v>42069.0</v>
      </c>
      <c r="T380" s="15"/>
      <c r="U380" s="15"/>
      <c r="V380" s="15"/>
    </row>
    <row r="381">
      <c r="A381" s="2">
        <v>26321.0</v>
      </c>
      <c r="B381" s="1" t="s">
        <v>63</v>
      </c>
      <c r="C381" s="2">
        <v>0.07</v>
      </c>
      <c r="D381" s="2">
        <v>1.7</v>
      </c>
      <c r="E381" s="2">
        <v>689.0</v>
      </c>
      <c r="F381" s="1" t="s">
        <v>663</v>
      </c>
      <c r="G381" s="1" t="s">
        <v>66</v>
      </c>
      <c r="H381" s="1" t="s">
        <v>46</v>
      </c>
      <c r="I381" s="1" t="s">
        <v>47</v>
      </c>
      <c r="J381" s="1" t="s">
        <v>664</v>
      </c>
      <c r="K381" s="19" t="s">
        <v>68</v>
      </c>
      <c r="L381" s="20" t="s">
        <v>35</v>
      </c>
      <c r="M381" s="21">
        <f t="shared" si="1"/>
        <v>3</v>
      </c>
      <c r="N381" s="2">
        <v>-51.42</v>
      </c>
      <c r="O381" s="2">
        <v>10.0</v>
      </c>
      <c r="P381" s="2">
        <v>17.42</v>
      </c>
      <c r="Q381" s="2">
        <v>88502.0</v>
      </c>
      <c r="R381" s="15" t="b">
        <f>ISNUMBER(MATCH(Q381,'Returned order'!A:A,0))</f>
        <v>0</v>
      </c>
      <c r="S381" s="22">
        <v>42039.0</v>
      </c>
      <c r="T381" s="15"/>
      <c r="U381" s="15"/>
      <c r="V381" s="15"/>
    </row>
    <row r="382">
      <c r="A382" s="2">
        <v>19933.0</v>
      </c>
      <c r="B382" s="1" t="s">
        <v>28</v>
      </c>
      <c r="C382" s="2">
        <v>0.09</v>
      </c>
      <c r="D382" s="2">
        <v>6.48</v>
      </c>
      <c r="E382" s="2">
        <v>691.0</v>
      </c>
      <c r="F382" s="1" t="s">
        <v>665</v>
      </c>
      <c r="G382" s="1" t="s">
        <v>51</v>
      </c>
      <c r="H382" s="1" t="s">
        <v>23</v>
      </c>
      <c r="I382" s="1" t="s">
        <v>93</v>
      </c>
      <c r="J382" s="1" t="s">
        <v>666</v>
      </c>
      <c r="K382" s="19" t="s">
        <v>34</v>
      </c>
      <c r="L382" s="20" t="s">
        <v>53</v>
      </c>
      <c r="M382" s="21">
        <f t="shared" si="1"/>
        <v>6</v>
      </c>
      <c r="N382" s="2">
        <v>-88.6</v>
      </c>
      <c r="O382" s="2">
        <v>8.0</v>
      </c>
      <c r="P382" s="2">
        <v>49.81</v>
      </c>
      <c r="Q382" s="2">
        <v>89915.0</v>
      </c>
      <c r="R382" s="15" t="b">
        <f>ISNUMBER(MATCH(Q382,'Returned order'!A:A,0))</f>
        <v>0</v>
      </c>
      <c r="S382" s="22">
        <v>42084.0</v>
      </c>
      <c r="T382" s="15"/>
      <c r="U382" s="15"/>
      <c r="V382" s="15"/>
    </row>
    <row r="383">
      <c r="A383" s="2">
        <v>19400.0</v>
      </c>
      <c r="B383" s="1" t="s">
        <v>170</v>
      </c>
      <c r="C383" s="2">
        <v>0.02</v>
      </c>
      <c r="D383" s="2">
        <v>500.98</v>
      </c>
      <c r="E383" s="2">
        <v>693.0</v>
      </c>
      <c r="F383" s="1" t="s">
        <v>667</v>
      </c>
      <c r="G383" s="1" t="s">
        <v>66</v>
      </c>
      <c r="H383" s="1" t="s">
        <v>37</v>
      </c>
      <c r="I383" s="1" t="s">
        <v>55</v>
      </c>
      <c r="J383" s="1" t="s">
        <v>668</v>
      </c>
      <c r="K383" s="19" t="s">
        <v>34</v>
      </c>
      <c r="L383" s="20" t="s">
        <v>35</v>
      </c>
      <c r="M383" s="21">
        <f t="shared" si="1"/>
        <v>3</v>
      </c>
      <c r="N383" s="2">
        <v>2568.4629</v>
      </c>
      <c r="O383" s="2">
        <v>7.0</v>
      </c>
      <c r="P383" s="2">
        <v>3722.41</v>
      </c>
      <c r="Q383" s="2">
        <v>87811.0</v>
      </c>
      <c r="R383" s="15" t="b">
        <f>ISNUMBER(MATCH(Q383,'Returned order'!A:A,0))</f>
        <v>0</v>
      </c>
      <c r="S383" s="22">
        <v>42088.0</v>
      </c>
      <c r="T383" s="15"/>
      <c r="U383" s="15"/>
      <c r="V383" s="15"/>
    </row>
    <row r="384">
      <c r="A384" s="2">
        <v>18736.0</v>
      </c>
      <c r="B384" s="1" t="s">
        <v>170</v>
      </c>
      <c r="C384" s="2">
        <v>0.09</v>
      </c>
      <c r="D384" s="2">
        <v>5.34</v>
      </c>
      <c r="E384" s="2">
        <v>693.0</v>
      </c>
      <c r="F384" s="1" t="s">
        <v>667</v>
      </c>
      <c r="G384" s="1" t="s">
        <v>66</v>
      </c>
      <c r="H384" s="1" t="s">
        <v>23</v>
      </c>
      <c r="I384" s="1" t="s">
        <v>24</v>
      </c>
      <c r="J384" s="1" t="s">
        <v>669</v>
      </c>
      <c r="K384" s="19" t="s">
        <v>34</v>
      </c>
      <c r="L384" s="20" t="s">
        <v>61</v>
      </c>
      <c r="M384" s="21">
        <f t="shared" si="1"/>
        <v>7</v>
      </c>
      <c r="N384" s="2">
        <v>9.486</v>
      </c>
      <c r="O384" s="2">
        <v>17.0</v>
      </c>
      <c r="P384" s="2">
        <v>95.1</v>
      </c>
      <c r="Q384" s="2">
        <v>87812.0</v>
      </c>
      <c r="R384" s="15" t="b">
        <f>ISNUMBER(MATCH(Q384,'Returned order'!A:A,0))</f>
        <v>0</v>
      </c>
      <c r="S384" s="22">
        <v>42071.0</v>
      </c>
      <c r="T384" s="15"/>
      <c r="U384" s="15"/>
      <c r="V384" s="15"/>
    </row>
    <row r="385">
      <c r="A385" s="2">
        <v>18737.0</v>
      </c>
      <c r="B385" s="1" t="s">
        <v>170</v>
      </c>
      <c r="C385" s="2">
        <v>0.07</v>
      </c>
      <c r="D385" s="2">
        <v>140.98</v>
      </c>
      <c r="E385" s="2">
        <v>693.0</v>
      </c>
      <c r="F385" s="1" t="s">
        <v>667</v>
      </c>
      <c r="G385" s="1" t="s">
        <v>66</v>
      </c>
      <c r="H385" s="1" t="s">
        <v>37</v>
      </c>
      <c r="I385" s="1" t="s">
        <v>55</v>
      </c>
      <c r="J385" s="1" t="s">
        <v>670</v>
      </c>
      <c r="K385" s="19" t="s">
        <v>34</v>
      </c>
      <c r="L385" s="20" t="s">
        <v>61</v>
      </c>
      <c r="M385" s="21">
        <f t="shared" si="1"/>
        <v>7</v>
      </c>
      <c r="N385" s="2">
        <v>-263.65</v>
      </c>
      <c r="O385" s="2">
        <v>5.0</v>
      </c>
      <c r="P385" s="2">
        <v>734.74</v>
      </c>
      <c r="Q385" s="2">
        <v>87812.0</v>
      </c>
      <c r="R385" s="15" t="b">
        <f>ISNUMBER(MATCH(Q385,'Returned order'!A:A,0))</f>
        <v>0</v>
      </c>
      <c r="S385" s="22">
        <v>42071.0</v>
      </c>
      <c r="T385" s="15"/>
      <c r="U385" s="15"/>
      <c r="V385" s="15"/>
    </row>
    <row r="386">
      <c r="A386" s="2">
        <v>18738.0</v>
      </c>
      <c r="B386" s="1" t="s">
        <v>170</v>
      </c>
      <c r="C386" s="2">
        <v>0.06</v>
      </c>
      <c r="D386" s="2">
        <v>205.99</v>
      </c>
      <c r="E386" s="2">
        <v>693.0</v>
      </c>
      <c r="F386" s="1" t="s">
        <v>667</v>
      </c>
      <c r="G386" s="1" t="s">
        <v>66</v>
      </c>
      <c r="H386" s="1" t="s">
        <v>46</v>
      </c>
      <c r="I386" s="1" t="s">
        <v>85</v>
      </c>
      <c r="J386" s="1" t="s">
        <v>671</v>
      </c>
      <c r="K386" s="19" t="s">
        <v>34</v>
      </c>
      <c r="L386" s="20" t="s">
        <v>61</v>
      </c>
      <c r="M386" s="21">
        <f t="shared" si="1"/>
        <v>7</v>
      </c>
      <c r="N386" s="2">
        <v>890.181</v>
      </c>
      <c r="O386" s="2">
        <v>11.0</v>
      </c>
      <c r="P386" s="2">
        <v>1882.87</v>
      </c>
      <c r="Q386" s="2">
        <v>87812.0</v>
      </c>
      <c r="R386" s="15" t="b">
        <f>ISNUMBER(MATCH(Q386,'Returned order'!A:A,0))</f>
        <v>0</v>
      </c>
      <c r="S386" s="22">
        <v>42071.0</v>
      </c>
      <c r="T386" s="15"/>
      <c r="U386" s="15"/>
      <c r="V386" s="15"/>
    </row>
    <row r="387">
      <c r="A387" s="2">
        <v>18810.0</v>
      </c>
      <c r="B387" s="1" t="s">
        <v>28</v>
      </c>
      <c r="C387" s="2">
        <v>0.0</v>
      </c>
      <c r="D387" s="2">
        <v>230.98</v>
      </c>
      <c r="E387" s="2">
        <v>693.0</v>
      </c>
      <c r="F387" s="1" t="s">
        <v>667</v>
      </c>
      <c r="G387" s="1" t="s">
        <v>66</v>
      </c>
      <c r="H387" s="1" t="s">
        <v>37</v>
      </c>
      <c r="I387" s="1" t="s">
        <v>73</v>
      </c>
      <c r="J387" s="1" t="s">
        <v>672</v>
      </c>
      <c r="K387" s="19" t="s">
        <v>34</v>
      </c>
      <c r="L387" s="20" t="s">
        <v>57</v>
      </c>
      <c r="M387" s="21">
        <f t="shared" si="1"/>
        <v>2</v>
      </c>
      <c r="N387" s="2">
        <v>6095.8602</v>
      </c>
      <c r="O387" s="2">
        <v>36.0</v>
      </c>
      <c r="P387" s="2">
        <v>8834.58</v>
      </c>
      <c r="Q387" s="2">
        <v>87813.0</v>
      </c>
      <c r="R387" s="15" t="b">
        <f>ISNUMBER(MATCH(Q387,'Returned order'!A:A,0))</f>
        <v>0</v>
      </c>
      <c r="S387" s="22">
        <v>42129.0</v>
      </c>
      <c r="T387" s="15"/>
      <c r="U387" s="15"/>
      <c r="V387" s="15"/>
    </row>
    <row r="388">
      <c r="A388" s="2">
        <v>22613.0</v>
      </c>
      <c r="B388" s="1" t="s">
        <v>63</v>
      </c>
      <c r="C388" s="2">
        <v>0.06</v>
      </c>
      <c r="D388" s="2">
        <v>8.12</v>
      </c>
      <c r="E388" s="2">
        <v>696.0</v>
      </c>
      <c r="F388" s="1" t="s">
        <v>673</v>
      </c>
      <c r="G388" s="1" t="s">
        <v>32</v>
      </c>
      <c r="H388" s="1" t="s">
        <v>46</v>
      </c>
      <c r="I388" s="1" t="s">
        <v>47</v>
      </c>
      <c r="J388" s="1" t="s">
        <v>674</v>
      </c>
      <c r="K388" s="19" t="s">
        <v>68</v>
      </c>
      <c r="L388" s="20" t="s">
        <v>76</v>
      </c>
      <c r="M388" s="21">
        <f t="shared" si="1"/>
        <v>5</v>
      </c>
      <c r="N388" s="2">
        <v>-82.83</v>
      </c>
      <c r="O388" s="2">
        <v>10.0</v>
      </c>
      <c r="P388" s="2">
        <v>78.54</v>
      </c>
      <c r="Q388" s="2">
        <v>89847.0</v>
      </c>
      <c r="R388" s="15" t="b">
        <f>ISNUMBER(MATCH(Q388,'Returned order'!A:A,0))</f>
        <v>0</v>
      </c>
      <c r="S388" s="22">
        <v>42090.0</v>
      </c>
      <c r="T388" s="15"/>
      <c r="U388" s="15"/>
      <c r="V388" s="15"/>
    </row>
    <row r="389">
      <c r="A389" s="2">
        <v>22614.0</v>
      </c>
      <c r="B389" s="1" t="s">
        <v>63</v>
      </c>
      <c r="C389" s="2">
        <v>0.05</v>
      </c>
      <c r="D389" s="2">
        <v>51.65</v>
      </c>
      <c r="E389" s="2">
        <v>696.0</v>
      </c>
      <c r="F389" s="1" t="s">
        <v>673</v>
      </c>
      <c r="G389" s="1" t="s">
        <v>32</v>
      </c>
      <c r="H389" s="1" t="s">
        <v>37</v>
      </c>
      <c r="I389" s="1" t="s">
        <v>42</v>
      </c>
      <c r="J389" s="1" t="s">
        <v>675</v>
      </c>
      <c r="K389" s="19" t="s">
        <v>68</v>
      </c>
      <c r="L389" s="20" t="s">
        <v>76</v>
      </c>
      <c r="M389" s="21">
        <f t="shared" si="1"/>
        <v>5</v>
      </c>
      <c r="N389" s="2">
        <v>25.04</v>
      </c>
      <c r="O389" s="2">
        <v>12.0</v>
      </c>
      <c r="P389" s="2">
        <v>605.1</v>
      </c>
      <c r="Q389" s="2">
        <v>89847.0</v>
      </c>
      <c r="R389" s="15" t="b">
        <f>ISNUMBER(MATCH(Q389,'Returned order'!A:A,0))</f>
        <v>0</v>
      </c>
      <c r="S389" s="22">
        <v>42090.0</v>
      </c>
      <c r="T389" s="15"/>
      <c r="U389" s="15"/>
      <c r="V389" s="15"/>
    </row>
    <row r="390">
      <c r="A390" s="2">
        <v>19225.0</v>
      </c>
      <c r="B390" s="1" t="s">
        <v>170</v>
      </c>
      <c r="C390" s="2">
        <v>0.1</v>
      </c>
      <c r="D390" s="2">
        <v>40.48</v>
      </c>
      <c r="E390" s="2">
        <v>696.0</v>
      </c>
      <c r="F390" s="1" t="s">
        <v>673</v>
      </c>
      <c r="G390" s="1" t="s">
        <v>32</v>
      </c>
      <c r="H390" s="1" t="s">
        <v>46</v>
      </c>
      <c r="I390" s="1" t="s">
        <v>47</v>
      </c>
      <c r="J390" s="1" t="s">
        <v>676</v>
      </c>
      <c r="K390" s="19" t="s">
        <v>68</v>
      </c>
      <c r="L390" s="20" t="s">
        <v>57</v>
      </c>
      <c r="M390" s="21">
        <f t="shared" si="1"/>
        <v>2</v>
      </c>
      <c r="N390" s="2">
        <v>-580.32</v>
      </c>
      <c r="O390" s="2">
        <v>9.0</v>
      </c>
      <c r="P390" s="2">
        <v>355.84</v>
      </c>
      <c r="Q390" s="2">
        <v>89848.0</v>
      </c>
      <c r="R390" s="15" t="b">
        <f>ISNUMBER(MATCH(Q390,'Returned order'!A:A,0))</f>
        <v>0</v>
      </c>
      <c r="S390" s="22">
        <v>42101.0</v>
      </c>
      <c r="T390" s="15"/>
      <c r="U390" s="15"/>
      <c r="V390" s="15"/>
    </row>
    <row r="391">
      <c r="A391" s="2">
        <v>22616.0</v>
      </c>
      <c r="B391" s="1" t="s">
        <v>63</v>
      </c>
      <c r="C391" s="2">
        <v>0.1</v>
      </c>
      <c r="D391" s="2">
        <v>175.99</v>
      </c>
      <c r="E391" s="2">
        <v>697.0</v>
      </c>
      <c r="F391" s="1" t="s">
        <v>677</v>
      </c>
      <c r="G391" s="1" t="s">
        <v>32</v>
      </c>
      <c r="H391" s="1" t="s">
        <v>46</v>
      </c>
      <c r="I391" s="1" t="s">
        <v>85</v>
      </c>
      <c r="J391" s="1">
        <v>2180.0</v>
      </c>
      <c r="K391" s="19" t="s">
        <v>68</v>
      </c>
      <c r="L391" s="20" t="s">
        <v>76</v>
      </c>
      <c r="M391" s="21">
        <f t="shared" si="1"/>
        <v>5</v>
      </c>
      <c r="N391" s="2">
        <v>928.9608</v>
      </c>
      <c r="O391" s="2">
        <v>10.0</v>
      </c>
      <c r="P391" s="2">
        <v>1346.32</v>
      </c>
      <c r="Q391" s="2">
        <v>89847.0</v>
      </c>
      <c r="R391" s="15" t="b">
        <f>ISNUMBER(MATCH(Q391,'Returned order'!A:A,0))</f>
        <v>0</v>
      </c>
      <c r="S391" s="22">
        <v>42090.0</v>
      </c>
      <c r="T391" s="15"/>
      <c r="U391" s="15"/>
      <c r="V391" s="15"/>
    </row>
    <row r="392">
      <c r="A392" s="2">
        <v>25480.0</v>
      </c>
      <c r="B392" s="1" t="s">
        <v>58</v>
      </c>
      <c r="C392" s="2">
        <v>0.08</v>
      </c>
      <c r="D392" s="2">
        <v>14.81</v>
      </c>
      <c r="E392" s="2">
        <v>697.0</v>
      </c>
      <c r="F392" s="1" t="s">
        <v>677</v>
      </c>
      <c r="G392" s="1" t="s">
        <v>32</v>
      </c>
      <c r="H392" s="1" t="s">
        <v>23</v>
      </c>
      <c r="I392" s="1" t="s">
        <v>151</v>
      </c>
      <c r="J392" s="1" t="s">
        <v>678</v>
      </c>
      <c r="K392" s="19" t="s">
        <v>68</v>
      </c>
      <c r="L392" s="20" t="s">
        <v>53</v>
      </c>
      <c r="M392" s="21">
        <f t="shared" si="1"/>
        <v>6</v>
      </c>
      <c r="N392" s="2">
        <v>-131.6172</v>
      </c>
      <c r="O392" s="2">
        <v>20.0</v>
      </c>
      <c r="P392" s="2">
        <v>292.18</v>
      </c>
      <c r="Q392" s="2">
        <v>89849.0</v>
      </c>
      <c r="R392" s="15" t="b">
        <f>ISNUMBER(MATCH(Q392,'Returned order'!A:A,0))</f>
        <v>0</v>
      </c>
      <c r="S392" s="22">
        <v>42042.0</v>
      </c>
      <c r="T392" s="15"/>
      <c r="U392" s="15"/>
      <c r="V392" s="15"/>
    </row>
    <row r="393">
      <c r="A393" s="2">
        <v>4613.0</v>
      </c>
      <c r="B393" s="1" t="s">
        <v>63</v>
      </c>
      <c r="C393" s="2">
        <v>0.06</v>
      </c>
      <c r="D393" s="2">
        <v>8.12</v>
      </c>
      <c r="E393" s="2">
        <v>698.0</v>
      </c>
      <c r="F393" s="1" t="s">
        <v>679</v>
      </c>
      <c r="G393" s="1" t="s">
        <v>32</v>
      </c>
      <c r="H393" s="1" t="s">
        <v>46</v>
      </c>
      <c r="I393" s="1" t="s">
        <v>47</v>
      </c>
      <c r="J393" s="1" t="s">
        <v>674</v>
      </c>
      <c r="K393" s="19" t="s">
        <v>34</v>
      </c>
      <c r="L393" s="20" t="s">
        <v>76</v>
      </c>
      <c r="M393" s="21">
        <f t="shared" si="1"/>
        <v>5</v>
      </c>
      <c r="N393" s="2">
        <v>-82.83</v>
      </c>
      <c r="O393" s="2">
        <v>41.0</v>
      </c>
      <c r="P393" s="2">
        <v>322.03</v>
      </c>
      <c r="Q393" s="2">
        <v>32869.0</v>
      </c>
      <c r="R393" s="15" t="b">
        <f>ISNUMBER(MATCH(Q393,'Returned order'!A:A,0))</f>
        <v>0</v>
      </c>
      <c r="S393" s="22">
        <v>42090.0</v>
      </c>
      <c r="T393" s="15"/>
      <c r="U393" s="15"/>
      <c r="V393" s="15"/>
    </row>
    <row r="394">
      <c r="A394" s="2">
        <v>4614.0</v>
      </c>
      <c r="B394" s="1" t="s">
        <v>63</v>
      </c>
      <c r="C394" s="2">
        <v>0.05</v>
      </c>
      <c r="D394" s="2">
        <v>51.65</v>
      </c>
      <c r="E394" s="2">
        <v>698.0</v>
      </c>
      <c r="F394" s="1" t="s">
        <v>679</v>
      </c>
      <c r="G394" s="1" t="s">
        <v>32</v>
      </c>
      <c r="H394" s="1" t="s">
        <v>37</v>
      </c>
      <c r="I394" s="1" t="s">
        <v>42</v>
      </c>
      <c r="J394" s="1" t="s">
        <v>675</v>
      </c>
      <c r="K394" s="19" t="s">
        <v>34</v>
      </c>
      <c r="L394" s="20" t="s">
        <v>76</v>
      </c>
      <c r="M394" s="21">
        <f t="shared" si="1"/>
        <v>5</v>
      </c>
      <c r="N394" s="2">
        <v>25.04</v>
      </c>
      <c r="O394" s="2">
        <v>49.0</v>
      </c>
      <c r="P394" s="2">
        <v>2470.84</v>
      </c>
      <c r="Q394" s="2">
        <v>32869.0</v>
      </c>
      <c r="R394" s="15" t="b">
        <f>ISNUMBER(MATCH(Q394,'Returned order'!A:A,0))</f>
        <v>0</v>
      </c>
      <c r="S394" s="22">
        <v>42090.0</v>
      </c>
      <c r="T394" s="15"/>
      <c r="U394" s="15"/>
      <c r="V394" s="15"/>
    </row>
    <row r="395">
      <c r="A395" s="2">
        <v>4616.0</v>
      </c>
      <c r="B395" s="1" t="s">
        <v>63</v>
      </c>
      <c r="C395" s="2">
        <v>0.1</v>
      </c>
      <c r="D395" s="2">
        <v>175.99</v>
      </c>
      <c r="E395" s="2">
        <v>698.0</v>
      </c>
      <c r="F395" s="1" t="s">
        <v>679</v>
      </c>
      <c r="G395" s="1" t="s">
        <v>32</v>
      </c>
      <c r="H395" s="1" t="s">
        <v>46</v>
      </c>
      <c r="I395" s="1" t="s">
        <v>85</v>
      </c>
      <c r="J395" s="1">
        <v>2180.0</v>
      </c>
      <c r="K395" s="19" t="s">
        <v>34</v>
      </c>
      <c r="L395" s="20" t="s">
        <v>76</v>
      </c>
      <c r="M395" s="21">
        <f t="shared" si="1"/>
        <v>5</v>
      </c>
      <c r="N395" s="2">
        <v>930.987</v>
      </c>
      <c r="O395" s="2">
        <v>39.0</v>
      </c>
      <c r="P395" s="2">
        <v>5250.66</v>
      </c>
      <c r="Q395" s="2">
        <v>32869.0</v>
      </c>
      <c r="R395" s="15" t="b">
        <f>ISNUMBER(MATCH(Q395,'Returned order'!A:A,0))</f>
        <v>0</v>
      </c>
      <c r="S395" s="22">
        <v>42090.0</v>
      </c>
      <c r="T395" s="15"/>
      <c r="U395" s="15"/>
      <c r="V395" s="15"/>
    </row>
    <row r="396">
      <c r="A396" s="2">
        <v>1225.0</v>
      </c>
      <c r="B396" s="1" t="s">
        <v>170</v>
      </c>
      <c r="C396" s="2">
        <v>0.1</v>
      </c>
      <c r="D396" s="2">
        <v>40.48</v>
      </c>
      <c r="E396" s="2">
        <v>698.0</v>
      </c>
      <c r="F396" s="1" t="s">
        <v>679</v>
      </c>
      <c r="G396" s="1" t="s">
        <v>32</v>
      </c>
      <c r="H396" s="1" t="s">
        <v>46</v>
      </c>
      <c r="I396" s="1" t="s">
        <v>47</v>
      </c>
      <c r="J396" s="1" t="s">
        <v>676</v>
      </c>
      <c r="K396" s="19" t="s">
        <v>34</v>
      </c>
      <c r="L396" s="20" t="s">
        <v>57</v>
      </c>
      <c r="M396" s="21">
        <f t="shared" si="1"/>
        <v>2</v>
      </c>
      <c r="N396" s="2">
        <v>-580.32</v>
      </c>
      <c r="O396" s="2">
        <v>36.0</v>
      </c>
      <c r="P396" s="2">
        <v>1423.35</v>
      </c>
      <c r="Q396" s="2">
        <v>8994.0</v>
      </c>
      <c r="R396" s="15" t="b">
        <f>ISNUMBER(MATCH(Q396,'Returned order'!A:A,0))</f>
        <v>0</v>
      </c>
      <c r="S396" s="22">
        <v>42101.0</v>
      </c>
      <c r="T396" s="15"/>
      <c r="U396" s="15"/>
      <c r="V396" s="15"/>
    </row>
    <row r="397">
      <c r="A397" s="2">
        <v>7480.0</v>
      </c>
      <c r="B397" s="1" t="s">
        <v>58</v>
      </c>
      <c r="C397" s="2">
        <v>0.08</v>
      </c>
      <c r="D397" s="2">
        <v>14.81</v>
      </c>
      <c r="E397" s="2">
        <v>698.0</v>
      </c>
      <c r="F397" s="1" t="s">
        <v>679</v>
      </c>
      <c r="G397" s="1" t="s">
        <v>32</v>
      </c>
      <c r="H397" s="1" t="s">
        <v>23</v>
      </c>
      <c r="I397" s="1" t="s">
        <v>151</v>
      </c>
      <c r="J397" s="1" t="s">
        <v>678</v>
      </c>
      <c r="K397" s="19" t="s">
        <v>34</v>
      </c>
      <c r="L397" s="20" t="s">
        <v>53</v>
      </c>
      <c r="M397" s="21">
        <f t="shared" si="1"/>
        <v>6</v>
      </c>
      <c r="N397" s="2">
        <v>-253.11</v>
      </c>
      <c r="O397" s="2">
        <v>79.0</v>
      </c>
      <c r="P397" s="2">
        <v>1154.12</v>
      </c>
      <c r="Q397" s="2">
        <v>53410.0</v>
      </c>
      <c r="R397" s="15" t="b">
        <f>ISNUMBER(MATCH(Q397,'Returned order'!A:A,0))</f>
        <v>0</v>
      </c>
      <c r="S397" s="22">
        <v>42042.0</v>
      </c>
      <c r="T397" s="15"/>
      <c r="U397" s="15"/>
      <c r="V397" s="15"/>
    </row>
    <row r="398">
      <c r="A398" s="2">
        <v>6289.0</v>
      </c>
      <c r="B398" s="1" t="s">
        <v>63</v>
      </c>
      <c r="C398" s="2">
        <v>0.03</v>
      </c>
      <c r="D398" s="2">
        <v>5.28</v>
      </c>
      <c r="E398" s="2">
        <v>699.0</v>
      </c>
      <c r="F398" s="1" t="s">
        <v>680</v>
      </c>
      <c r="G398" s="1" t="s">
        <v>22</v>
      </c>
      <c r="H398" s="1" t="s">
        <v>23</v>
      </c>
      <c r="I398" s="1" t="s">
        <v>93</v>
      </c>
      <c r="J398" s="1" t="s">
        <v>681</v>
      </c>
      <c r="K398" s="19" t="s">
        <v>34</v>
      </c>
      <c r="L398" s="20" t="s">
        <v>70</v>
      </c>
      <c r="M398" s="21">
        <f t="shared" si="1"/>
        <v>4</v>
      </c>
      <c r="N398" s="2">
        <v>-16.67</v>
      </c>
      <c r="O398" s="2">
        <v>5.0</v>
      </c>
      <c r="P398" s="2">
        <v>32.5</v>
      </c>
      <c r="Q398" s="2">
        <v>44517.0</v>
      </c>
      <c r="R398" s="15" t="b">
        <f>ISNUMBER(MATCH(Q398,'Returned order'!A:A,0))</f>
        <v>0</v>
      </c>
      <c r="S398" s="22">
        <v>42117.0</v>
      </c>
      <c r="T398" s="15"/>
      <c r="U398" s="15"/>
      <c r="V398" s="15"/>
    </row>
    <row r="399">
      <c r="A399" s="2">
        <v>7733.0</v>
      </c>
      <c r="B399" s="1" t="s">
        <v>58</v>
      </c>
      <c r="C399" s="2">
        <v>0.02</v>
      </c>
      <c r="D399" s="2">
        <v>6.47</v>
      </c>
      <c r="E399" s="2">
        <v>699.0</v>
      </c>
      <c r="F399" s="1" t="s">
        <v>680</v>
      </c>
      <c r="G399" s="1" t="s">
        <v>22</v>
      </c>
      <c r="H399" s="1" t="s">
        <v>23</v>
      </c>
      <c r="I399" s="1" t="s">
        <v>29</v>
      </c>
      <c r="J399" s="1" t="s">
        <v>682</v>
      </c>
      <c r="K399" s="19" t="s">
        <v>34</v>
      </c>
      <c r="L399" s="20" t="s">
        <v>53</v>
      </c>
      <c r="M399" s="21">
        <f t="shared" si="1"/>
        <v>6</v>
      </c>
      <c r="N399" s="2">
        <v>40.2</v>
      </c>
      <c r="O399" s="2">
        <v>30.0</v>
      </c>
      <c r="P399" s="2">
        <v>193.95</v>
      </c>
      <c r="Q399" s="2">
        <v>55392.0</v>
      </c>
      <c r="R399" s="15" t="b">
        <f>ISNUMBER(MATCH(Q399,'Returned order'!A:A,0))</f>
        <v>0</v>
      </c>
      <c r="S399" s="22">
        <v>42161.0</v>
      </c>
      <c r="T399" s="15"/>
      <c r="U399" s="15"/>
      <c r="V399" s="15"/>
    </row>
    <row r="400">
      <c r="A400" s="2">
        <v>7734.0</v>
      </c>
      <c r="B400" s="1" t="s">
        <v>58</v>
      </c>
      <c r="C400" s="2">
        <v>0.07</v>
      </c>
      <c r="D400" s="2">
        <v>2.84</v>
      </c>
      <c r="E400" s="2">
        <v>699.0</v>
      </c>
      <c r="F400" s="1" t="s">
        <v>680</v>
      </c>
      <c r="G400" s="1" t="s">
        <v>22</v>
      </c>
      <c r="H400" s="1" t="s">
        <v>23</v>
      </c>
      <c r="I400" s="1" t="s">
        <v>29</v>
      </c>
      <c r="J400" s="1" t="s">
        <v>33</v>
      </c>
      <c r="K400" s="19" t="s">
        <v>34</v>
      </c>
      <c r="L400" s="20" t="s">
        <v>53</v>
      </c>
      <c r="M400" s="21">
        <f t="shared" si="1"/>
        <v>6</v>
      </c>
      <c r="N400" s="2">
        <v>3.21</v>
      </c>
      <c r="O400" s="2">
        <v>59.0</v>
      </c>
      <c r="P400" s="2">
        <v>158.8</v>
      </c>
      <c r="Q400" s="2">
        <v>55392.0</v>
      </c>
      <c r="R400" s="15" t="b">
        <f>ISNUMBER(MATCH(Q400,'Returned order'!A:A,0))</f>
        <v>0</v>
      </c>
      <c r="S400" s="22">
        <v>42161.0</v>
      </c>
      <c r="T400" s="15"/>
      <c r="U400" s="15"/>
      <c r="V400" s="15"/>
    </row>
    <row r="401">
      <c r="A401" s="2">
        <v>5140.0</v>
      </c>
      <c r="B401" s="1" t="s">
        <v>28</v>
      </c>
      <c r="C401" s="2">
        <v>0.01</v>
      </c>
      <c r="D401" s="2">
        <v>7.89</v>
      </c>
      <c r="E401" s="2">
        <v>699.0</v>
      </c>
      <c r="F401" s="1" t="s">
        <v>680</v>
      </c>
      <c r="G401" s="1" t="s">
        <v>22</v>
      </c>
      <c r="H401" s="1" t="s">
        <v>23</v>
      </c>
      <c r="I401" s="1" t="s">
        <v>81</v>
      </c>
      <c r="J401" s="1" t="s">
        <v>683</v>
      </c>
      <c r="K401" s="19" t="s">
        <v>34</v>
      </c>
      <c r="L401" s="20" t="s">
        <v>57</v>
      </c>
      <c r="M401" s="21">
        <f t="shared" si="1"/>
        <v>2</v>
      </c>
      <c r="N401" s="2">
        <v>38.7</v>
      </c>
      <c r="O401" s="2">
        <v>32.0</v>
      </c>
      <c r="P401" s="2">
        <v>274.26</v>
      </c>
      <c r="Q401" s="2">
        <v>36647.0</v>
      </c>
      <c r="R401" s="15" t="b">
        <f>ISNUMBER(MATCH(Q401,'Returned order'!A:A,0))</f>
        <v>0</v>
      </c>
      <c r="S401" s="22">
        <v>42185.0</v>
      </c>
      <c r="T401" s="15"/>
      <c r="U401" s="15"/>
      <c r="V401" s="15"/>
    </row>
    <row r="402">
      <c r="A402" s="2">
        <v>5141.0</v>
      </c>
      <c r="B402" s="1" t="s">
        <v>28</v>
      </c>
      <c r="C402" s="2">
        <v>0.09</v>
      </c>
      <c r="D402" s="2">
        <v>3.68</v>
      </c>
      <c r="E402" s="2">
        <v>699.0</v>
      </c>
      <c r="F402" s="1" t="s">
        <v>680</v>
      </c>
      <c r="G402" s="1" t="s">
        <v>22</v>
      </c>
      <c r="H402" s="1" t="s">
        <v>23</v>
      </c>
      <c r="I402" s="1" t="s">
        <v>257</v>
      </c>
      <c r="J402" s="1" t="s">
        <v>684</v>
      </c>
      <c r="K402" s="19" t="s">
        <v>34</v>
      </c>
      <c r="L402" s="20" t="s">
        <v>57</v>
      </c>
      <c r="M402" s="21">
        <f t="shared" si="1"/>
        <v>2</v>
      </c>
      <c r="N402" s="2">
        <v>-21.91</v>
      </c>
      <c r="O402" s="2">
        <v>24.0</v>
      </c>
      <c r="P402" s="2">
        <v>83.16</v>
      </c>
      <c r="Q402" s="2">
        <v>36647.0</v>
      </c>
      <c r="R402" s="15" t="b">
        <f>ISNUMBER(MATCH(Q402,'Returned order'!A:A,0))</f>
        <v>0</v>
      </c>
      <c r="S402" s="22">
        <v>42185.0</v>
      </c>
      <c r="T402" s="15"/>
      <c r="U402" s="15"/>
      <c r="V402" s="15"/>
    </row>
    <row r="403">
      <c r="A403" s="2">
        <v>5142.0</v>
      </c>
      <c r="B403" s="1" t="s">
        <v>28</v>
      </c>
      <c r="C403" s="2">
        <v>0.1</v>
      </c>
      <c r="D403" s="2">
        <v>9.71</v>
      </c>
      <c r="E403" s="2">
        <v>699.0</v>
      </c>
      <c r="F403" s="1" t="s">
        <v>680</v>
      </c>
      <c r="G403" s="1" t="s">
        <v>22</v>
      </c>
      <c r="H403" s="1" t="s">
        <v>23</v>
      </c>
      <c r="I403" s="1" t="s">
        <v>120</v>
      </c>
      <c r="J403" s="1" t="s">
        <v>463</v>
      </c>
      <c r="K403" s="19" t="s">
        <v>34</v>
      </c>
      <c r="L403" s="20" t="s">
        <v>57</v>
      </c>
      <c r="M403" s="21">
        <f t="shared" si="1"/>
        <v>2</v>
      </c>
      <c r="N403" s="2">
        <v>-119.77</v>
      </c>
      <c r="O403" s="2">
        <v>27.0</v>
      </c>
      <c r="P403" s="2">
        <v>261.93</v>
      </c>
      <c r="Q403" s="2">
        <v>36647.0</v>
      </c>
      <c r="R403" s="15" t="b">
        <f>ISNUMBER(MATCH(Q403,'Returned order'!A:A,0))</f>
        <v>0</v>
      </c>
      <c r="S403" s="22">
        <v>42185.0</v>
      </c>
      <c r="T403" s="15"/>
      <c r="U403" s="15"/>
      <c r="V403" s="15"/>
    </row>
    <row r="404">
      <c r="A404" s="2">
        <v>4556.0</v>
      </c>
      <c r="B404" s="1" t="s">
        <v>63</v>
      </c>
      <c r="C404" s="2">
        <v>0.07</v>
      </c>
      <c r="D404" s="2">
        <v>5.02</v>
      </c>
      <c r="E404" s="2">
        <v>699.0</v>
      </c>
      <c r="F404" s="1" t="s">
        <v>680</v>
      </c>
      <c r="G404" s="1" t="s">
        <v>22</v>
      </c>
      <c r="H404" s="1" t="s">
        <v>46</v>
      </c>
      <c r="I404" s="1" t="s">
        <v>47</v>
      </c>
      <c r="J404" s="1" t="s">
        <v>685</v>
      </c>
      <c r="K404" s="19" t="s">
        <v>34</v>
      </c>
      <c r="L404" s="20" t="s">
        <v>70</v>
      </c>
      <c r="M404" s="21">
        <f t="shared" si="1"/>
        <v>4</v>
      </c>
      <c r="N404" s="2">
        <v>-168.72</v>
      </c>
      <c r="O404" s="2">
        <v>42.0</v>
      </c>
      <c r="P404" s="2">
        <v>210.1</v>
      </c>
      <c r="Q404" s="2">
        <v>32420.0</v>
      </c>
      <c r="R404" s="15" t="b">
        <f>ISNUMBER(MATCH(Q404,'Returned order'!A:A,0))</f>
        <v>0</v>
      </c>
      <c r="S404" s="22">
        <v>42033.0</v>
      </c>
      <c r="T404" s="15"/>
      <c r="U404" s="15"/>
      <c r="V404" s="15"/>
    </row>
    <row r="405">
      <c r="A405" s="2">
        <v>4557.0</v>
      </c>
      <c r="B405" s="1" t="s">
        <v>63</v>
      </c>
      <c r="C405" s="2">
        <v>0.07</v>
      </c>
      <c r="D405" s="2">
        <v>280.98</v>
      </c>
      <c r="E405" s="2">
        <v>699.0</v>
      </c>
      <c r="F405" s="1" t="s">
        <v>680</v>
      </c>
      <c r="G405" s="1" t="s">
        <v>22</v>
      </c>
      <c r="H405" s="1" t="s">
        <v>37</v>
      </c>
      <c r="I405" s="1" t="s">
        <v>38</v>
      </c>
      <c r="J405" s="1" t="s">
        <v>566</v>
      </c>
      <c r="K405" s="19" t="s">
        <v>34</v>
      </c>
      <c r="L405" s="20" t="s">
        <v>70</v>
      </c>
      <c r="M405" s="21">
        <f t="shared" si="1"/>
        <v>4</v>
      </c>
      <c r="N405" s="2">
        <v>-439.62</v>
      </c>
      <c r="O405" s="2">
        <v>23.0</v>
      </c>
      <c r="P405" s="2">
        <v>6499.87</v>
      </c>
      <c r="Q405" s="2">
        <v>32420.0</v>
      </c>
      <c r="R405" s="15" t="b">
        <f>ISNUMBER(MATCH(Q405,'Returned order'!A:A,0))</f>
        <v>0</v>
      </c>
      <c r="S405" s="22">
        <v>42033.0</v>
      </c>
      <c r="T405" s="15"/>
      <c r="U405" s="15"/>
      <c r="V405" s="15"/>
    </row>
    <row r="406">
      <c r="A406" s="2">
        <v>448.0</v>
      </c>
      <c r="B406" s="1" t="s">
        <v>63</v>
      </c>
      <c r="C406" s="2">
        <v>0.1</v>
      </c>
      <c r="D406" s="2">
        <v>4.26</v>
      </c>
      <c r="E406" s="2">
        <v>699.0</v>
      </c>
      <c r="F406" s="1" t="s">
        <v>680</v>
      </c>
      <c r="G406" s="1" t="s">
        <v>22</v>
      </c>
      <c r="H406" s="1" t="s">
        <v>23</v>
      </c>
      <c r="I406" s="1" t="s">
        <v>29</v>
      </c>
      <c r="J406" s="1" t="s">
        <v>264</v>
      </c>
      <c r="K406" s="19" t="s">
        <v>34</v>
      </c>
      <c r="L406" s="20" t="s">
        <v>35</v>
      </c>
      <c r="M406" s="21">
        <f t="shared" si="1"/>
        <v>3</v>
      </c>
      <c r="N406" s="2">
        <v>15.42</v>
      </c>
      <c r="O406" s="2">
        <v>88.0</v>
      </c>
      <c r="P406" s="2">
        <v>351.56</v>
      </c>
      <c r="Q406" s="2">
        <v>3042.0</v>
      </c>
      <c r="R406" s="15" t="b">
        <f>ISNUMBER(MATCH(Q406,'Returned order'!A:A,0))</f>
        <v>0</v>
      </c>
      <c r="S406" s="22">
        <v>42144.0</v>
      </c>
      <c r="T406" s="15"/>
      <c r="U406" s="15"/>
      <c r="V406" s="15"/>
    </row>
    <row r="407">
      <c r="A407" s="2">
        <v>18448.0</v>
      </c>
      <c r="B407" s="1" t="s">
        <v>63</v>
      </c>
      <c r="C407" s="2">
        <v>0.1</v>
      </c>
      <c r="D407" s="2">
        <v>4.26</v>
      </c>
      <c r="E407" s="2">
        <v>700.0</v>
      </c>
      <c r="F407" s="1" t="s">
        <v>686</v>
      </c>
      <c r="G407" s="1" t="s">
        <v>22</v>
      </c>
      <c r="H407" s="1" t="s">
        <v>23</v>
      </c>
      <c r="I407" s="1" t="s">
        <v>29</v>
      </c>
      <c r="J407" s="1" t="s">
        <v>264</v>
      </c>
      <c r="K407" s="19" t="s">
        <v>34</v>
      </c>
      <c r="L407" s="20" t="s">
        <v>35</v>
      </c>
      <c r="M407" s="21">
        <f t="shared" si="1"/>
        <v>3</v>
      </c>
      <c r="N407" s="2">
        <v>33.924</v>
      </c>
      <c r="O407" s="2">
        <v>22.0</v>
      </c>
      <c r="P407" s="2">
        <v>87.89</v>
      </c>
      <c r="Q407" s="2">
        <v>87980.0</v>
      </c>
      <c r="R407" s="15" t="b">
        <f>ISNUMBER(MATCH(Q407,'Returned order'!A:A,0))</f>
        <v>0</v>
      </c>
      <c r="S407" s="22">
        <v>42144.0</v>
      </c>
      <c r="T407" s="15"/>
      <c r="U407" s="15"/>
      <c r="V407" s="15"/>
    </row>
    <row r="408">
      <c r="A408" s="2">
        <v>24289.0</v>
      </c>
      <c r="B408" s="1" t="s">
        <v>63</v>
      </c>
      <c r="C408" s="2">
        <v>0.03</v>
      </c>
      <c r="D408" s="2">
        <v>5.28</v>
      </c>
      <c r="E408" s="2">
        <v>702.0</v>
      </c>
      <c r="F408" s="1" t="s">
        <v>687</v>
      </c>
      <c r="G408" s="1" t="s">
        <v>22</v>
      </c>
      <c r="H408" s="1" t="s">
        <v>23</v>
      </c>
      <c r="I408" s="1" t="s">
        <v>93</v>
      </c>
      <c r="J408" s="1" t="s">
        <v>681</v>
      </c>
      <c r="K408" s="19" t="s">
        <v>34</v>
      </c>
      <c r="L408" s="20" t="s">
        <v>70</v>
      </c>
      <c r="M408" s="21">
        <f t="shared" si="1"/>
        <v>4</v>
      </c>
      <c r="N408" s="2">
        <v>-16.67</v>
      </c>
      <c r="O408" s="2">
        <v>1.0</v>
      </c>
      <c r="P408" s="2">
        <v>6.5</v>
      </c>
      <c r="Q408" s="2">
        <v>87977.0</v>
      </c>
      <c r="R408" s="15" t="b">
        <f>ISNUMBER(MATCH(Q408,'Returned order'!A:A,0))</f>
        <v>0</v>
      </c>
      <c r="S408" s="22">
        <v>42117.0</v>
      </c>
      <c r="T408" s="15"/>
      <c r="U408" s="15"/>
      <c r="V408" s="15"/>
    </row>
    <row r="409">
      <c r="A409" s="2">
        <v>23140.0</v>
      </c>
      <c r="B409" s="1" t="s">
        <v>28</v>
      </c>
      <c r="C409" s="2">
        <v>0.01</v>
      </c>
      <c r="D409" s="2">
        <v>7.89</v>
      </c>
      <c r="E409" s="2">
        <v>702.0</v>
      </c>
      <c r="F409" s="1" t="s">
        <v>687</v>
      </c>
      <c r="G409" s="1" t="s">
        <v>22</v>
      </c>
      <c r="H409" s="1" t="s">
        <v>23</v>
      </c>
      <c r="I409" s="1" t="s">
        <v>81</v>
      </c>
      <c r="J409" s="1" t="s">
        <v>683</v>
      </c>
      <c r="K409" s="19" t="s">
        <v>34</v>
      </c>
      <c r="L409" s="20" t="s">
        <v>57</v>
      </c>
      <c r="M409" s="21">
        <f t="shared" si="1"/>
        <v>2</v>
      </c>
      <c r="N409" s="2">
        <v>46.44</v>
      </c>
      <c r="O409" s="2">
        <v>8.0</v>
      </c>
      <c r="P409" s="2">
        <v>68.56</v>
      </c>
      <c r="Q409" s="2">
        <v>87979.0</v>
      </c>
      <c r="R409" s="15" t="b">
        <f>ISNUMBER(MATCH(Q409,'Returned order'!A:A,0))</f>
        <v>0</v>
      </c>
      <c r="S409" s="22">
        <v>42185.0</v>
      </c>
      <c r="T409" s="15"/>
      <c r="U409" s="15"/>
      <c r="V409" s="15"/>
    </row>
    <row r="410">
      <c r="A410" s="2">
        <v>23141.0</v>
      </c>
      <c r="B410" s="1" t="s">
        <v>28</v>
      </c>
      <c r="C410" s="2">
        <v>0.09</v>
      </c>
      <c r="D410" s="2">
        <v>3.68</v>
      </c>
      <c r="E410" s="2">
        <v>702.0</v>
      </c>
      <c r="F410" s="1" t="s">
        <v>687</v>
      </c>
      <c r="G410" s="1" t="s">
        <v>22</v>
      </c>
      <c r="H410" s="1" t="s">
        <v>23</v>
      </c>
      <c r="I410" s="1" t="s">
        <v>257</v>
      </c>
      <c r="J410" s="1" t="s">
        <v>684</v>
      </c>
      <c r="K410" s="19" t="s">
        <v>34</v>
      </c>
      <c r="L410" s="20" t="s">
        <v>57</v>
      </c>
      <c r="M410" s="21">
        <f t="shared" si="1"/>
        <v>2</v>
      </c>
      <c r="N410" s="2">
        <v>-17.528</v>
      </c>
      <c r="O410" s="2">
        <v>6.0</v>
      </c>
      <c r="P410" s="2">
        <v>20.79</v>
      </c>
      <c r="Q410" s="2">
        <v>87979.0</v>
      </c>
      <c r="R410" s="15" t="b">
        <f>ISNUMBER(MATCH(Q410,'Returned order'!A:A,0))</f>
        <v>0</v>
      </c>
      <c r="S410" s="22">
        <v>42185.0</v>
      </c>
      <c r="T410" s="15"/>
      <c r="U410" s="15"/>
      <c r="V410" s="15"/>
    </row>
    <row r="411">
      <c r="A411" s="2">
        <v>23142.0</v>
      </c>
      <c r="B411" s="1" t="s">
        <v>28</v>
      </c>
      <c r="C411" s="2">
        <v>0.1</v>
      </c>
      <c r="D411" s="2">
        <v>9.71</v>
      </c>
      <c r="E411" s="2">
        <v>702.0</v>
      </c>
      <c r="F411" s="1" t="s">
        <v>687</v>
      </c>
      <c r="G411" s="1" t="s">
        <v>22</v>
      </c>
      <c r="H411" s="1" t="s">
        <v>23</v>
      </c>
      <c r="I411" s="1" t="s">
        <v>120</v>
      </c>
      <c r="J411" s="1" t="s">
        <v>463</v>
      </c>
      <c r="K411" s="19" t="s">
        <v>34</v>
      </c>
      <c r="L411" s="20" t="s">
        <v>57</v>
      </c>
      <c r="M411" s="21">
        <f t="shared" si="1"/>
        <v>2</v>
      </c>
      <c r="N411" s="2">
        <v>-95.816</v>
      </c>
      <c r="O411" s="2">
        <v>7.0</v>
      </c>
      <c r="P411" s="2">
        <v>67.91</v>
      </c>
      <c r="Q411" s="2">
        <v>87979.0</v>
      </c>
      <c r="R411" s="15" t="b">
        <f>ISNUMBER(MATCH(Q411,'Returned order'!A:A,0))</f>
        <v>0</v>
      </c>
      <c r="S411" s="22">
        <v>42185.0</v>
      </c>
      <c r="T411" s="15"/>
      <c r="U411" s="15"/>
      <c r="V411" s="15"/>
    </row>
    <row r="412">
      <c r="A412" s="2">
        <v>25734.0</v>
      </c>
      <c r="B412" s="1" t="s">
        <v>58</v>
      </c>
      <c r="C412" s="2">
        <v>0.07</v>
      </c>
      <c r="D412" s="2">
        <v>2.84</v>
      </c>
      <c r="E412" s="2">
        <v>711.0</v>
      </c>
      <c r="F412" s="1" t="s">
        <v>688</v>
      </c>
      <c r="G412" s="1" t="s">
        <v>22</v>
      </c>
      <c r="H412" s="1" t="s">
        <v>23</v>
      </c>
      <c r="I412" s="1" t="s">
        <v>29</v>
      </c>
      <c r="J412" s="1" t="s">
        <v>33</v>
      </c>
      <c r="K412" s="19" t="s">
        <v>26</v>
      </c>
      <c r="L412" s="20" t="s">
        <v>53</v>
      </c>
      <c r="M412" s="21">
        <f t="shared" si="1"/>
        <v>6</v>
      </c>
      <c r="N412" s="2">
        <v>3.852</v>
      </c>
      <c r="O412" s="2">
        <v>15.0</v>
      </c>
      <c r="P412" s="2">
        <v>40.37</v>
      </c>
      <c r="Q412" s="2">
        <v>87978.0</v>
      </c>
      <c r="R412" s="15" t="b">
        <f>ISNUMBER(MATCH(Q412,'Returned order'!A:A,0))</f>
        <v>0</v>
      </c>
      <c r="S412" s="22">
        <v>42161.0</v>
      </c>
      <c r="T412" s="15"/>
      <c r="U412" s="15"/>
      <c r="V412" s="15"/>
    </row>
    <row r="413">
      <c r="A413" s="2">
        <v>20789.0</v>
      </c>
      <c r="B413" s="1" t="s">
        <v>49</v>
      </c>
      <c r="C413" s="2">
        <v>0.0</v>
      </c>
      <c r="D413" s="2">
        <v>8.5</v>
      </c>
      <c r="E413" s="2">
        <v>719.0</v>
      </c>
      <c r="F413" s="1" t="s">
        <v>689</v>
      </c>
      <c r="G413" s="1" t="s">
        <v>32</v>
      </c>
      <c r="H413" s="1" t="s">
        <v>46</v>
      </c>
      <c r="I413" s="1" t="s">
        <v>47</v>
      </c>
      <c r="J413" s="1" t="s">
        <v>690</v>
      </c>
      <c r="K413" s="19" t="s">
        <v>34</v>
      </c>
      <c r="L413" s="20" t="s">
        <v>53</v>
      </c>
      <c r="M413" s="21">
        <f t="shared" si="1"/>
        <v>6</v>
      </c>
      <c r="N413" s="2">
        <v>71.7356</v>
      </c>
      <c r="O413" s="2">
        <v>14.0</v>
      </c>
      <c r="P413" s="2">
        <v>122.25</v>
      </c>
      <c r="Q413" s="2">
        <v>89344.0</v>
      </c>
      <c r="R413" s="15" t="b">
        <f>ISNUMBER(MATCH(Q413,'Returned order'!A:A,0))</f>
        <v>0</v>
      </c>
      <c r="S413" s="22">
        <v>42063.0</v>
      </c>
      <c r="T413" s="15"/>
      <c r="U413" s="15"/>
      <c r="V413" s="15"/>
    </row>
    <row r="414">
      <c r="A414" s="2">
        <v>20790.0</v>
      </c>
      <c r="B414" s="1" t="s">
        <v>49</v>
      </c>
      <c r="C414" s="2">
        <v>0.03</v>
      </c>
      <c r="D414" s="2">
        <v>95.43</v>
      </c>
      <c r="E414" s="2">
        <v>719.0</v>
      </c>
      <c r="F414" s="1" t="s">
        <v>689</v>
      </c>
      <c r="G414" s="1" t="s">
        <v>32</v>
      </c>
      <c r="H414" s="1" t="s">
        <v>23</v>
      </c>
      <c r="I414" s="1" t="s">
        <v>120</v>
      </c>
      <c r="J414" s="1" t="s">
        <v>167</v>
      </c>
      <c r="K414" s="19" t="s">
        <v>34</v>
      </c>
      <c r="L414" s="20" t="s">
        <v>53</v>
      </c>
      <c r="M414" s="21">
        <f t="shared" si="1"/>
        <v>6</v>
      </c>
      <c r="N414" s="2">
        <v>-79.3208</v>
      </c>
      <c r="O414" s="2">
        <v>2.0</v>
      </c>
      <c r="P414" s="2">
        <v>206.09</v>
      </c>
      <c r="Q414" s="2">
        <v>89344.0</v>
      </c>
      <c r="R414" s="15" t="b">
        <f>ISNUMBER(MATCH(Q414,'Returned order'!A:A,0))</f>
        <v>0</v>
      </c>
      <c r="S414" s="22">
        <v>42063.0</v>
      </c>
      <c r="T414" s="15"/>
      <c r="U414" s="15"/>
      <c r="V414" s="15"/>
    </row>
    <row r="415">
      <c r="A415" s="2">
        <v>20633.0</v>
      </c>
      <c r="B415" s="1" t="s">
        <v>49</v>
      </c>
      <c r="C415" s="2">
        <v>0.04</v>
      </c>
      <c r="D415" s="2">
        <v>10.64</v>
      </c>
      <c r="E415" s="2">
        <v>721.0</v>
      </c>
      <c r="F415" s="1" t="s">
        <v>691</v>
      </c>
      <c r="G415" s="1" t="s">
        <v>32</v>
      </c>
      <c r="H415" s="1" t="s">
        <v>37</v>
      </c>
      <c r="I415" s="1" t="s">
        <v>42</v>
      </c>
      <c r="J415" s="1" t="s">
        <v>692</v>
      </c>
      <c r="K415" s="19" t="s">
        <v>68</v>
      </c>
      <c r="L415" s="20" t="s">
        <v>35</v>
      </c>
      <c r="M415" s="21">
        <f t="shared" si="1"/>
        <v>3</v>
      </c>
      <c r="N415" s="2">
        <v>24.096</v>
      </c>
      <c r="O415" s="2">
        <v>6.0</v>
      </c>
      <c r="P415" s="2">
        <v>66.9</v>
      </c>
      <c r="Q415" s="2">
        <v>91053.0</v>
      </c>
      <c r="R415" s="15" t="b">
        <f>ISNUMBER(MATCH(Q415,'Returned order'!A:A,0))</f>
        <v>0</v>
      </c>
      <c r="S415" s="22">
        <v>42179.0</v>
      </c>
      <c r="T415" s="15"/>
      <c r="U415" s="15"/>
      <c r="V415" s="15"/>
    </row>
    <row r="416">
      <c r="A416" s="2">
        <v>20634.0</v>
      </c>
      <c r="B416" s="1" t="s">
        <v>49</v>
      </c>
      <c r="C416" s="2">
        <v>0.03</v>
      </c>
      <c r="D416" s="2">
        <v>2.78</v>
      </c>
      <c r="E416" s="2">
        <v>721.0</v>
      </c>
      <c r="F416" s="1" t="s">
        <v>691</v>
      </c>
      <c r="G416" s="1" t="s">
        <v>32</v>
      </c>
      <c r="H416" s="1" t="s">
        <v>23</v>
      </c>
      <c r="I416" s="1" t="s">
        <v>29</v>
      </c>
      <c r="J416" s="1" t="s">
        <v>693</v>
      </c>
      <c r="K416" s="19" t="s">
        <v>68</v>
      </c>
      <c r="L416" s="20" t="s">
        <v>35</v>
      </c>
      <c r="M416" s="21">
        <f t="shared" si="1"/>
        <v>3</v>
      </c>
      <c r="N416" s="2">
        <v>6.972</v>
      </c>
      <c r="O416" s="2">
        <v>15.0</v>
      </c>
      <c r="P416" s="2">
        <v>43.13</v>
      </c>
      <c r="Q416" s="2">
        <v>91053.0</v>
      </c>
      <c r="R416" s="15" t="b">
        <f>ISNUMBER(MATCH(Q416,'Returned order'!A:A,0))</f>
        <v>0</v>
      </c>
      <c r="S416" s="22">
        <v>42179.0</v>
      </c>
      <c r="T416" s="15"/>
      <c r="U416" s="15"/>
      <c r="V416" s="15"/>
    </row>
    <row r="417">
      <c r="A417" s="2">
        <v>24574.0</v>
      </c>
      <c r="B417" s="1" t="s">
        <v>63</v>
      </c>
      <c r="C417" s="2">
        <v>0.01</v>
      </c>
      <c r="D417" s="2">
        <v>7.28</v>
      </c>
      <c r="E417" s="2">
        <v>721.0</v>
      </c>
      <c r="F417" s="1" t="s">
        <v>691</v>
      </c>
      <c r="G417" s="1" t="s">
        <v>32</v>
      </c>
      <c r="H417" s="1" t="s">
        <v>23</v>
      </c>
      <c r="I417" s="1" t="s">
        <v>93</v>
      </c>
      <c r="J417" s="1" t="s">
        <v>696</v>
      </c>
      <c r="K417" s="19" t="s">
        <v>68</v>
      </c>
      <c r="L417" s="20" t="s">
        <v>53</v>
      </c>
      <c r="M417" s="21">
        <f t="shared" si="1"/>
        <v>6</v>
      </c>
      <c r="N417" s="2">
        <v>-24.246</v>
      </c>
      <c r="O417" s="2">
        <v>1.0</v>
      </c>
      <c r="P417" s="2">
        <v>11.21</v>
      </c>
      <c r="Q417" s="2">
        <v>91054.0</v>
      </c>
      <c r="R417" s="15" t="b">
        <f>ISNUMBER(MATCH(Q417,'Returned order'!A:A,0))</f>
        <v>0</v>
      </c>
      <c r="S417" s="22">
        <v>42105.0</v>
      </c>
      <c r="T417" s="15"/>
      <c r="U417" s="15"/>
      <c r="V417" s="15"/>
    </row>
    <row r="418">
      <c r="A418" s="2">
        <v>19601.0</v>
      </c>
      <c r="B418" s="1" t="s">
        <v>63</v>
      </c>
      <c r="C418" s="2">
        <v>0.09</v>
      </c>
      <c r="D418" s="2">
        <v>125.99</v>
      </c>
      <c r="E418" s="2">
        <v>724.0</v>
      </c>
      <c r="F418" s="1" t="s">
        <v>698</v>
      </c>
      <c r="G418" s="1" t="s">
        <v>22</v>
      </c>
      <c r="H418" s="1" t="s">
        <v>46</v>
      </c>
      <c r="I418" s="1" t="s">
        <v>85</v>
      </c>
      <c r="J418" s="1" t="s">
        <v>700</v>
      </c>
      <c r="K418" s="19" t="s">
        <v>26</v>
      </c>
      <c r="L418" s="20" t="s">
        <v>61</v>
      </c>
      <c r="M418" s="21">
        <f t="shared" si="1"/>
        <v>7</v>
      </c>
      <c r="N418" s="2">
        <v>-605.374</v>
      </c>
      <c r="O418" s="2">
        <v>1.0</v>
      </c>
      <c r="P418" s="2">
        <v>100.38</v>
      </c>
      <c r="Q418" s="2">
        <v>90359.0</v>
      </c>
      <c r="R418" s="15" t="b">
        <f>ISNUMBER(MATCH(Q418,'Returned order'!A:A,0))</f>
        <v>0</v>
      </c>
      <c r="S418" s="22">
        <v>42078.0</v>
      </c>
      <c r="T418" s="15"/>
      <c r="U418" s="15"/>
      <c r="V418" s="15"/>
    </row>
    <row r="419">
      <c r="A419" s="2">
        <v>19600.0</v>
      </c>
      <c r="B419" s="1" t="s">
        <v>63</v>
      </c>
      <c r="C419" s="2">
        <v>0.1</v>
      </c>
      <c r="D419" s="2">
        <v>17.98</v>
      </c>
      <c r="E419" s="2">
        <v>727.0</v>
      </c>
      <c r="F419" s="1" t="s">
        <v>702</v>
      </c>
      <c r="G419" s="1" t="s">
        <v>22</v>
      </c>
      <c r="H419" s="1" t="s">
        <v>46</v>
      </c>
      <c r="I419" s="1" t="s">
        <v>47</v>
      </c>
      <c r="J419" s="1" t="s">
        <v>261</v>
      </c>
      <c r="K419" s="19" t="s">
        <v>26</v>
      </c>
      <c r="L419" s="20" t="s">
        <v>61</v>
      </c>
      <c r="M419" s="21">
        <f t="shared" si="1"/>
        <v>7</v>
      </c>
      <c r="N419" s="2">
        <v>-99.55</v>
      </c>
      <c r="O419" s="2">
        <v>4.0</v>
      </c>
      <c r="P419" s="2">
        <v>66.32</v>
      </c>
      <c r="Q419" s="2">
        <v>90359.0</v>
      </c>
      <c r="R419" s="15" t="b">
        <f>ISNUMBER(MATCH(Q419,'Returned order'!A:A,0))</f>
        <v>0</v>
      </c>
      <c r="S419" s="22">
        <v>42078.0</v>
      </c>
      <c r="T419" s="15"/>
      <c r="U419" s="15"/>
      <c r="V419" s="15"/>
    </row>
    <row r="420">
      <c r="A420" s="2">
        <v>23436.0</v>
      </c>
      <c r="B420" s="1" t="s">
        <v>28</v>
      </c>
      <c r="C420" s="2">
        <v>0.09</v>
      </c>
      <c r="D420" s="2">
        <v>101.41</v>
      </c>
      <c r="E420" s="2">
        <v>731.0</v>
      </c>
      <c r="F420" s="1" t="s">
        <v>703</v>
      </c>
      <c r="G420" s="1" t="s">
        <v>22</v>
      </c>
      <c r="H420" s="1" t="s">
        <v>23</v>
      </c>
      <c r="I420" s="1" t="s">
        <v>120</v>
      </c>
      <c r="J420" s="1" t="s">
        <v>704</v>
      </c>
      <c r="K420" s="19" t="s">
        <v>26</v>
      </c>
      <c r="L420" s="20" t="s">
        <v>61</v>
      </c>
      <c r="M420" s="21">
        <f t="shared" si="1"/>
        <v>7</v>
      </c>
      <c r="N420" s="2">
        <v>-801.1548</v>
      </c>
      <c r="O420" s="2">
        <v>12.0</v>
      </c>
      <c r="P420" s="2">
        <v>1178.32</v>
      </c>
      <c r="Q420" s="2">
        <v>90362.0</v>
      </c>
      <c r="R420" s="15" t="b">
        <f>ISNUMBER(MATCH(Q420,'Returned order'!A:A,0))</f>
        <v>0</v>
      </c>
      <c r="S420" s="22">
        <v>42120.0</v>
      </c>
      <c r="T420" s="15"/>
      <c r="U420" s="15"/>
      <c r="V420" s="15"/>
    </row>
    <row r="421">
      <c r="A421" s="2">
        <v>21950.0</v>
      </c>
      <c r="B421" s="1" t="s">
        <v>49</v>
      </c>
      <c r="C421" s="2">
        <v>0.06</v>
      </c>
      <c r="D421" s="2">
        <v>350.98</v>
      </c>
      <c r="E421" s="2">
        <v>736.0</v>
      </c>
      <c r="F421" s="1" t="s">
        <v>105</v>
      </c>
      <c r="G421" s="1" t="s">
        <v>22</v>
      </c>
      <c r="H421" s="1" t="s">
        <v>37</v>
      </c>
      <c r="I421" s="1" t="s">
        <v>38</v>
      </c>
      <c r="J421" s="1" t="s">
        <v>106</v>
      </c>
      <c r="K421" s="19" t="s">
        <v>26</v>
      </c>
      <c r="L421" s="20" t="s">
        <v>27</v>
      </c>
      <c r="M421" s="21">
        <f t="shared" si="1"/>
        <v>1</v>
      </c>
      <c r="N421" s="2">
        <v>797.856</v>
      </c>
      <c r="O421" s="2">
        <v>6.0</v>
      </c>
      <c r="P421" s="2">
        <v>2016.32</v>
      </c>
      <c r="Q421" s="2">
        <v>90361.0</v>
      </c>
      <c r="R421" s="15" t="b">
        <f>ISNUMBER(MATCH(Q421,'Returned order'!A:A,0))</f>
        <v>0</v>
      </c>
      <c r="S421" s="22">
        <v>42170.0</v>
      </c>
      <c r="T421" s="15"/>
      <c r="U421" s="15"/>
      <c r="V421" s="15"/>
    </row>
    <row r="422">
      <c r="A422" s="2">
        <v>23613.0</v>
      </c>
      <c r="B422" s="1" t="s">
        <v>170</v>
      </c>
      <c r="C422" s="2">
        <v>0.02</v>
      </c>
      <c r="D422" s="2">
        <v>48.04</v>
      </c>
      <c r="E422" s="2">
        <v>737.0</v>
      </c>
      <c r="F422" s="1" t="s">
        <v>705</v>
      </c>
      <c r="G422" s="1" t="s">
        <v>22</v>
      </c>
      <c r="H422" s="1" t="s">
        <v>23</v>
      </c>
      <c r="I422" s="1" t="s">
        <v>93</v>
      </c>
      <c r="J422" s="1" t="s">
        <v>706</v>
      </c>
      <c r="K422" s="19" t="s">
        <v>26</v>
      </c>
      <c r="L422" s="20" t="s">
        <v>61</v>
      </c>
      <c r="M422" s="21">
        <f t="shared" si="1"/>
        <v>7</v>
      </c>
      <c r="N422" s="2">
        <v>422.4525</v>
      </c>
      <c r="O422" s="2">
        <v>12.0</v>
      </c>
      <c r="P422" s="2">
        <v>612.25</v>
      </c>
      <c r="Q422" s="2">
        <v>90360.0</v>
      </c>
      <c r="R422" s="15" t="b">
        <f>ISNUMBER(MATCH(Q422,'Returned order'!A:A,0))</f>
        <v>0</v>
      </c>
      <c r="S422" s="22">
        <v>42162.0</v>
      </c>
      <c r="T422" s="15"/>
      <c r="U422" s="15"/>
      <c r="V422" s="15"/>
    </row>
    <row r="423">
      <c r="A423" s="2">
        <v>21949.0</v>
      </c>
      <c r="B423" s="1" t="s">
        <v>49</v>
      </c>
      <c r="C423" s="2">
        <v>0.02</v>
      </c>
      <c r="D423" s="2">
        <v>70.98</v>
      </c>
      <c r="E423" s="2">
        <v>738.0</v>
      </c>
      <c r="F423" s="1" t="s">
        <v>108</v>
      </c>
      <c r="G423" s="1" t="s">
        <v>22</v>
      </c>
      <c r="H423" s="1" t="s">
        <v>37</v>
      </c>
      <c r="I423" s="1" t="s">
        <v>55</v>
      </c>
      <c r="J423" s="1" t="s">
        <v>109</v>
      </c>
      <c r="K423" s="19" t="s">
        <v>26</v>
      </c>
      <c r="L423" s="20" t="s">
        <v>27</v>
      </c>
      <c r="M423" s="21">
        <f t="shared" si="1"/>
        <v>1</v>
      </c>
      <c r="N423" s="2">
        <v>-178.216</v>
      </c>
      <c r="O423" s="2">
        <v>4.0</v>
      </c>
      <c r="P423" s="2">
        <v>313.63</v>
      </c>
      <c r="Q423" s="2">
        <v>90361.0</v>
      </c>
      <c r="R423" s="15" t="b">
        <f>ISNUMBER(MATCH(Q423,'Returned order'!A:A,0))</f>
        <v>0</v>
      </c>
      <c r="S423" s="22">
        <v>42170.0</v>
      </c>
      <c r="T423" s="15"/>
      <c r="U423" s="15"/>
      <c r="V423" s="15"/>
    </row>
    <row r="424">
      <c r="A424" s="2">
        <v>21951.0</v>
      </c>
      <c r="B424" s="1" t="s">
        <v>49</v>
      </c>
      <c r="C424" s="2">
        <v>0.04</v>
      </c>
      <c r="D424" s="2">
        <v>27.48</v>
      </c>
      <c r="E424" s="2">
        <v>741.0</v>
      </c>
      <c r="F424" s="1" t="s">
        <v>110</v>
      </c>
      <c r="G424" s="1" t="s">
        <v>22</v>
      </c>
      <c r="H424" s="1" t="s">
        <v>46</v>
      </c>
      <c r="I424" s="1" t="s">
        <v>47</v>
      </c>
      <c r="J424" s="1" t="s">
        <v>111</v>
      </c>
      <c r="K424" s="19" t="s">
        <v>26</v>
      </c>
      <c r="L424" s="20" t="s">
        <v>27</v>
      </c>
      <c r="M424" s="21">
        <f t="shared" si="1"/>
        <v>1</v>
      </c>
      <c r="N424" s="2">
        <v>-26.656</v>
      </c>
      <c r="O424" s="2">
        <v>15.0</v>
      </c>
      <c r="P424" s="2">
        <v>397.17</v>
      </c>
      <c r="Q424" s="2">
        <v>90361.0</v>
      </c>
      <c r="R424" s="15" t="b">
        <f>ISNUMBER(MATCH(Q424,'Returned order'!A:A,0))</f>
        <v>0</v>
      </c>
      <c r="S424" s="22">
        <v>42170.0</v>
      </c>
      <c r="T424" s="15"/>
      <c r="U424" s="15"/>
      <c r="V424" s="15"/>
    </row>
    <row r="425">
      <c r="A425" s="2">
        <v>19209.0</v>
      </c>
      <c r="B425" s="1" t="s">
        <v>170</v>
      </c>
      <c r="C425" s="2">
        <v>0.02</v>
      </c>
      <c r="D425" s="2">
        <v>59.98</v>
      </c>
      <c r="E425" s="2">
        <v>744.0</v>
      </c>
      <c r="F425" s="1" t="s">
        <v>707</v>
      </c>
      <c r="G425" s="1" t="s">
        <v>32</v>
      </c>
      <c r="H425" s="1" t="s">
        <v>23</v>
      </c>
      <c r="I425" s="1" t="s">
        <v>151</v>
      </c>
      <c r="J425" s="1" t="s">
        <v>708</v>
      </c>
      <c r="K425" s="19" t="s">
        <v>34</v>
      </c>
      <c r="L425" s="20" t="s">
        <v>35</v>
      </c>
      <c r="M425" s="21">
        <f t="shared" si="1"/>
        <v>3</v>
      </c>
      <c r="N425" s="2">
        <v>-54.622</v>
      </c>
      <c r="O425" s="2">
        <v>1.0</v>
      </c>
      <c r="P425" s="2">
        <v>63.48</v>
      </c>
      <c r="Q425" s="2">
        <v>87725.0</v>
      </c>
      <c r="R425" s="15" t="b">
        <f>ISNUMBER(MATCH(Q425,'Returned order'!A:A,0))</f>
        <v>0</v>
      </c>
      <c r="S425" s="22">
        <v>42032.0</v>
      </c>
      <c r="T425" s="15"/>
      <c r="U425" s="15"/>
      <c r="V425" s="15"/>
    </row>
    <row r="426">
      <c r="A426" s="2">
        <v>19210.0</v>
      </c>
      <c r="B426" s="1" t="s">
        <v>170</v>
      </c>
      <c r="C426" s="2">
        <v>0.03</v>
      </c>
      <c r="D426" s="2">
        <v>5.18</v>
      </c>
      <c r="E426" s="2">
        <v>744.0</v>
      </c>
      <c r="F426" s="1" t="s">
        <v>707</v>
      </c>
      <c r="G426" s="1" t="s">
        <v>32</v>
      </c>
      <c r="H426" s="1" t="s">
        <v>23</v>
      </c>
      <c r="I426" s="1" t="s">
        <v>24</v>
      </c>
      <c r="J426" s="1" t="s">
        <v>709</v>
      </c>
      <c r="K426" s="19" t="s">
        <v>34</v>
      </c>
      <c r="L426" s="20" t="s">
        <v>35</v>
      </c>
      <c r="M426" s="21">
        <f t="shared" si="1"/>
        <v>3</v>
      </c>
      <c r="N426" s="2">
        <v>-126.81418</v>
      </c>
      <c r="O426" s="2">
        <v>9.0</v>
      </c>
      <c r="P426" s="2">
        <v>47.64</v>
      </c>
      <c r="Q426" s="2">
        <v>87725.0</v>
      </c>
      <c r="R426" s="15" t="b">
        <f>ISNUMBER(MATCH(Q426,'Returned order'!A:A,0))</f>
        <v>0</v>
      </c>
      <c r="S426" s="22">
        <v>42032.0</v>
      </c>
      <c r="T426" s="15"/>
      <c r="U426" s="15"/>
      <c r="V426" s="15"/>
    </row>
    <row r="427">
      <c r="A427" s="2">
        <v>19638.0</v>
      </c>
      <c r="B427" s="1" t="s">
        <v>63</v>
      </c>
      <c r="C427" s="2">
        <v>0.03</v>
      </c>
      <c r="D427" s="2">
        <v>119.99</v>
      </c>
      <c r="E427" s="2">
        <v>744.0</v>
      </c>
      <c r="F427" s="1" t="s">
        <v>707</v>
      </c>
      <c r="G427" s="1" t="s">
        <v>22</v>
      </c>
      <c r="H427" s="1" t="s">
        <v>46</v>
      </c>
      <c r="I427" s="1" t="s">
        <v>103</v>
      </c>
      <c r="J427" s="1" t="s">
        <v>104</v>
      </c>
      <c r="K427" s="19" t="s">
        <v>34</v>
      </c>
      <c r="L427" s="20" t="s">
        <v>53</v>
      </c>
      <c r="M427" s="21">
        <f t="shared" si="1"/>
        <v>6</v>
      </c>
      <c r="N427" s="2">
        <v>1400.1</v>
      </c>
      <c r="O427" s="2">
        <v>13.0</v>
      </c>
      <c r="P427" s="2">
        <v>1545.58</v>
      </c>
      <c r="Q427" s="2">
        <v>87726.0</v>
      </c>
      <c r="R427" s="15" t="b">
        <f>ISNUMBER(MATCH(Q427,'Returned order'!A:A,0))</f>
        <v>0</v>
      </c>
      <c r="S427" s="22">
        <v>42021.0</v>
      </c>
      <c r="T427" s="15"/>
      <c r="U427" s="15"/>
      <c r="V427" s="15"/>
    </row>
    <row r="428">
      <c r="A428" s="2">
        <v>19505.0</v>
      </c>
      <c r="B428" s="1" t="s">
        <v>170</v>
      </c>
      <c r="C428" s="2">
        <v>0.09</v>
      </c>
      <c r="D428" s="2">
        <v>125.99</v>
      </c>
      <c r="E428" s="2">
        <v>744.0</v>
      </c>
      <c r="F428" s="1" t="s">
        <v>707</v>
      </c>
      <c r="G428" s="1" t="s">
        <v>22</v>
      </c>
      <c r="H428" s="1" t="s">
        <v>46</v>
      </c>
      <c r="I428" s="1" t="s">
        <v>85</v>
      </c>
      <c r="J428" s="1" t="s">
        <v>700</v>
      </c>
      <c r="K428" s="19" t="s">
        <v>34</v>
      </c>
      <c r="L428" s="20" t="s">
        <v>27</v>
      </c>
      <c r="M428" s="21">
        <f t="shared" si="1"/>
        <v>1</v>
      </c>
      <c r="N428" s="2">
        <v>916.6806</v>
      </c>
      <c r="O428" s="2">
        <v>20.0</v>
      </c>
      <c r="P428" s="2">
        <v>2104.99</v>
      </c>
      <c r="Q428" s="2">
        <v>87727.0</v>
      </c>
      <c r="R428" s="15" t="b">
        <f>ISNUMBER(MATCH(Q428,'Returned order'!A:A,0))</f>
        <v>0</v>
      </c>
      <c r="S428" s="22">
        <v>42149.0</v>
      </c>
      <c r="T428" s="15"/>
      <c r="U428" s="15"/>
      <c r="V428" s="15"/>
    </row>
    <row r="429">
      <c r="A429" s="2">
        <v>19639.0</v>
      </c>
      <c r="B429" s="1" t="s">
        <v>63</v>
      </c>
      <c r="C429" s="2">
        <v>0.05</v>
      </c>
      <c r="D429" s="2">
        <v>115.79</v>
      </c>
      <c r="E429" s="2">
        <v>745.0</v>
      </c>
      <c r="F429" s="1" t="s">
        <v>710</v>
      </c>
      <c r="G429" s="1" t="s">
        <v>22</v>
      </c>
      <c r="H429" s="1" t="s">
        <v>46</v>
      </c>
      <c r="I429" s="1" t="s">
        <v>47</v>
      </c>
      <c r="J429" s="1" t="s">
        <v>711</v>
      </c>
      <c r="K429" s="19" t="s">
        <v>34</v>
      </c>
      <c r="L429" s="20" t="s">
        <v>53</v>
      </c>
      <c r="M429" s="21">
        <f t="shared" si="1"/>
        <v>6</v>
      </c>
      <c r="N429" s="2">
        <v>67.6</v>
      </c>
      <c r="O429" s="2">
        <v>3.0</v>
      </c>
      <c r="P429" s="2">
        <v>353.1</v>
      </c>
      <c r="Q429" s="2">
        <v>87726.0</v>
      </c>
      <c r="R429" s="15" t="b">
        <f>ISNUMBER(MATCH(Q429,'Returned order'!A:A,0))</f>
        <v>0</v>
      </c>
      <c r="S429" s="22">
        <v>42021.0</v>
      </c>
      <c r="T429" s="15"/>
      <c r="U429" s="15"/>
      <c r="V429" s="15"/>
    </row>
    <row r="430">
      <c r="A430" s="2">
        <v>20855.0</v>
      </c>
      <c r="B430" s="1" t="s">
        <v>49</v>
      </c>
      <c r="C430" s="2">
        <v>0.09</v>
      </c>
      <c r="D430" s="2">
        <v>27.75</v>
      </c>
      <c r="E430" s="2">
        <v>750.0</v>
      </c>
      <c r="F430" s="1" t="s">
        <v>712</v>
      </c>
      <c r="G430" s="1" t="s">
        <v>32</v>
      </c>
      <c r="H430" s="1" t="s">
        <v>23</v>
      </c>
      <c r="I430" s="1" t="s">
        <v>120</v>
      </c>
      <c r="J430" s="1" t="s">
        <v>713</v>
      </c>
      <c r="K430" s="19" t="s">
        <v>229</v>
      </c>
      <c r="L430" s="20" t="s">
        <v>27</v>
      </c>
      <c r="M430" s="21">
        <f t="shared" si="1"/>
        <v>1</v>
      </c>
      <c r="N430" s="2">
        <v>-224.644</v>
      </c>
      <c r="O430" s="2">
        <v>10.0</v>
      </c>
      <c r="P430" s="2">
        <v>257.52</v>
      </c>
      <c r="Q430" s="2">
        <v>91200.0</v>
      </c>
      <c r="R430" s="15" t="b">
        <f>ISNUMBER(MATCH(Q430,'Returned order'!A:A,0))</f>
        <v>0</v>
      </c>
      <c r="S430" s="22">
        <v>42016.0</v>
      </c>
      <c r="T430" s="15"/>
      <c r="U430" s="15"/>
      <c r="V430" s="15"/>
    </row>
    <row r="431">
      <c r="A431" s="2">
        <v>23629.0</v>
      </c>
      <c r="B431" s="1" t="s">
        <v>170</v>
      </c>
      <c r="C431" s="2">
        <v>0.06</v>
      </c>
      <c r="D431" s="2">
        <v>130.98</v>
      </c>
      <c r="E431" s="2">
        <v>751.0</v>
      </c>
      <c r="F431" s="1" t="s">
        <v>714</v>
      </c>
      <c r="G431" s="1" t="s">
        <v>32</v>
      </c>
      <c r="H431" s="1" t="s">
        <v>37</v>
      </c>
      <c r="I431" s="1" t="s">
        <v>55</v>
      </c>
      <c r="J431" s="1" t="s">
        <v>388</v>
      </c>
      <c r="K431" s="19" t="s">
        <v>229</v>
      </c>
      <c r="L431" s="20" t="s">
        <v>76</v>
      </c>
      <c r="M431" s="21">
        <f t="shared" si="1"/>
        <v>5</v>
      </c>
      <c r="N431" s="2">
        <v>14.76</v>
      </c>
      <c r="O431" s="2">
        <v>3.0</v>
      </c>
      <c r="P431" s="2">
        <v>411.64</v>
      </c>
      <c r="Q431" s="2">
        <v>91201.0</v>
      </c>
      <c r="R431" s="15" t="b">
        <f>ISNUMBER(MATCH(Q431,'Returned order'!A:A,0))</f>
        <v>0</v>
      </c>
      <c r="S431" s="22">
        <v>42062.0</v>
      </c>
      <c r="T431" s="15"/>
      <c r="U431" s="15"/>
      <c r="V431" s="15"/>
    </row>
    <row r="432">
      <c r="A432" s="2">
        <v>19679.0</v>
      </c>
      <c r="B432" s="1" t="s">
        <v>58</v>
      </c>
      <c r="C432" s="2">
        <v>0.06</v>
      </c>
      <c r="D432" s="2">
        <v>2.61</v>
      </c>
      <c r="E432" s="2">
        <v>753.0</v>
      </c>
      <c r="F432" s="1" t="s">
        <v>715</v>
      </c>
      <c r="G432" s="1" t="s">
        <v>32</v>
      </c>
      <c r="H432" s="1" t="s">
        <v>23</v>
      </c>
      <c r="I432" s="1" t="s">
        <v>130</v>
      </c>
      <c r="J432" s="1" t="s">
        <v>716</v>
      </c>
      <c r="K432" s="19" t="s">
        <v>34</v>
      </c>
      <c r="L432" s="20" t="s">
        <v>35</v>
      </c>
      <c r="M432" s="21">
        <f t="shared" si="1"/>
        <v>3</v>
      </c>
      <c r="N432" s="2">
        <v>10.85</v>
      </c>
      <c r="O432" s="2">
        <v>1.0</v>
      </c>
      <c r="P432" s="2">
        <v>17.59</v>
      </c>
      <c r="Q432" s="2">
        <v>90438.0</v>
      </c>
      <c r="R432" s="15" t="b">
        <f>ISNUMBER(MATCH(Q432,'Returned order'!A:A,0))</f>
        <v>0</v>
      </c>
      <c r="S432" s="22">
        <v>42074.0</v>
      </c>
      <c r="T432" s="15"/>
      <c r="U432" s="15"/>
      <c r="V432" s="15"/>
    </row>
    <row r="433">
      <c r="A433" s="2">
        <v>19680.0</v>
      </c>
      <c r="B433" s="1" t="s">
        <v>58</v>
      </c>
      <c r="C433" s="2">
        <v>0.01</v>
      </c>
      <c r="D433" s="2">
        <v>6.35</v>
      </c>
      <c r="E433" s="2">
        <v>753.0</v>
      </c>
      <c r="F433" s="1" t="s">
        <v>715</v>
      </c>
      <c r="G433" s="1" t="s">
        <v>32</v>
      </c>
      <c r="H433" s="1" t="s">
        <v>23</v>
      </c>
      <c r="I433" s="1" t="s">
        <v>93</v>
      </c>
      <c r="J433" s="1" t="s">
        <v>717</v>
      </c>
      <c r="K433" s="19" t="s">
        <v>34</v>
      </c>
      <c r="L433" s="20" t="s">
        <v>35</v>
      </c>
      <c r="M433" s="21">
        <f t="shared" si="1"/>
        <v>3</v>
      </c>
      <c r="N433" s="2">
        <v>97.6626</v>
      </c>
      <c r="O433" s="2">
        <v>22.0</v>
      </c>
      <c r="P433" s="2">
        <v>141.54</v>
      </c>
      <c r="Q433" s="2">
        <v>90438.0</v>
      </c>
      <c r="R433" s="15" t="b">
        <f>ISNUMBER(MATCH(Q433,'Returned order'!A:A,0))</f>
        <v>0</v>
      </c>
      <c r="S433" s="22">
        <v>42074.0</v>
      </c>
      <c r="T433" s="15"/>
      <c r="U433" s="15"/>
      <c r="V433" s="15"/>
    </row>
    <row r="434">
      <c r="A434" s="2">
        <v>25291.0</v>
      </c>
      <c r="B434" s="1" t="s">
        <v>28</v>
      </c>
      <c r="C434" s="2">
        <v>0.06</v>
      </c>
      <c r="D434" s="2">
        <v>218.75</v>
      </c>
      <c r="E434" s="2">
        <v>754.0</v>
      </c>
      <c r="F434" s="1" t="s">
        <v>718</v>
      </c>
      <c r="G434" s="1" t="s">
        <v>32</v>
      </c>
      <c r="H434" s="1" t="s">
        <v>37</v>
      </c>
      <c r="I434" s="1" t="s">
        <v>73</v>
      </c>
      <c r="J434" s="1" t="s">
        <v>556</v>
      </c>
      <c r="K434" s="19" t="s">
        <v>34</v>
      </c>
      <c r="L434" s="20" t="s">
        <v>70</v>
      </c>
      <c r="M434" s="21">
        <f t="shared" si="1"/>
        <v>4</v>
      </c>
      <c r="N434" s="2">
        <v>-453.2</v>
      </c>
      <c r="O434" s="2">
        <v>4.0</v>
      </c>
      <c r="P434" s="2">
        <v>905.4</v>
      </c>
      <c r="Q434" s="2">
        <v>90437.0</v>
      </c>
      <c r="R434" s="15" t="b">
        <f>ISNUMBER(MATCH(Q434,'Returned order'!A:A,0))</f>
        <v>0</v>
      </c>
      <c r="S434" s="22">
        <v>42159.0</v>
      </c>
      <c r="T434" s="15"/>
      <c r="U434" s="15"/>
      <c r="V434" s="15"/>
    </row>
    <row r="435">
      <c r="A435" s="2">
        <v>25117.0</v>
      </c>
      <c r="B435" s="1" t="s">
        <v>170</v>
      </c>
      <c r="C435" s="2">
        <v>0.06</v>
      </c>
      <c r="D435" s="2">
        <v>119.99</v>
      </c>
      <c r="E435" s="2">
        <v>754.0</v>
      </c>
      <c r="F435" s="1" t="s">
        <v>718</v>
      </c>
      <c r="G435" s="1" t="s">
        <v>22</v>
      </c>
      <c r="H435" s="1" t="s">
        <v>46</v>
      </c>
      <c r="I435" s="1" t="s">
        <v>103</v>
      </c>
      <c r="J435" s="1" t="s">
        <v>719</v>
      </c>
      <c r="K435" s="19" t="s">
        <v>34</v>
      </c>
      <c r="L435" s="20" t="s">
        <v>61</v>
      </c>
      <c r="M435" s="21">
        <f t="shared" si="1"/>
        <v>7</v>
      </c>
      <c r="N435" s="2">
        <v>-207.679788</v>
      </c>
      <c r="O435" s="2">
        <v>2.0</v>
      </c>
      <c r="P435" s="2">
        <v>243.86</v>
      </c>
      <c r="Q435" s="2">
        <v>90439.0</v>
      </c>
      <c r="R435" s="15" t="b">
        <f>ISNUMBER(MATCH(Q435,'Returned order'!A:A,0))</f>
        <v>0</v>
      </c>
      <c r="S435" s="22">
        <v>42106.0</v>
      </c>
      <c r="T435" s="15"/>
      <c r="U435" s="15"/>
      <c r="V435" s="15"/>
    </row>
    <row r="436">
      <c r="A436" s="2">
        <v>25856.0</v>
      </c>
      <c r="B436" s="1" t="s">
        <v>49</v>
      </c>
      <c r="C436" s="2">
        <v>0.03</v>
      </c>
      <c r="D436" s="2">
        <v>37.94</v>
      </c>
      <c r="E436" s="2">
        <v>757.0</v>
      </c>
      <c r="F436" s="1" t="s">
        <v>720</v>
      </c>
      <c r="G436" s="1" t="s">
        <v>51</v>
      </c>
      <c r="H436" s="1" t="s">
        <v>23</v>
      </c>
      <c r="I436" s="1" t="s">
        <v>93</v>
      </c>
      <c r="J436" s="1" t="s">
        <v>721</v>
      </c>
      <c r="K436" s="19" t="s">
        <v>34</v>
      </c>
      <c r="L436" s="20" t="s">
        <v>35</v>
      </c>
      <c r="M436" s="21">
        <f t="shared" si="1"/>
        <v>3</v>
      </c>
      <c r="N436" s="2">
        <v>-7.5244</v>
      </c>
      <c r="O436" s="2">
        <v>1.0</v>
      </c>
      <c r="P436" s="2">
        <v>39.97</v>
      </c>
      <c r="Q436" s="2">
        <v>90258.0</v>
      </c>
      <c r="R436" s="15" t="b">
        <f>ISNUMBER(MATCH(Q436,'Returned order'!A:A,0))</f>
        <v>0</v>
      </c>
      <c r="S436" s="22">
        <v>42046.0</v>
      </c>
      <c r="T436" s="15"/>
      <c r="U436" s="15"/>
      <c r="V436" s="15"/>
    </row>
    <row r="437">
      <c r="A437" s="2">
        <v>21110.0</v>
      </c>
      <c r="B437" s="1" t="s">
        <v>170</v>
      </c>
      <c r="C437" s="2">
        <v>0.0</v>
      </c>
      <c r="D437" s="2">
        <v>20.99</v>
      </c>
      <c r="E437" s="2">
        <v>759.0</v>
      </c>
      <c r="F437" s="1" t="s">
        <v>722</v>
      </c>
      <c r="G437" s="1" t="s">
        <v>66</v>
      </c>
      <c r="H437" s="1" t="s">
        <v>46</v>
      </c>
      <c r="I437" s="1" t="s">
        <v>85</v>
      </c>
      <c r="J437" s="1" t="s">
        <v>723</v>
      </c>
      <c r="K437" s="19" t="s">
        <v>68</v>
      </c>
      <c r="L437" s="20" t="s">
        <v>76</v>
      </c>
      <c r="M437" s="21">
        <f t="shared" si="1"/>
        <v>5</v>
      </c>
      <c r="N437" s="2">
        <v>-92.961</v>
      </c>
      <c r="O437" s="2">
        <v>5.0</v>
      </c>
      <c r="P437" s="2">
        <v>92.96</v>
      </c>
      <c r="Q437" s="2">
        <v>86639.0</v>
      </c>
      <c r="R437" s="15" t="b">
        <f>ISNUMBER(MATCH(Q437,'Returned order'!A:A,0))</f>
        <v>0</v>
      </c>
      <c r="S437" s="22">
        <v>42153.0</v>
      </c>
      <c r="T437" s="15"/>
      <c r="U437" s="15"/>
      <c r="V437" s="15"/>
    </row>
    <row r="438">
      <c r="A438" s="2">
        <v>20377.0</v>
      </c>
      <c r="B438" s="1" t="s">
        <v>49</v>
      </c>
      <c r="C438" s="2">
        <v>0.0</v>
      </c>
      <c r="D438" s="2">
        <v>125.99</v>
      </c>
      <c r="E438" s="2">
        <v>762.0</v>
      </c>
      <c r="F438" s="1" t="s">
        <v>724</v>
      </c>
      <c r="G438" s="1" t="s">
        <v>66</v>
      </c>
      <c r="H438" s="1" t="s">
        <v>46</v>
      </c>
      <c r="I438" s="1" t="s">
        <v>85</v>
      </c>
      <c r="J438" s="1" t="s">
        <v>725</v>
      </c>
      <c r="K438" s="19" t="s">
        <v>34</v>
      </c>
      <c r="L438" s="20" t="s">
        <v>27</v>
      </c>
      <c r="M438" s="21">
        <f t="shared" si="1"/>
        <v>1</v>
      </c>
      <c r="N438" s="2">
        <v>613.89576</v>
      </c>
      <c r="O438" s="2">
        <v>12.0</v>
      </c>
      <c r="P438" s="2">
        <v>1362.2</v>
      </c>
      <c r="Q438" s="2">
        <v>87525.0</v>
      </c>
      <c r="R438" s="15" t="b">
        <f>ISNUMBER(MATCH(Q438,'Returned order'!A:A,0))</f>
        <v>0</v>
      </c>
      <c r="S438" s="22">
        <v>42121.0</v>
      </c>
      <c r="T438" s="15"/>
      <c r="U438" s="15"/>
      <c r="V438" s="15"/>
    </row>
    <row r="439">
      <c r="A439" s="2">
        <v>18735.0</v>
      </c>
      <c r="B439" s="1" t="s">
        <v>58</v>
      </c>
      <c r="C439" s="2">
        <v>0.1</v>
      </c>
      <c r="D439" s="2">
        <v>31.78</v>
      </c>
      <c r="E439" s="2">
        <v>767.0</v>
      </c>
      <c r="F439" s="1" t="s">
        <v>726</v>
      </c>
      <c r="G439" s="1" t="s">
        <v>32</v>
      </c>
      <c r="H439" s="1" t="s">
        <v>46</v>
      </c>
      <c r="I439" s="1" t="s">
        <v>47</v>
      </c>
      <c r="J439" s="1" t="s">
        <v>727</v>
      </c>
      <c r="K439" s="19" t="s">
        <v>68</v>
      </c>
      <c r="L439" s="20" t="s">
        <v>76</v>
      </c>
      <c r="M439" s="21">
        <f t="shared" si="1"/>
        <v>5</v>
      </c>
      <c r="N439" s="2">
        <v>232.2816</v>
      </c>
      <c r="O439" s="2">
        <v>11.0</v>
      </c>
      <c r="P439" s="2">
        <v>336.64</v>
      </c>
      <c r="Q439" s="2">
        <v>86279.0</v>
      </c>
      <c r="R439" s="15" t="b">
        <f>ISNUMBER(MATCH(Q439,'Returned order'!A:A,0))</f>
        <v>0</v>
      </c>
      <c r="S439" s="22">
        <v>42034.0</v>
      </c>
      <c r="T439" s="15"/>
      <c r="U439" s="15"/>
      <c r="V439" s="15"/>
    </row>
    <row r="440">
      <c r="A440" s="2">
        <v>18659.0</v>
      </c>
      <c r="B440" s="1" t="s">
        <v>58</v>
      </c>
      <c r="C440" s="2">
        <v>0.08</v>
      </c>
      <c r="D440" s="2">
        <v>30.73</v>
      </c>
      <c r="E440" s="2">
        <v>770.0</v>
      </c>
      <c r="F440" s="1" t="s">
        <v>728</v>
      </c>
      <c r="G440" s="1" t="s">
        <v>66</v>
      </c>
      <c r="H440" s="1" t="s">
        <v>46</v>
      </c>
      <c r="I440" s="1" t="s">
        <v>47</v>
      </c>
      <c r="J440" s="1" t="s">
        <v>315</v>
      </c>
      <c r="K440" s="19" t="s">
        <v>34</v>
      </c>
      <c r="L440" s="20" t="s">
        <v>70</v>
      </c>
      <c r="M440" s="21">
        <f t="shared" si="1"/>
        <v>4</v>
      </c>
      <c r="N440" s="2">
        <v>-45.07</v>
      </c>
      <c r="O440" s="2">
        <v>14.0</v>
      </c>
      <c r="P440" s="2">
        <v>429.33</v>
      </c>
      <c r="Q440" s="2">
        <v>88667.0</v>
      </c>
      <c r="R440" s="15" t="b">
        <f>ISNUMBER(MATCH(Q440,'Returned order'!A:A,0))</f>
        <v>0</v>
      </c>
      <c r="S440" s="22">
        <v>42082.0</v>
      </c>
      <c r="T440" s="15"/>
      <c r="U440" s="15"/>
      <c r="V440" s="15"/>
    </row>
    <row r="441">
      <c r="A441" s="2">
        <v>18660.0</v>
      </c>
      <c r="B441" s="1" t="s">
        <v>58</v>
      </c>
      <c r="C441" s="2">
        <v>0.05</v>
      </c>
      <c r="D441" s="2">
        <v>14.56</v>
      </c>
      <c r="E441" s="2">
        <v>771.0</v>
      </c>
      <c r="F441" s="1" t="s">
        <v>729</v>
      </c>
      <c r="G441" s="1" t="s">
        <v>66</v>
      </c>
      <c r="H441" s="1" t="s">
        <v>23</v>
      </c>
      <c r="I441" s="1" t="s">
        <v>151</v>
      </c>
      <c r="J441" s="1" t="s">
        <v>730</v>
      </c>
      <c r="K441" s="19" t="s">
        <v>34</v>
      </c>
      <c r="L441" s="20" t="s">
        <v>70</v>
      </c>
      <c r="M441" s="21">
        <f t="shared" si="1"/>
        <v>4</v>
      </c>
      <c r="N441" s="2">
        <v>-8.53</v>
      </c>
      <c r="O441" s="2">
        <v>3.0</v>
      </c>
      <c r="P441" s="2">
        <v>44.66</v>
      </c>
      <c r="Q441" s="2">
        <v>88667.0</v>
      </c>
      <c r="R441" s="15" t="b">
        <f>ISNUMBER(MATCH(Q441,'Returned order'!A:A,0))</f>
        <v>0</v>
      </c>
      <c r="S441" s="22">
        <v>42082.0</v>
      </c>
      <c r="T441" s="15"/>
      <c r="U441" s="15"/>
      <c r="V441" s="15"/>
    </row>
    <row r="442">
      <c r="A442" s="2">
        <v>18661.0</v>
      </c>
      <c r="B442" s="1" t="s">
        <v>58</v>
      </c>
      <c r="C442" s="2">
        <v>0.0</v>
      </c>
      <c r="D442" s="2">
        <v>299.99</v>
      </c>
      <c r="E442" s="2">
        <v>771.0</v>
      </c>
      <c r="F442" s="1" t="s">
        <v>729</v>
      </c>
      <c r="G442" s="1" t="s">
        <v>66</v>
      </c>
      <c r="H442" s="1" t="s">
        <v>46</v>
      </c>
      <c r="I442" s="1" t="s">
        <v>138</v>
      </c>
      <c r="J442" s="1" t="s">
        <v>731</v>
      </c>
      <c r="K442" s="19" t="s">
        <v>34</v>
      </c>
      <c r="L442" s="20" t="s">
        <v>70</v>
      </c>
      <c r="M442" s="21">
        <f t="shared" si="1"/>
        <v>4</v>
      </c>
      <c r="N442" s="2">
        <v>285.95</v>
      </c>
      <c r="O442" s="2">
        <v>5.0</v>
      </c>
      <c r="P442" s="2">
        <v>1619.95</v>
      </c>
      <c r="Q442" s="2">
        <v>88667.0</v>
      </c>
      <c r="R442" s="15" t="b">
        <f>ISNUMBER(MATCH(Q442,'Returned order'!A:A,0))</f>
        <v>0</v>
      </c>
      <c r="S442" s="22">
        <v>42082.0</v>
      </c>
      <c r="T442" s="15"/>
      <c r="U442" s="15"/>
      <c r="V442" s="15"/>
    </row>
    <row r="443">
      <c r="A443" s="2">
        <v>22875.0</v>
      </c>
      <c r="B443" s="1" t="s">
        <v>58</v>
      </c>
      <c r="C443" s="2">
        <v>0.08</v>
      </c>
      <c r="D443" s="2">
        <v>7.77</v>
      </c>
      <c r="E443" s="2">
        <v>772.0</v>
      </c>
      <c r="F443" s="1" t="s">
        <v>732</v>
      </c>
      <c r="G443" s="1" t="s">
        <v>66</v>
      </c>
      <c r="H443" s="1" t="s">
        <v>23</v>
      </c>
      <c r="I443" s="1" t="s">
        <v>151</v>
      </c>
      <c r="J443" s="1" t="s">
        <v>412</v>
      </c>
      <c r="K443" s="19" t="s">
        <v>26</v>
      </c>
      <c r="L443" s="20" t="s">
        <v>35</v>
      </c>
      <c r="M443" s="21">
        <f t="shared" si="1"/>
        <v>3</v>
      </c>
      <c r="N443" s="2">
        <v>-209.25</v>
      </c>
      <c r="O443" s="2">
        <v>7.0</v>
      </c>
      <c r="P443" s="2">
        <v>56.44</v>
      </c>
      <c r="Q443" s="2">
        <v>88666.0</v>
      </c>
      <c r="R443" s="15" t="b">
        <f>ISNUMBER(MATCH(Q443,'Returned order'!A:A,0))</f>
        <v>0</v>
      </c>
      <c r="S443" s="22">
        <v>42018.0</v>
      </c>
      <c r="T443" s="15"/>
      <c r="U443" s="15"/>
      <c r="V443" s="15"/>
    </row>
    <row r="444">
      <c r="A444" s="2">
        <v>22877.0</v>
      </c>
      <c r="B444" s="1" t="s">
        <v>58</v>
      </c>
      <c r="C444" s="2">
        <v>0.1</v>
      </c>
      <c r="D444" s="2">
        <v>18.97</v>
      </c>
      <c r="E444" s="2">
        <v>772.0</v>
      </c>
      <c r="F444" s="1" t="s">
        <v>732</v>
      </c>
      <c r="G444" s="1" t="s">
        <v>66</v>
      </c>
      <c r="H444" s="1" t="s">
        <v>23</v>
      </c>
      <c r="I444" s="1" t="s">
        <v>93</v>
      </c>
      <c r="J444" s="1" t="s">
        <v>277</v>
      </c>
      <c r="K444" s="19" t="s">
        <v>26</v>
      </c>
      <c r="L444" s="20" t="s">
        <v>35</v>
      </c>
      <c r="M444" s="21">
        <f t="shared" si="1"/>
        <v>3</v>
      </c>
      <c r="N444" s="2">
        <v>-9.1636</v>
      </c>
      <c r="O444" s="2">
        <v>3.0</v>
      </c>
      <c r="P444" s="2">
        <v>56.73</v>
      </c>
      <c r="Q444" s="2">
        <v>88666.0</v>
      </c>
      <c r="R444" s="15" t="b">
        <f>ISNUMBER(MATCH(Q444,'Returned order'!A:A,0))</f>
        <v>0</v>
      </c>
      <c r="S444" s="22">
        <v>42018.0</v>
      </c>
      <c r="T444" s="15"/>
      <c r="U444" s="15"/>
      <c r="V444" s="15"/>
    </row>
    <row r="445">
      <c r="A445" s="2">
        <v>20967.0</v>
      </c>
      <c r="B445" s="1" t="s">
        <v>170</v>
      </c>
      <c r="C445" s="2">
        <v>0.02</v>
      </c>
      <c r="D445" s="2">
        <v>4.06</v>
      </c>
      <c r="E445" s="2">
        <v>772.0</v>
      </c>
      <c r="F445" s="1" t="s">
        <v>732</v>
      </c>
      <c r="G445" s="1" t="s">
        <v>66</v>
      </c>
      <c r="H445" s="1" t="s">
        <v>23</v>
      </c>
      <c r="I445" s="1" t="s">
        <v>151</v>
      </c>
      <c r="J445" s="1" t="s">
        <v>733</v>
      </c>
      <c r="K445" s="19" t="s">
        <v>26</v>
      </c>
      <c r="L445" s="20" t="s">
        <v>61</v>
      </c>
      <c r="M445" s="21">
        <f t="shared" si="1"/>
        <v>7</v>
      </c>
      <c r="N445" s="2">
        <v>12.706</v>
      </c>
      <c r="O445" s="2">
        <v>12.0</v>
      </c>
      <c r="P445" s="2">
        <v>64.41</v>
      </c>
      <c r="Q445" s="2">
        <v>88668.0</v>
      </c>
      <c r="R445" s="15" t="b">
        <f>ISNUMBER(MATCH(Q445,'Returned order'!A:A,0))</f>
        <v>0</v>
      </c>
      <c r="S445" s="22">
        <v>42141.0</v>
      </c>
      <c r="T445" s="15"/>
      <c r="U445" s="15"/>
      <c r="V445" s="15"/>
    </row>
    <row r="446">
      <c r="A446" s="2">
        <v>20968.0</v>
      </c>
      <c r="B446" s="1" t="s">
        <v>170</v>
      </c>
      <c r="C446" s="2">
        <v>0.07</v>
      </c>
      <c r="D446" s="2">
        <v>9.49</v>
      </c>
      <c r="E446" s="2">
        <v>772.0</v>
      </c>
      <c r="F446" s="1" t="s">
        <v>732</v>
      </c>
      <c r="G446" s="1" t="s">
        <v>66</v>
      </c>
      <c r="H446" s="1" t="s">
        <v>46</v>
      </c>
      <c r="I446" s="1" t="s">
        <v>103</v>
      </c>
      <c r="J446" s="1" t="s">
        <v>734</v>
      </c>
      <c r="K446" s="19" t="s">
        <v>26</v>
      </c>
      <c r="L446" s="20" t="s">
        <v>61</v>
      </c>
      <c r="M446" s="21">
        <f t="shared" si="1"/>
        <v>7</v>
      </c>
      <c r="N446" s="2">
        <v>7.71516</v>
      </c>
      <c r="O446" s="2">
        <v>37.0</v>
      </c>
      <c r="P446" s="2">
        <v>344.57</v>
      </c>
      <c r="Q446" s="2">
        <v>88668.0</v>
      </c>
      <c r="R446" s="15" t="b">
        <f>ISNUMBER(MATCH(Q446,'Returned order'!A:A,0))</f>
        <v>0</v>
      </c>
      <c r="S446" s="22">
        <v>42141.0</v>
      </c>
      <c r="T446" s="15"/>
      <c r="U446" s="15"/>
      <c r="V446" s="15"/>
    </row>
    <row r="447">
      <c r="A447" s="2">
        <v>20434.0</v>
      </c>
      <c r="B447" s="1" t="s">
        <v>28</v>
      </c>
      <c r="C447" s="2">
        <v>0.04</v>
      </c>
      <c r="D447" s="2">
        <v>34.76</v>
      </c>
      <c r="E447" s="2">
        <v>782.0</v>
      </c>
      <c r="F447" s="1" t="s">
        <v>735</v>
      </c>
      <c r="G447" s="1" t="s">
        <v>66</v>
      </c>
      <c r="H447" s="1" t="s">
        <v>23</v>
      </c>
      <c r="I447" s="1" t="s">
        <v>120</v>
      </c>
      <c r="J447" s="1" t="s">
        <v>736</v>
      </c>
      <c r="K447" s="19" t="s">
        <v>34</v>
      </c>
      <c r="L447" s="20" t="s">
        <v>35</v>
      </c>
      <c r="M447" s="21">
        <f t="shared" si="1"/>
        <v>3</v>
      </c>
      <c r="N447" s="2">
        <v>192.5169</v>
      </c>
      <c r="O447" s="2">
        <v>8.0</v>
      </c>
      <c r="P447" s="2">
        <v>279.01</v>
      </c>
      <c r="Q447" s="2">
        <v>90962.0</v>
      </c>
      <c r="R447" s="15" t="b">
        <f>ISNUMBER(MATCH(Q447,'Returned order'!A:A,0))</f>
        <v>0</v>
      </c>
      <c r="S447" s="22">
        <v>42123.0</v>
      </c>
      <c r="T447" s="15"/>
      <c r="U447" s="15"/>
      <c r="V447" s="15"/>
    </row>
    <row r="448">
      <c r="A448" s="2">
        <v>24773.0</v>
      </c>
      <c r="B448" s="1" t="s">
        <v>170</v>
      </c>
      <c r="C448" s="2">
        <v>0.02</v>
      </c>
      <c r="D448" s="2">
        <v>100.98</v>
      </c>
      <c r="E448" s="2">
        <v>783.0</v>
      </c>
      <c r="F448" s="1" t="s">
        <v>737</v>
      </c>
      <c r="G448" s="1" t="s">
        <v>66</v>
      </c>
      <c r="H448" s="1" t="s">
        <v>37</v>
      </c>
      <c r="I448" s="1" t="s">
        <v>55</v>
      </c>
      <c r="J448" s="1" t="s">
        <v>298</v>
      </c>
      <c r="K448" s="19" t="s">
        <v>26</v>
      </c>
      <c r="L448" s="20" t="s">
        <v>57</v>
      </c>
      <c r="M448" s="21">
        <f t="shared" si="1"/>
        <v>2</v>
      </c>
      <c r="N448" s="2">
        <v>-134.912</v>
      </c>
      <c r="O448" s="2">
        <v>6.0</v>
      </c>
      <c r="P448" s="2">
        <v>614.99</v>
      </c>
      <c r="Q448" s="2">
        <v>90961.0</v>
      </c>
      <c r="R448" s="15" t="b">
        <f>ISNUMBER(MATCH(Q448,'Returned order'!A:A,0))</f>
        <v>0</v>
      </c>
      <c r="S448" s="22">
        <v>42010.0</v>
      </c>
      <c r="T448" s="15"/>
      <c r="U448" s="15"/>
      <c r="V448" s="15"/>
    </row>
    <row r="449">
      <c r="A449" s="2">
        <v>22969.0</v>
      </c>
      <c r="B449" s="1" t="s">
        <v>63</v>
      </c>
      <c r="C449" s="2">
        <v>0.0</v>
      </c>
      <c r="D449" s="2">
        <v>8.34</v>
      </c>
      <c r="E449" s="2">
        <v>786.0</v>
      </c>
      <c r="F449" s="1" t="s">
        <v>738</v>
      </c>
      <c r="G449" s="1" t="s">
        <v>51</v>
      </c>
      <c r="H449" s="1" t="s">
        <v>23</v>
      </c>
      <c r="I449" s="1" t="s">
        <v>93</v>
      </c>
      <c r="J449" s="1" t="s">
        <v>739</v>
      </c>
      <c r="K449" s="19" t="s">
        <v>34</v>
      </c>
      <c r="L449" s="20" t="s">
        <v>27</v>
      </c>
      <c r="M449" s="21">
        <f t="shared" si="1"/>
        <v>1</v>
      </c>
      <c r="N449" s="2">
        <v>-5.05</v>
      </c>
      <c r="O449" s="2">
        <v>9.0</v>
      </c>
      <c r="P449" s="2">
        <v>76.23</v>
      </c>
      <c r="Q449" s="2">
        <v>91513.0</v>
      </c>
      <c r="R449" s="15" t="b">
        <f>ISNUMBER(MATCH(Q449,'Returned order'!A:A,0))</f>
        <v>0</v>
      </c>
      <c r="S449" s="22">
        <v>42100.0</v>
      </c>
      <c r="T449" s="15"/>
      <c r="U449" s="15"/>
      <c r="V449" s="15"/>
    </row>
    <row r="450">
      <c r="A450" s="2">
        <v>24629.0</v>
      </c>
      <c r="B450" s="1" t="s">
        <v>49</v>
      </c>
      <c r="C450" s="2">
        <v>0.09</v>
      </c>
      <c r="D450" s="2">
        <v>6.48</v>
      </c>
      <c r="E450" s="2">
        <v>792.0</v>
      </c>
      <c r="F450" s="1" t="s">
        <v>740</v>
      </c>
      <c r="G450" s="1" t="s">
        <v>32</v>
      </c>
      <c r="H450" s="1" t="s">
        <v>23</v>
      </c>
      <c r="I450" s="1" t="s">
        <v>93</v>
      </c>
      <c r="J450" s="1" t="s">
        <v>741</v>
      </c>
      <c r="K450" s="19" t="s">
        <v>68</v>
      </c>
      <c r="L450" s="20" t="s">
        <v>61</v>
      </c>
      <c r="M450" s="21">
        <f t="shared" si="1"/>
        <v>7</v>
      </c>
      <c r="N450" s="2">
        <v>-204.16</v>
      </c>
      <c r="O450" s="2">
        <v>16.0</v>
      </c>
      <c r="P450" s="2">
        <v>99.92</v>
      </c>
      <c r="Q450" s="2">
        <v>88753.0</v>
      </c>
      <c r="R450" s="15" t="b">
        <f>ISNUMBER(MATCH(Q450,'Returned order'!A:A,0))</f>
        <v>0</v>
      </c>
      <c r="S450" s="22">
        <v>42176.0</v>
      </c>
      <c r="T450" s="15"/>
      <c r="U450" s="15"/>
      <c r="V450" s="15"/>
    </row>
    <row r="451">
      <c r="A451" s="2">
        <v>18347.0</v>
      </c>
      <c r="B451" s="1" t="s">
        <v>49</v>
      </c>
      <c r="C451" s="2">
        <v>0.06</v>
      </c>
      <c r="D451" s="2">
        <v>8.6</v>
      </c>
      <c r="E451" s="2">
        <v>796.0</v>
      </c>
      <c r="F451" s="1" t="s">
        <v>742</v>
      </c>
      <c r="G451" s="1" t="s">
        <v>32</v>
      </c>
      <c r="H451" s="1" t="s">
        <v>23</v>
      </c>
      <c r="I451" s="1" t="s">
        <v>24</v>
      </c>
      <c r="J451" s="1" t="s">
        <v>135</v>
      </c>
      <c r="K451" s="19" t="s">
        <v>68</v>
      </c>
      <c r="L451" s="20" t="s">
        <v>35</v>
      </c>
      <c r="M451" s="21">
        <f t="shared" si="1"/>
        <v>3</v>
      </c>
      <c r="N451" s="2">
        <v>-46.115</v>
      </c>
      <c r="O451" s="2">
        <v>9.0</v>
      </c>
      <c r="P451" s="2">
        <v>79.4</v>
      </c>
      <c r="Q451" s="2">
        <v>86867.0</v>
      </c>
      <c r="R451" s="15" t="b">
        <f>ISNUMBER(MATCH(Q451,'Returned order'!A:A,0))</f>
        <v>0</v>
      </c>
      <c r="S451" s="22">
        <v>42074.0</v>
      </c>
      <c r="T451" s="15"/>
      <c r="U451" s="15"/>
      <c r="V451" s="15"/>
    </row>
    <row r="452">
      <c r="A452" s="2">
        <v>18184.0</v>
      </c>
      <c r="B452" s="1" t="s">
        <v>49</v>
      </c>
      <c r="C452" s="2">
        <v>0.1</v>
      </c>
      <c r="D452" s="2">
        <v>14.42</v>
      </c>
      <c r="E452" s="2">
        <v>796.0</v>
      </c>
      <c r="F452" s="1" t="s">
        <v>742</v>
      </c>
      <c r="G452" s="1" t="s">
        <v>32</v>
      </c>
      <c r="H452" s="1" t="s">
        <v>23</v>
      </c>
      <c r="I452" s="1" t="s">
        <v>151</v>
      </c>
      <c r="J452" s="1" t="s">
        <v>503</v>
      </c>
      <c r="K452" s="19" t="s">
        <v>68</v>
      </c>
      <c r="L452" s="20" t="s">
        <v>76</v>
      </c>
      <c r="M452" s="21">
        <f t="shared" si="1"/>
        <v>5</v>
      </c>
      <c r="N452" s="2">
        <v>-20.104</v>
      </c>
      <c r="O452" s="2">
        <v>1.0</v>
      </c>
      <c r="P452" s="2">
        <v>15.49</v>
      </c>
      <c r="Q452" s="2">
        <v>86869.0</v>
      </c>
      <c r="R452" s="15" t="b">
        <f>ISNUMBER(MATCH(Q452,'Returned order'!A:A,0))</f>
        <v>0</v>
      </c>
      <c r="S452" s="22">
        <v>42174.0</v>
      </c>
      <c r="T452" s="15"/>
      <c r="U452" s="15"/>
      <c r="V452" s="15"/>
    </row>
    <row r="453">
      <c r="A453" s="2">
        <v>19011.0</v>
      </c>
      <c r="B453" s="1" t="s">
        <v>49</v>
      </c>
      <c r="C453" s="2">
        <v>0.04</v>
      </c>
      <c r="D453" s="2">
        <v>9.11</v>
      </c>
      <c r="E453" s="2">
        <v>797.0</v>
      </c>
      <c r="F453" s="1" t="s">
        <v>743</v>
      </c>
      <c r="G453" s="1" t="s">
        <v>32</v>
      </c>
      <c r="H453" s="1" t="s">
        <v>23</v>
      </c>
      <c r="I453" s="1" t="s">
        <v>29</v>
      </c>
      <c r="J453" s="1" t="s">
        <v>744</v>
      </c>
      <c r="K453" s="19" t="s">
        <v>34</v>
      </c>
      <c r="L453" s="20" t="s">
        <v>27</v>
      </c>
      <c r="M453" s="21">
        <f t="shared" si="1"/>
        <v>1</v>
      </c>
      <c r="N453" s="2">
        <v>-3.496</v>
      </c>
      <c r="O453" s="2">
        <v>2.0</v>
      </c>
      <c r="P453" s="2">
        <v>18.59</v>
      </c>
      <c r="Q453" s="2">
        <v>86868.0</v>
      </c>
      <c r="R453" s="15" t="b">
        <f>ISNUMBER(MATCH(Q453,'Returned order'!A:A,0))</f>
        <v>0</v>
      </c>
      <c r="S453" s="22">
        <v>42156.0</v>
      </c>
      <c r="T453" s="15"/>
      <c r="U453" s="15"/>
      <c r="V453" s="15"/>
    </row>
    <row r="454">
      <c r="A454" s="2">
        <v>19012.0</v>
      </c>
      <c r="B454" s="1" t="s">
        <v>49</v>
      </c>
      <c r="C454" s="2">
        <v>0.07</v>
      </c>
      <c r="D454" s="2">
        <v>64.65</v>
      </c>
      <c r="E454" s="2">
        <v>797.0</v>
      </c>
      <c r="F454" s="1" t="s">
        <v>743</v>
      </c>
      <c r="G454" s="1" t="s">
        <v>32</v>
      </c>
      <c r="H454" s="1" t="s">
        <v>23</v>
      </c>
      <c r="I454" s="1" t="s">
        <v>120</v>
      </c>
      <c r="J454" s="1" t="s">
        <v>745</v>
      </c>
      <c r="K454" s="19" t="s">
        <v>34</v>
      </c>
      <c r="L454" s="20" t="s">
        <v>27</v>
      </c>
      <c r="M454" s="21">
        <f t="shared" si="1"/>
        <v>1</v>
      </c>
      <c r="N454" s="2">
        <v>-717.072</v>
      </c>
      <c r="O454" s="2">
        <v>13.0</v>
      </c>
      <c r="P454" s="2">
        <v>834.08</v>
      </c>
      <c r="Q454" s="2">
        <v>86868.0</v>
      </c>
      <c r="R454" s="15" t="b">
        <f>ISNUMBER(MATCH(Q454,'Returned order'!A:A,0))</f>
        <v>0</v>
      </c>
      <c r="S454" s="22">
        <v>42156.0</v>
      </c>
      <c r="T454" s="15"/>
      <c r="U454" s="15"/>
      <c r="V454" s="15"/>
    </row>
    <row r="455">
      <c r="A455" s="2">
        <v>24851.0</v>
      </c>
      <c r="B455" s="1" t="s">
        <v>170</v>
      </c>
      <c r="C455" s="2">
        <v>0.09</v>
      </c>
      <c r="D455" s="2">
        <v>6.48</v>
      </c>
      <c r="E455" s="2">
        <v>797.0</v>
      </c>
      <c r="F455" s="1" t="s">
        <v>743</v>
      </c>
      <c r="G455" s="1" t="s">
        <v>32</v>
      </c>
      <c r="H455" s="1" t="s">
        <v>23</v>
      </c>
      <c r="I455" s="1" t="s">
        <v>93</v>
      </c>
      <c r="J455" s="1" t="s">
        <v>746</v>
      </c>
      <c r="K455" s="19" t="s">
        <v>34</v>
      </c>
      <c r="L455" s="20" t="s">
        <v>76</v>
      </c>
      <c r="M455" s="21">
        <f t="shared" si="1"/>
        <v>5</v>
      </c>
      <c r="N455" s="2">
        <v>-62.23</v>
      </c>
      <c r="O455" s="2">
        <v>8.0</v>
      </c>
      <c r="P455" s="2">
        <v>50.88</v>
      </c>
      <c r="Q455" s="2">
        <v>86870.0</v>
      </c>
      <c r="R455" s="15" t="b">
        <f>ISNUMBER(MATCH(Q455,'Returned order'!A:A,0))</f>
        <v>0</v>
      </c>
      <c r="S455" s="22">
        <v>42069.0</v>
      </c>
      <c r="T455" s="15"/>
      <c r="U455" s="15"/>
      <c r="V455" s="15"/>
    </row>
    <row r="456">
      <c r="A456" s="2">
        <v>20001.0</v>
      </c>
      <c r="B456" s="1" t="s">
        <v>49</v>
      </c>
      <c r="C456" s="2">
        <v>0.01</v>
      </c>
      <c r="D456" s="2">
        <v>150.98</v>
      </c>
      <c r="E456" s="2">
        <v>799.0</v>
      </c>
      <c r="F456" s="1" t="s">
        <v>747</v>
      </c>
      <c r="G456" s="1" t="s">
        <v>22</v>
      </c>
      <c r="H456" s="1" t="s">
        <v>37</v>
      </c>
      <c r="I456" s="1" t="s">
        <v>38</v>
      </c>
      <c r="J456" s="1" t="s">
        <v>748</v>
      </c>
      <c r="K456" s="19" t="s">
        <v>229</v>
      </c>
      <c r="L456" s="20" t="s">
        <v>57</v>
      </c>
      <c r="M456" s="21">
        <f t="shared" si="1"/>
        <v>2</v>
      </c>
      <c r="N456" s="2">
        <v>131.382</v>
      </c>
      <c r="O456" s="2">
        <v>6.0</v>
      </c>
      <c r="P456" s="2">
        <v>958.46</v>
      </c>
      <c r="Q456" s="2">
        <v>89909.0</v>
      </c>
      <c r="R456" s="15" t="b">
        <f>ISNUMBER(MATCH(Q456,'Returned order'!A:A,0))</f>
        <v>0</v>
      </c>
      <c r="S456" s="22">
        <v>42010.0</v>
      </c>
      <c r="T456" s="15"/>
      <c r="U456" s="15"/>
      <c r="V456" s="15"/>
    </row>
    <row r="457">
      <c r="A457" s="2">
        <v>20002.0</v>
      </c>
      <c r="B457" s="1" t="s">
        <v>49</v>
      </c>
      <c r="C457" s="2">
        <v>0.01</v>
      </c>
      <c r="D457" s="2">
        <v>28.28</v>
      </c>
      <c r="E457" s="2">
        <v>799.0</v>
      </c>
      <c r="F457" s="1" t="s">
        <v>747</v>
      </c>
      <c r="G457" s="1" t="s">
        <v>22</v>
      </c>
      <c r="H457" s="1" t="s">
        <v>23</v>
      </c>
      <c r="I457" s="1" t="s">
        <v>120</v>
      </c>
      <c r="J457" s="1" t="s">
        <v>749</v>
      </c>
      <c r="K457" s="19" t="s">
        <v>229</v>
      </c>
      <c r="L457" s="20" t="s">
        <v>57</v>
      </c>
      <c r="M457" s="21">
        <f t="shared" si="1"/>
        <v>2</v>
      </c>
      <c r="N457" s="2">
        <v>-89.292</v>
      </c>
      <c r="O457" s="2">
        <v>12.0</v>
      </c>
      <c r="P457" s="2">
        <v>368.84</v>
      </c>
      <c r="Q457" s="2">
        <v>89909.0</v>
      </c>
      <c r="R457" s="15" t="b">
        <f>ISNUMBER(MATCH(Q457,'Returned order'!A:A,0))</f>
        <v>0</v>
      </c>
      <c r="S457" s="22">
        <v>42010.0</v>
      </c>
      <c r="T457" s="15"/>
      <c r="U457" s="15"/>
      <c r="V457" s="15"/>
    </row>
    <row r="458">
      <c r="A458" s="2">
        <v>20003.0</v>
      </c>
      <c r="B458" s="1" t="s">
        <v>49</v>
      </c>
      <c r="C458" s="2">
        <v>0.03</v>
      </c>
      <c r="D458" s="2">
        <v>35.99</v>
      </c>
      <c r="E458" s="2">
        <v>799.0</v>
      </c>
      <c r="F458" s="1" t="s">
        <v>747</v>
      </c>
      <c r="G458" s="1" t="s">
        <v>22</v>
      </c>
      <c r="H458" s="1" t="s">
        <v>46</v>
      </c>
      <c r="I458" s="1" t="s">
        <v>85</v>
      </c>
      <c r="J458" s="1" t="s">
        <v>750</v>
      </c>
      <c r="K458" s="19" t="s">
        <v>229</v>
      </c>
      <c r="L458" s="20" t="s">
        <v>57</v>
      </c>
      <c r="M458" s="21">
        <f t="shared" si="1"/>
        <v>2</v>
      </c>
      <c r="N458" s="2">
        <v>-211.036</v>
      </c>
      <c r="O458" s="2">
        <v>1.0</v>
      </c>
      <c r="P458" s="2">
        <v>30.86</v>
      </c>
      <c r="Q458" s="2">
        <v>89909.0</v>
      </c>
      <c r="R458" s="15" t="b">
        <f>ISNUMBER(MATCH(Q458,'Returned order'!A:A,0))</f>
        <v>0</v>
      </c>
      <c r="S458" s="22">
        <v>42010.0</v>
      </c>
      <c r="T458" s="15"/>
      <c r="U458" s="15"/>
      <c r="V458" s="15"/>
    </row>
    <row r="459">
      <c r="A459" s="2">
        <v>19265.0</v>
      </c>
      <c r="B459" s="1" t="s">
        <v>170</v>
      </c>
      <c r="C459" s="2">
        <v>0.04</v>
      </c>
      <c r="D459" s="2">
        <v>50.98</v>
      </c>
      <c r="E459" s="2">
        <v>800.0</v>
      </c>
      <c r="F459" s="1" t="s">
        <v>751</v>
      </c>
      <c r="G459" s="1" t="s">
        <v>22</v>
      </c>
      <c r="H459" s="1" t="s">
        <v>46</v>
      </c>
      <c r="I459" s="1" t="s">
        <v>47</v>
      </c>
      <c r="J459" s="1" t="s">
        <v>752</v>
      </c>
      <c r="K459" s="19" t="s">
        <v>34</v>
      </c>
      <c r="L459" s="20" t="s">
        <v>53</v>
      </c>
      <c r="M459" s="21">
        <f t="shared" si="1"/>
        <v>6</v>
      </c>
      <c r="N459" s="2">
        <v>-13.28</v>
      </c>
      <c r="O459" s="2">
        <v>11.0</v>
      </c>
      <c r="P459" s="2">
        <v>568.25</v>
      </c>
      <c r="Q459" s="2">
        <v>89910.0</v>
      </c>
      <c r="R459" s="15" t="b">
        <f>ISNUMBER(MATCH(Q459,'Returned order'!A:A,0))</f>
        <v>0</v>
      </c>
      <c r="S459" s="22">
        <v>42091.0</v>
      </c>
      <c r="T459" s="15"/>
      <c r="U459" s="15"/>
      <c r="V459" s="15"/>
    </row>
    <row r="460">
      <c r="A460" s="2">
        <v>19266.0</v>
      </c>
      <c r="B460" s="1" t="s">
        <v>170</v>
      </c>
      <c r="C460" s="2">
        <v>0.02</v>
      </c>
      <c r="D460" s="2">
        <v>6.48</v>
      </c>
      <c r="E460" s="2">
        <v>800.0</v>
      </c>
      <c r="F460" s="1" t="s">
        <v>751</v>
      </c>
      <c r="G460" s="1" t="s">
        <v>22</v>
      </c>
      <c r="H460" s="1" t="s">
        <v>23</v>
      </c>
      <c r="I460" s="1" t="s">
        <v>93</v>
      </c>
      <c r="J460" s="1" t="s">
        <v>753</v>
      </c>
      <c r="K460" s="19" t="s">
        <v>34</v>
      </c>
      <c r="L460" s="20" t="s">
        <v>53</v>
      </c>
      <c r="M460" s="21">
        <f t="shared" si="1"/>
        <v>6</v>
      </c>
      <c r="N460" s="2">
        <v>-48.68</v>
      </c>
      <c r="O460" s="2">
        <v>19.0</v>
      </c>
      <c r="P460" s="2">
        <v>126.66</v>
      </c>
      <c r="Q460" s="2">
        <v>89910.0</v>
      </c>
      <c r="R460" s="15" t="b">
        <f>ISNUMBER(MATCH(Q460,'Returned order'!A:A,0))</f>
        <v>0</v>
      </c>
      <c r="S460" s="22">
        <v>42091.0</v>
      </c>
      <c r="T460" s="15"/>
      <c r="U460" s="15"/>
      <c r="V460" s="15"/>
    </row>
    <row r="461">
      <c r="A461" s="2">
        <v>22484.0</v>
      </c>
      <c r="B461" s="1" t="s">
        <v>63</v>
      </c>
      <c r="C461" s="2">
        <v>0.03</v>
      </c>
      <c r="D461" s="2">
        <v>35.99</v>
      </c>
      <c r="E461" s="2">
        <v>803.0</v>
      </c>
      <c r="F461" s="1" t="s">
        <v>754</v>
      </c>
      <c r="G461" s="1" t="s">
        <v>66</v>
      </c>
      <c r="H461" s="1" t="s">
        <v>46</v>
      </c>
      <c r="I461" s="1" t="s">
        <v>85</v>
      </c>
      <c r="J461" s="1" t="s">
        <v>598</v>
      </c>
      <c r="K461" s="19" t="s">
        <v>229</v>
      </c>
      <c r="L461" s="20" t="s">
        <v>35</v>
      </c>
      <c r="M461" s="21">
        <f t="shared" si="1"/>
        <v>3</v>
      </c>
      <c r="N461" s="2">
        <v>-184.548</v>
      </c>
      <c r="O461" s="2">
        <v>3.0</v>
      </c>
      <c r="P461" s="2">
        <v>93.82</v>
      </c>
      <c r="Q461" s="2">
        <v>90048.0</v>
      </c>
      <c r="R461" s="15" t="b">
        <f>ISNUMBER(MATCH(Q461,'Returned order'!A:A,0))</f>
        <v>0</v>
      </c>
      <c r="S461" s="22">
        <v>42123.0</v>
      </c>
      <c r="T461" s="15"/>
      <c r="U461" s="15"/>
      <c r="V461" s="15"/>
    </row>
    <row r="462">
      <c r="A462" s="2">
        <v>5722.0</v>
      </c>
      <c r="B462" s="1" t="s">
        <v>58</v>
      </c>
      <c r="C462" s="2">
        <v>0.06</v>
      </c>
      <c r="D462" s="2">
        <v>179.99</v>
      </c>
      <c r="E462" s="2">
        <v>806.0</v>
      </c>
      <c r="F462" s="1" t="s">
        <v>755</v>
      </c>
      <c r="G462" s="1" t="s">
        <v>66</v>
      </c>
      <c r="H462" s="1" t="s">
        <v>46</v>
      </c>
      <c r="I462" s="1" t="s">
        <v>85</v>
      </c>
      <c r="J462" s="1" t="s">
        <v>756</v>
      </c>
      <c r="K462" s="19" t="s">
        <v>229</v>
      </c>
      <c r="L462" s="20" t="s">
        <v>76</v>
      </c>
      <c r="M462" s="21">
        <f t="shared" si="1"/>
        <v>5</v>
      </c>
      <c r="N462" s="2">
        <v>1220.03784</v>
      </c>
      <c r="O462" s="2">
        <v>54.0</v>
      </c>
      <c r="P462" s="2">
        <v>8332.91</v>
      </c>
      <c r="Q462" s="2">
        <v>40547.0</v>
      </c>
      <c r="R462" s="15" t="b">
        <f>ISNUMBER(MATCH(Q462,'Returned order'!A:A,0))</f>
        <v>0</v>
      </c>
      <c r="S462" s="22">
        <v>42013.0</v>
      </c>
      <c r="T462" s="15"/>
      <c r="U462" s="15"/>
      <c r="V462" s="15"/>
    </row>
    <row r="463">
      <c r="A463" s="2">
        <v>21942.0</v>
      </c>
      <c r="B463" s="1" t="s">
        <v>170</v>
      </c>
      <c r="C463" s="2">
        <v>0.09</v>
      </c>
      <c r="D463" s="2">
        <v>5.84</v>
      </c>
      <c r="E463" s="2">
        <v>820.0</v>
      </c>
      <c r="F463" s="1" t="s">
        <v>757</v>
      </c>
      <c r="G463" s="1" t="s">
        <v>66</v>
      </c>
      <c r="H463" s="1" t="s">
        <v>23</v>
      </c>
      <c r="I463" s="1" t="s">
        <v>29</v>
      </c>
      <c r="J463" s="1" t="s">
        <v>758</v>
      </c>
      <c r="K463" s="19" t="s">
        <v>34</v>
      </c>
      <c r="L463" s="20" t="s">
        <v>70</v>
      </c>
      <c r="M463" s="21">
        <f t="shared" si="1"/>
        <v>4</v>
      </c>
      <c r="N463" s="2">
        <v>-2.87</v>
      </c>
      <c r="O463" s="2">
        <v>1.0</v>
      </c>
      <c r="P463" s="2">
        <v>5.9</v>
      </c>
      <c r="Q463" s="2">
        <v>90244.0</v>
      </c>
      <c r="R463" s="15" t="b">
        <f>ISNUMBER(MATCH(Q463,'Returned order'!A:A,0))</f>
        <v>0</v>
      </c>
      <c r="S463" s="22">
        <v>42145.0</v>
      </c>
      <c r="T463" s="15"/>
      <c r="U463" s="15"/>
      <c r="V463" s="15"/>
    </row>
    <row r="464">
      <c r="A464" s="2">
        <v>20661.0</v>
      </c>
      <c r="B464" s="1" t="s">
        <v>170</v>
      </c>
      <c r="C464" s="2">
        <v>0.04</v>
      </c>
      <c r="D464" s="2">
        <v>6.24</v>
      </c>
      <c r="E464" s="2">
        <v>823.0</v>
      </c>
      <c r="F464" s="1" t="s">
        <v>759</v>
      </c>
      <c r="G464" s="1" t="s">
        <v>66</v>
      </c>
      <c r="H464" s="1" t="s">
        <v>37</v>
      </c>
      <c r="I464" s="1" t="s">
        <v>42</v>
      </c>
      <c r="J464" s="1" t="s">
        <v>760</v>
      </c>
      <c r="K464" s="19" t="s">
        <v>229</v>
      </c>
      <c r="L464" s="20" t="s">
        <v>27</v>
      </c>
      <c r="M464" s="21">
        <f t="shared" si="1"/>
        <v>1</v>
      </c>
      <c r="N464" s="2">
        <v>4.3809</v>
      </c>
      <c r="O464" s="2">
        <v>13.0</v>
      </c>
      <c r="P464" s="2">
        <v>80.23</v>
      </c>
      <c r="Q464" s="2">
        <v>89257.0</v>
      </c>
      <c r="R464" s="15" t="b">
        <f>ISNUMBER(MATCH(Q464,'Returned order'!A:A,0))</f>
        <v>0</v>
      </c>
      <c r="S464" s="22">
        <v>42016.0</v>
      </c>
      <c r="T464" s="15"/>
      <c r="U464" s="15"/>
      <c r="V464" s="15"/>
    </row>
    <row r="465">
      <c r="A465" s="2">
        <v>20663.0</v>
      </c>
      <c r="B465" s="1" t="s">
        <v>170</v>
      </c>
      <c r="C465" s="2">
        <v>0.09</v>
      </c>
      <c r="D465" s="2">
        <v>260.98</v>
      </c>
      <c r="E465" s="2">
        <v>824.0</v>
      </c>
      <c r="F465" s="1" t="s">
        <v>761</v>
      </c>
      <c r="G465" s="1" t="s">
        <v>66</v>
      </c>
      <c r="H465" s="1" t="s">
        <v>37</v>
      </c>
      <c r="I465" s="1" t="s">
        <v>55</v>
      </c>
      <c r="J465" s="1" t="s">
        <v>762</v>
      </c>
      <c r="K465" s="19" t="s">
        <v>229</v>
      </c>
      <c r="L465" s="20" t="s">
        <v>27</v>
      </c>
      <c r="M465" s="21">
        <f t="shared" si="1"/>
        <v>1</v>
      </c>
      <c r="N465" s="2">
        <v>-100.744</v>
      </c>
      <c r="O465" s="2">
        <v>8.0</v>
      </c>
      <c r="P465" s="2">
        <v>2044.9</v>
      </c>
      <c r="Q465" s="2">
        <v>89257.0</v>
      </c>
      <c r="R465" s="15" t="b">
        <f>ISNUMBER(MATCH(Q465,'Returned order'!A:A,0))</f>
        <v>0</v>
      </c>
      <c r="S465" s="22">
        <v>42016.0</v>
      </c>
      <c r="T465" s="15"/>
      <c r="U465" s="15"/>
      <c r="V465" s="15"/>
    </row>
    <row r="466">
      <c r="A466" s="2">
        <v>21350.0</v>
      </c>
      <c r="B466" s="1" t="s">
        <v>58</v>
      </c>
      <c r="C466" s="2">
        <v>0.0</v>
      </c>
      <c r="D466" s="2">
        <v>11.97</v>
      </c>
      <c r="E466" s="2">
        <v>825.0</v>
      </c>
      <c r="F466" s="1" t="s">
        <v>763</v>
      </c>
      <c r="G466" s="1" t="s">
        <v>51</v>
      </c>
      <c r="H466" s="1" t="s">
        <v>23</v>
      </c>
      <c r="I466" s="1" t="s">
        <v>151</v>
      </c>
      <c r="J466" s="1" t="s">
        <v>510</v>
      </c>
      <c r="K466" s="19" t="s">
        <v>68</v>
      </c>
      <c r="L466" s="20" t="s">
        <v>70</v>
      </c>
      <c r="M466" s="21">
        <f t="shared" si="1"/>
        <v>4</v>
      </c>
      <c r="N466" s="2">
        <v>3.384</v>
      </c>
      <c r="O466" s="2">
        <v>4.0</v>
      </c>
      <c r="P466" s="2">
        <v>53.3</v>
      </c>
      <c r="Q466" s="2">
        <v>89258.0</v>
      </c>
      <c r="R466" s="15" t="b">
        <f>ISNUMBER(MATCH(Q466,'Returned order'!A:A,0))</f>
        <v>0</v>
      </c>
      <c r="S466" s="22">
        <v>42145.0</v>
      </c>
      <c r="T466" s="15"/>
      <c r="U466" s="15"/>
      <c r="V466" s="15"/>
    </row>
    <row r="467">
      <c r="A467" s="2">
        <v>24842.0</v>
      </c>
      <c r="B467" s="1" t="s">
        <v>63</v>
      </c>
      <c r="C467" s="2">
        <v>0.01</v>
      </c>
      <c r="D467" s="2">
        <v>6.98</v>
      </c>
      <c r="E467" s="2">
        <v>827.0</v>
      </c>
      <c r="F467" s="1" t="s">
        <v>764</v>
      </c>
      <c r="G467" s="1" t="s">
        <v>51</v>
      </c>
      <c r="H467" s="1" t="s">
        <v>23</v>
      </c>
      <c r="I467" s="1" t="s">
        <v>93</v>
      </c>
      <c r="J467" s="1" t="s">
        <v>765</v>
      </c>
      <c r="K467" s="19" t="s">
        <v>68</v>
      </c>
      <c r="L467" s="20" t="s">
        <v>27</v>
      </c>
      <c r="M467" s="21">
        <f t="shared" si="1"/>
        <v>1</v>
      </c>
      <c r="N467" s="2">
        <v>0.346</v>
      </c>
      <c r="O467" s="2">
        <v>3.0</v>
      </c>
      <c r="P467" s="2">
        <v>21.93</v>
      </c>
      <c r="Q467" s="2">
        <v>89259.0</v>
      </c>
      <c r="R467" s="15" t="b">
        <f>ISNUMBER(MATCH(Q467,'Returned order'!A:A,0))</f>
        <v>0</v>
      </c>
      <c r="S467" s="22">
        <v>42149.0</v>
      </c>
      <c r="T467" s="15"/>
      <c r="U467" s="15"/>
      <c r="V467" s="15"/>
    </row>
    <row r="468">
      <c r="A468" s="2">
        <v>24236.0</v>
      </c>
      <c r="B468" s="1" t="s">
        <v>49</v>
      </c>
      <c r="C468" s="2">
        <v>0.01</v>
      </c>
      <c r="D468" s="2">
        <v>5.18</v>
      </c>
      <c r="E468" s="2">
        <v>829.0</v>
      </c>
      <c r="F468" s="1" t="s">
        <v>766</v>
      </c>
      <c r="G468" s="1" t="s">
        <v>32</v>
      </c>
      <c r="H468" s="1" t="s">
        <v>23</v>
      </c>
      <c r="I468" s="1" t="s">
        <v>93</v>
      </c>
      <c r="J468" s="1" t="s">
        <v>254</v>
      </c>
      <c r="K468" s="19" t="s">
        <v>229</v>
      </c>
      <c r="L468" s="20" t="s">
        <v>61</v>
      </c>
      <c r="M468" s="21">
        <f t="shared" si="1"/>
        <v>7</v>
      </c>
      <c r="N468" s="2">
        <v>-17.654</v>
      </c>
      <c r="O468" s="2">
        <v>5.0</v>
      </c>
      <c r="P468" s="2">
        <v>28.46</v>
      </c>
      <c r="Q468" s="2">
        <v>90271.0</v>
      </c>
      <c r="R468" s="15" t="b">
        <f>ISNUMBER(MATCH(Q468,'Returned order'!A:A,0))</f>
        <v>0</v>
      </c>
      <c r="S468" s="22">
        <v>42057.0</v>
      </c>
      <c r="T468" s="15"/>
      <c r="U468" s="15"/>
      <c r="V468" s="15"/>
    </row>
    <row r="469">
      <c r="A469" s="2">
        <v>20664.0</v>
      </c>
      <c r="B469" s="1" t="s">
        <v>28</v>
      </c>
      <c r="C469" s="2">
        <v>0.01</v>
      </c>
      <c r="D469" s="2">
        <v>14.42</v>
      </c>
      <c r="E469" s="2">
        <v>830.0</v>
      </c>
      <c r="F469" s="1" t="s">
        <v>767</v>
      </c>
      <c r="G469" s="1" t="s">
        <v>32</v>
      </c>
      <c r="H469" s="1" t="s">
        <v>23</v>
      </c>
      <c r="I469" s="1" t="s">
        <v>151</v>
      </c>
      <c r="J469" s="1" t="s">
        <v>503</v>
      </c>
      <c r="K469" s="19" t="s">
        <v>34</v>
      </c>
      <c r="L469" s="20" t="s">
        <v>53</v>
      </c>
      <c r="M469" s="21">
        <f t="shared" si="1"/>
        <v>6</v>
      </c>
      <c r="N469" s="2">
        <v>-13.826</v>
      </c>
      <c r="O469" s="2">
        <v>6.0</v>
      </c>
      <c r="P469" s="2">
        <v>89.91</v>
      </c>
      <c r="Q469" s="2">
        <v>90270.0</v>
      </c>
      <c r="R469" s="15" t="b">
        <f>ISNUMBER(MATCH(Q469,'Returned order'!A:A,0))</f>
        <v>0</v>
      </c>
      <c r="S469" s="22">
        <v>42028.0</v>
      </c>
      <c r="T469" s="15"/>
      <c r="U469" s="15"/>
      <c r="V469" s="15"/>
    </row>
    <row r="470">
      <c r="A470" s="2">
        <v>19173.0</v>
      </c>
      <c r="B470" s="1" t="s">
        <v>28</v>
      </c>
      <c r="C470" s="2">
        <v>0.0</v>
      </c>
      <c r="D470" s="2">
        <v>11.66</v>
      </c>
      <c r="E470" s="2">
        <v>833.0</v>
      </c>
      <c r="F470" s="1" t="s">
        <v>768</v>
      </c>
      <c r="G470" s="1" t="s">
        <v>32</v>
      </c>
      <c r="H470" s="1" t="s">
        <v>23</v>
      </c>
      <c r="I470" s="1" t="s">
        <v>29</v>
      </c>
      <c r="J470" s="1" t="s">
        <v>769</v>
      </c>
      <c r="K470" s="19" t="s">
        <v>34</v>
      </c>
      <c r="L470" s="20" t="s">
        <v>76</v>
      </c>
      <c r="M470" s="21">
        <f t="shared" si="1"/>
        <v>5</v>
      </c>
      <c r="N470" s="2">
        <v>-203.67</v>
      </c>
      <c r="O470" s="2">
        <v>11.0</v>
      </c>
      <c r="P470" s="2">
        <v>138.51</v>
      </c>
      <c r="Q470" s="2">
        <v>89770.0</v>
      </c>
      <c r="R470" s="15" t="b">
        <f>ISNUMBER(MATCH(Q470,'Returned order'!A:A,0))</f>
        <v>0</v>
      </c>
      <c r="S470" s="22">
        <v>42013.0</v>
      </c>
      <c r="T470" s="15"/>
      <c r="U470" s="15"/>
      <c r="V470" s="15"/>
    </row>
    <row r="471">
      <c r="A471" s="2">
        <v>19383.0</v>
      </c>
      <c r="B471" s="1" t="s">
        <v>49</v>
      </c>
      <c r="C471" s="2">
        <v>0.07</v>
      </c>
      <c r="D471" s="2">
        <v>6.08</v>
      </c>
      <c r="E471" s="2">
        <v>850.0</v>
      </c>
      <c r="F471" s="1" t="s">
        <v>770</v>
      </c>
      <c r="G471" s="1" t="s">
        <v>32</v>
      </c>
      <c r="H471" s="1" t="s">
        <v>23</v>
      </c>
      <c r="I471" s="1" t="s">
        <v>29</v>
      </c>
      <c r="J471" s="1" t="s">
        <v>771</v>
      </c>
      <c r="K471" s="19" t="s">
        <v>34</v>
      </c>
      <c r="L471" s="20" t="s">
        <v>53</v>
      </c>
      <c r="M471" s="21">
        <f t="shared" si="1"/>
        <v>6</v>
      </c>
      <c r="N471" s="2">
        <v>19.57</v>
      </c>
      <c r="O471" s="2">
        <v>7.0</v>
      </c>
      <c r="P471" s="2">
        <v>41.96</v>
      </c>
      <c r="Q471" s="2">
        <v>88569.0</v>
      </c>
      <c r="R471" s="15" t="b">
        <f>ISNUMBER(MATCH(Q471,'Returned order'!A:A,0))</f>
        <v>0</v>
      </c>
      <c r="S471" s="22">
        <v>42070.0</v>
      </c>
      <c r="T471" s="15"/>
      <c r="U471" s="15"/>
      <c r="V471" s="15"/>
    </row>
    <row r="472">
      <c r="A472" s="2">
        <v>20604.0</v>
      </c>
      <c r="B472" s="1" t="s">
        <v>170</v>
      </c>
      <c r="C472" s="2">
        <v>0.1</v>
      </c>
      <c r="D472" s="2">
        <v>50.98</v>
      </c>
      <c r="E472" s="2">
        <v>851.0</v>
      </c>
      <c r="F472" s="1" t="s">
        <v>772</v>
      </c>
      <c r="G472" s="1" t="s">
        <v>32</v>
      </c>
      <c r="H472" s="1" t="s">
        <v>37</v>
      </c>
      <c r="I472" s="1" t="s">
        <v>42</v>
      </c>
      <c r="J472" s="1" t="s">
        <v>773</v>
      </c>
      <c r="K472" s="19" t="s">
        <v>34</v>
      </c>
      <c r="L472" s="20" t="s">
        <v>35</v>
      </c>
      <c r="M472" s="21">
        <f t="shared" si="1"/>
        <v>3</v>
      </c>
      <c r="N472" s="2">
        <v>98.12</v>
      </c>
      <c r="O472" s="2">
        <v>6.0</v>
      </c>
      <c r="P472" s="2">
        <v>300.63</v>
      </c>
      <c r="Q472" s="2">
        <v>88568.0</v>
      </c>
      <c r="R472" s="15" t="b">
        <f>ISNUMBER(MATCH(Q472,'Returned order'!A:A,0))</f>
        <v>0</v>
      </c>
      <c r="S472" s="22">
        <v>42060.0</v>
      </c>
      <c r="T472" s="15"/>
      <c r="U472" s="15"/>
      <c r="V472" s="15"/>
    </row>
    <row r="473">
      <c r="A473" s="2">
        <v>19384.0</v>
      </c>
      <c r="B473" s="1" t="s">
        <v>49</v>
      </c>
      <c r="C473" s="2">
        <v>0.08</v>
      </c>
      <c r="D473" s="2">
        <v>19.9</v>
      </c>
      <c r="E473" s="2">
        <v>851.0</v>
      </c>
      <c r="F473" s="1" t="s">
        <v>772</v>
      </c>
      <c r="G473" s="1" t="s">
        <v>32</v>
      </c>
      <c r="H473" s="1" t="s">
        <v>23</v>
      </c>
      <c r="I473" s="1" t="s">
        <v>151</v>
      </c>
      <c r="J473" s="1" t="s">
        <v>774</v>
      </c>
      <c r="K473" s="19" t="s">
        <v>34</v>
      </c>
      <c r="L473" s="20" t="s">
        <v>53</v>
      </c>
      <c r="M473" s="21">
        <f t="shared" si="1"/>
        <v>6</v>
      </c>
      <c r="N473" s="2">
        <v>107.11</v>
      </c>
      <c r="O473" s="2">
        <v>13.0</v>
      </c>
      <c r="P473" s="2">
        <v>240.46</v>
      </c>
      <c r="Q473" s="2">
        <v>88569.0</v>
      </c>
      <c r="R473" s="15" t="b">
        <f>ISNUMBER(MATCH(Q473,'Returned order'!A:A,0))</f>
        <v>0</v>
      </c>
      <c r="S473" s="22">
        <v>42070.0</v>
      </c>
      <c r="T473" s="15"/>
      <c r="U473" s="15"/>
      <c r="V473" s="15"/>
    </row>
    <row r="474">
      <c r="A474" s="2">
        <v>19385.0</v>
      </c>
      <c r="B474" s="1" t="s">
        <v>49</v>
      </c>
      <c r="C474" s="2">
        <v>0.02</v>
      </c>
      <c r="D474" s="2">
        <v>3.36</v>
      </c>
      <c r="E474" s="2">
        <v>851.0</v>
      </c>
      <c r="F474" s="1" t="s">
        <v>772</v>
      </c>
      <c r="G474" s="1" t="s">
        <v>32</v>
      </c>
      <c r="H474" s="1" t="s">
        <v>23</v>
      </c>
      <c r="I474" s="1" t="s">
        <v>24</v>
      </c>
      <c r="J474" s="1" t="s">
        <v>91</v>
      </c>
      <c r="K474" s="19" t="s">
        <v>34</v>
      </c>
      <c r="L474" s="20" t="s">
        <v>53</v>
      </c>
      <c r="M474" s="21">
        <f t="shared" si="1"/>
        <v>6</v>
      </c>
      <c r="N474" s="2">
        <v>-216.154</v>
      </c>
      <c r="O474" s="2">
        <v>21.0</v>
      </c>
      <c r="P474" s="2">
        <v>74.08</v>
      </c>
      <c r="Q474" s="2">
        <v>88569.0</v>
      </c>
      <c r="R474" s="15" t="b">
        <f>ISNUMBER(MATCH(Q474,'Returned order'!A:A,0))</f>
        <v>0</v>
      </c>
      <c r="S474" s="22">
        <v>42070.0</v>
      </c>
      <c r="T474" s="15"/>
      <c r="U474" s="15"/>
      <c r="V474" s="15"/>
    </row>
    <row r="475">
      <c r="A475" s="2">
        <v>21353.0</v>
      </c>
      <c r="B475" s="1" t="s">
        <v>58</v>
      </c>
      <c r="C475" s="2">
        <v>0.06</v>
      </c>
      <c r="D475" s="2">
        <v>1.26</v>
      </c>
      <c r="E475" s="2">
        <v>851.0</v>
      </c>
      <c r="F475" s="1" t="s">
        <v>772</v>
      </c>
      <c r="G475" s="1" t="s">
        <v>32</v>
      </c>
      <c r="H475" s="1" t="s">
        <v>23</v>
      </c>
      <c r="I475" s="1" t="s">
        <v>81</v>
      </c>
      <c r="J475" s="1" t="s">
        <v>775</v>
      </c>
      <c r="K475" s="19" t="s">
        <v>34</v>
      </c>
      <c r="L475" s="20" t="s">
        <v>70</v>
      </c>
      <c r="M475" s="21">
        <f t="shared" si="1"/>
        <v>4</v>
      </c>
      <c r="N475" s="2">
        <v>-6.6096</v>
      </c>
      <c r="O475" s="2">
        <v>4.0</v>
      </c>
      <c r="P475" s="2">
        <v>5.28</v>
      </c>
      <c r="Q475" s="2">
        <v>88571.0</v>
      </c>
      <c r="R475" s="15" t="b">
        <f>ISNUMBER(MATCH(Q475,'Returned order'!A:A,0))</f>
        <v>0</v>
      </c>
      <c r="S475" s="22">
        <v>42124.0</v>
      </c>
      <c r="T475" s="15"/>
      <c r="U475" s="15"/>
      <c r="V475" s="15"/>
    </row>
    <row r="476">
      <c r="A476" s="2">
        <v>26093.0</v>
      </c>
      <c r="B476" s="1" t="s">
        <v>28</v>
      </c>
      <c r="C476" s="2">
        <v>0.05</v>
      </c>
      <c r="D476" s="2">
        <v>4.24</v>
      </c>
      <c r="E476" s="2">
        <v>853.0</v>
      </c>
      <c r="F476" s="1" t="s">
        <v>776</v>
      </c>
      <c r="G476" s="1" t="s">
        <v>66</v>
      </c>
      <c r="H476" s="1" t="s">
        <v>23</v>
      </c>
      <c r="I476" s="1" t="s">
        <v>24</v>
      </c>
      <c r="J476" s="1" t="s">
        <v>178</v>
      </c>
      <c r="K476" s="19" t="s">
        <v>34</v>
      </c>
      <c r="L476" s="20" t="s">
        <v>27</v>
      </c>
      <c r="M476" s="21">
        <f t="shared" si="1"/>
        <v>1</v>
      </c>
      <c r="N476" s="2">
        <v>-89.217</v>
      </c>
      <c r="O476" s="2">
        <v>12.0</v>
      </c>
      <c r="P476" s="2">
        <v>50.83</v>
      </c>
      <c r="Q476" s="2">
        <v>88570.0</v>
      </c>
      <c r="R476" s="15" t="b">
        <f>ISNUMBER(MATCH(Q476,'Returned order'!A:A,0))</f>
        <v>0</v>
      </c>
      <c r="S476" s="22">
        <v>42079.0</v>
      </c>
      <c r="T476" s="15"/>
      <c r="U476" s="15"/>
      <c r="V476" s="15"/>
    </row>
    <row r="477">
      <c r="A477" s="2">
        <v>21351.0</v>
      </c>
      <c r="B477" s="1" t="s">
        <v>58</v>
      </c>
      <c r="C477" s="2">
        <v>0.06</v>
      </c>
      <c r="D477" s="2">
        <v>1.76</v>
      </c>
      <c r="E477" s="2">
        <v>854.0</v>
      </c>
      <c r="F477" s="1" t="s">
        <v>777</v>
      </c>
      <c r="G477" s="1" t="s">
        <v>32</v>
      </c>
      <c r="H477" s="1" t="s">
        <v>23</v>
      </c>
      <c r="I477" s="1" t="s">
        <v>29</v>
      </c>
      <c r="J477" s="1" t="s">
        <v>30</v>
      </c>
      <c r="K477" s="19" t="s">
        <v>26</v>
      </c>
      <c r="L477" s="20" t="s">
        <v>70</v>
      </c>
      <c r="M477" s="21">
        <f t="shared" si="1"/>
        <v>4</v>
      </c>
      <c r="N477" s="2">
        <v>1.2236</v>
      </c>
      <c r="O477" s="2">
        <v>22.0</v>
      </c>
      <c r="P477" s="2">
        <v>39.26</v>
      </c>
      <c r="Q477" s="2">
        <v>88571.0</v>
      </c>
      <c r="R477" s="15" t="b">
        <f>ISNUMBER(MATCH(Q477,'Returned order'!A:A,0))</f>
        <v>0</v>
      </c>
      <c r="S477" s="22">
        <v>42124.0</v>
      </c>
      <c r="T477" s="15"/>
      <c r="U477" s="15"/>
      <c r="V477" s="15"/>
    </row>
    <row r="478">
      <c r="A478" s="2">
        <v>21352.0</v>
      </c>
      <c r="B478" s="1" t="s">
        <v>58</v>
      </c>
      <c r="C478" s="2">
        <v>0.02</v>
      </c>
      <c r="D478" s="2">
        <v>24.98</v>
      </c>
      <c r="E478" s="2">
        <v>855.0</v>
      </c>
      <c r="F478" s="1" t="s">
        <v>778</v>
      </c>
      <c r="G478" s="1" t="s">
        <v>32</v>
      </c>
      <c r="H478" s="1" t="s">
        <v>23</v>
      </c>
      <c r="I478" s="1" t="s">
        <v>120</v>
      </c>
      <c r="J478" s="1" t="s">
        <v>779</v>
      </c>
      <c r="K478" s="19" t="s">
        <v>26</v>
      </c>
      <c r="L478" s="20" t="s">
        <v>70</v>
      </c>
      <c r="M478" s="21">
        <f t="shared" si="1"/>
        <v>4</v>
      </c>
      <c r="N478" s="2">
        <v>4.3148</v>
      </c>
      <c r="O478" s="2">
        <v>23.0</v>
      </c>
      <c r="P478" s="2">
        <v>606.51</v>
      </c>
      <c r="Q478" s="2">
        <v>88571.0</v>
      </c>
      <c r="R478" s="15" t="b">
        <f>ISNUMBER(MATCH(Q478,'Returned order'!A:A,0))</f>
        <v>0</v>
      </c>
      <c r="S478" s="22">
        <v>42124.0</v>
      </c>
      <c r="T478" s="15"/>
      <c r="U478" s="15"/>
      <c r="V478" s="15"/>
    </row>
    <row r="479">
      <c r="A479" s="2">
        <v>21354.0</v>
      </c>
      <c r="B479" s="1" t="s">
        <v>58</v>
      </c>
      <c r="C479" s="2">
        <v>0.05</v>
      </c>
      <c r="D479" s="2">
        <v>35.99</v>
      </c>
      <c r="E479" s="2">
        <v>858.0</v>
      </c>
      <c r="F479" s="1" t="s">
        <v>780</v>
      </c>
      <c r="G479" s="1" t="s">
        <v>32</v>
      </c>
      <c r="H479" s="1" t="s">
        <v>46</v>
      </c>
      <c r="I479" s="1" t="s">
        <v>85</v>
      </c>
      <c r="J479" s="1" t="s">
        <v>200</v>
      </c>
      <c r="K479" s="19" t="s">
        <v>26</v>
      </c>
      <c r="L479" s="20" t="s">
        <v>70</v>
      </c>
      <c r="M479" s="21">
        <f t="shared" si="1"/>
        <v>4</v>
      </c>
      <c r="N479" s="2">
        <v>-125.83296</v>
      </c>
      <c r="O479" s="2">
        <v>2.0</v>
      </c>
      <c r="P479" s="2">
        <v>64.89</v>
      </c>
      <c r="Q479" s="2">
        <v>88571.0</v>
      </c>
      <c r="R479" s="15" t="b">
        <f>ISNUMBER(MATCH(Q479,'Returned order'!A:A,0))</f>
        <v>0</v>
      </c>
      <c r="S479" s="22">
        <v>42124.0</v>
      </c>
      <c r="T479" s="15"/>
      <c r="U479" s="15"/>
      <c r="V479" s="15"/>
    </row>
    <row r="480">
      <c r="A480" s="2">
        <v>21214.0</v>
      </c>
      <c r="B480" s="1" t="s">
        <v>58</v>
      </c>
      <c r="C480" s="2">
        <v>0.03</v>
      </c>
      <c r="D480" s="2">
        <v>14.2</v>
      </c>
      <c r="E480" s="2">
        <v>865.0</v>
      </c>
      <c r="F480" s="1" t="s">
        <v>781</v>
      </c>
      <c r="G480" s="1" t="s">
        <v>32</v>
      </c>
      <c r="H480" s="1" t="s">
        <v>37</v>
      </c>
      <c r="I480" s="1" t="s">
        <v>42</v>
      </c>
      <c r="J480" s="1" t="s">
        <v>608</v>
      </c>
      <c r="K480" s="19" t="s">
        <v>68</v>
      </c>
      <c r="L480" s="20" t="s">
        <v>35</v>
      </c>
      <c r="M480" s="21">
        <f t="shared" si="1"/>
        <v>3</v>
      </c>
      <c r="N480" s="2">
        <v>122.21</v>
      </c>
      <c r="O480" s="2">
        <v>18.0</v>
      </c>
      <c r="P480" s="2">
        <v>267.2</v>
      </c>
      <c r="Q480" s="2">
        <v>90674.0</v>
      </c>
      <c r="R480" s="15" t="b">
        <f>ISNUMBER(MATCH(Q480,'Returned order'!A:A,0))</f>
        <v>0</v>
      </c>
      <c r="S480" s="22">
        <v>42151.0</v>
      </c>
      <c r="T480" s="15"/>
      <c r="U480" s="15"/>
      <c r="V480" s="15"/>
    </row>
    <row r="481">
      <c r="A481" s="2">
        <v>19947.0</v>
      </c>
      <c r="B481" s="1" t="s">
        <v>170</v>
      </c>
      <c r="C481" s="2">
        <v>0.04</v>
      </c>
      <c r="D481" s="2">
        <v>6.48</v>
      </c>
      <c r="E481" s="2">
        <v>865.0</v>
      </c>
      <c r="F481" s="1" t="s">
        <v>781</v>
      </c>
      <c r="G481" s="1" t="s">
        <v>32</v>
      </c>
      <c r="H481" s="1" t="s">
        <v>23</v>
      </c>
      <c r="I481" s="1" t="s">
        <v>93</v>
      </c>
      <c r="J481" s="1" t="s">
        <v>782</v>
      </c>
      <c r="K481" s="19" t="s">
        <v>68</v>
      </c>
      <c r="L481" s="20" t="s">
        <v>70</v>
      </c>
      <c r="M481" s="21">
        <f t="shared" si="1"/>
        <v>4</v>
      </c>
      <c r="N481" s="2">
        <v>-11.1332</v>
      </c>
      <c r="O481" s="2">
        <v>12.0</v>
      </c>
      <c r="P481" s="2">
        <v>86.79</v>
      </c>
      <c r="Q481" s="2">
        <v>90675.0</v>
      </c>
      <c r="R481" s="15" t="b">
        <f>ISNUMBER(MATCH(Q481,'Returned order'!A:A,0))</f>
        <v>0</v>
      </c>
      <c r="S481" s="22">
        <v>42061.0</v>
      </c>
      <c r="T481" s="15"/>
      <c r="U481" s="15"/>
      <c r="V481" s="15"/>
    </row>
    <row r="482">
      <c r="A482" s="2">
        <v>24774.0</v>
      </c>
      <c r="B482" s="1" t="s">
        <v>49</v>
      </c>
      <c r="C482" s="2">
        <v>0.04</v>
      </c>
      <c r="D482" s="2">
        <v>29.18</v>
      </c>
      <c r="E482" s="2">
        <v>868.0</v>
      </c>
      <c r="F482" s="1" t="s">
        <v>783</v>
      </c>
      <c r="G482" s="1" t="s">
        <v>32</v>
      </c>
      <c r="H482" s="1" t="s">
        <v>37</v>
      </c>
      <c r="I482" s="1" t="s">
        <v>42</v>
      </c>
      <c r="J482" s="1" t="s">
        <v>784</v>
      </c>
      <c r="K482" s="19" t="s">
        <v>68</v>
      </c>
      <c r="L482" s="20" t="s">
        <v>35</v>
      </c>
      <c r="M482" s="21">
        <f t="shared" si="1"/>
        <v>3</v>
      </c>
      <c r="N482" s="2">
        <v>201.7353</v>
      </c>
      <c r="O482" s="2">
        <v>10.0</v>
      </c>
      <c r="P482" s="2">
        <v>292.37</v>
      </c>
      <c r="Q482" s="2">
        <v>91194.0</v>
      </c>
      <c r="R482" s="15" t="b">
        <f>ISNUMBER(MATCH(Q482,'Returned order'!A:A,0))</f>
        <v>0</v>
      </c>
      <c r="S482" s="22">
        <v>42060.0</v>
      </c>
      <c r="T482" s="15"/>
      <c r="U482" s="15"/>
      <c r="V482" s="15"/>
    </row>
    <row r="483">
      <c r="A483" s="2">
        <v>24775.0</v>
      </c>
      <c r="B483" s="1" t="s">
        <v>49</v>
      </c>
      <c r="C483" s="2">
        <v>0.0</v>
      </c>
      <c r="D483" s="2">
        <v>80.98</v>
      </c>
      <c r="E483" s="2">
        <v>868.0</v>
      </c>
      <c r="F483" s="1" t="s">
        <v>783</v>
      </c>
      <c r="G483" s="1" t="s">
        <v>32</v>
      </c>
      <c r="H483" s="1" t="s">
        <v>23</v>
      </c>
      <c r="I483" s="1" t="s">
        <v>120</v>
      </c>
      <c r="J483" s="1" t="s">
        <v>785</v>
      </c>
      <c r="K483" s="19" t="s">
        <v>68</v>
      </c>
      <c r="L483" s="20" t="s">
        <v>35</v>
      </c>
      <c r="M483" s="21">
        <f t="shared" si="1"/>
        <v>3</v>
      </c>
      <c r="N483" s="2">
        <v>-684.78</v>
      </c>
      <c r="O483" s="2">
        <v>8.0</v>
      </c>
      <c r="P483" s="2">
        <v>682.79</v>
      </c>
      <c r="Q483" s="2">
        <v>91194.0</v>
      </c>
      <c r="R483" s="15" t="b">
        <f>ISNUMBER(MATCH(Q483,'Returned order'!A:A,0))</f>
        <v>0</v>
      </c>
      <c r="S483" s="22">
        <v>42060.0</v>
      </c>
      <c r="T483" s="15"/>
      <c r="U483" s="15"/>
      <c r="V483" s="15"/>
    </row>
    <row r="484">
      <c r="A484" s="2">
        <v>24763.0</v>
      </c>
      <c r="B484" s="1" t="s">
        <v>58</v>
      </c>
      <c r="C484" s="2">
        <v>0.06</v>
      </c>
      <c r="D484" s="2">
        <v>6.48</v>
      </c>
      <c r="E484" s="2">
        <v>868.0</v>
      </c>
      <c r="F484" s="1" t="s">
        <v>783</v>
      </c>
      <c r="G484" s="1" t="s">
        <v>32</v>
      </c>
      <c r="H484" s="1" t="s">
        <v>23</v>
      </c>
      <c r="I484" s="1" t="s">
        <v>93</v>
      </c>
      <c r="J484" s="1" t="s">
        <v>786</v>
      </c>
      <c r="K484" s="19" t="s">
        <v>68</v>
      </c>
      <c r="L484" s="20" t="s">
        <v>76</v>
      </c>
      <c r="M484" s="21">
        <f t="shared" si="1"/>
        <v>5</v>
      </c>
      <c r="N484" s="2">
        <v>-237.47</v>
      </c>
      <c r="O484" s="2">
        <v>20.0</v>
      </c>
      <c r="P484" s="2">
        <v>125.77</v>
      </c>
      <c r="Q484" s="2">
        <v>91195.0</v>
      </c>
      <c r="R484" s="15" t="b">
        <f>ISNUMBER(MATCH(Q484,'Returned order'!A:A,0))</f>
        <v>0</v>
      </c>
      <c r="S484" s="22">
        <v>42069.0</v>
      </c>
      <c r="T484" s="15"/>
      <c r="U484" s="15"/>
      <c r="V484" s="15"/>
    </row>
    <row r="485">
      <c r="A485" s="2">
        <v>24764.0</v>
      </c>
      <c r="B485" s="1" t="s">
        <v>58</v>
      </c>
      <c r="C485" s="2">
        <v>0.09</v>
      </c>
      <c r="D485" s="2">
        <v>349.45</v>
      </c>
      <c r="E485" s="2">
        <v>868.0</v>
      </c>
      <c r="F485" s="1" t="s">
        <v>783</v>
      </c>
      <c r="G485" s="1" t="s">
        <v>32</v>
      </c>
      <c r="H485" s="1" t="s">
        <v>37</v>
      </c>
      <c r="I485" s="1" t="s">
        <v>73</v>
      </c>
      <c r="J485" s="1" t="s">
        <v>787</v>
      </c>
      <c r="K485" s="19" t="s">
        <v>68</v>
      </c>
      <c r="L485" s="20" t="s">
        <v>76</v>
      </c>
      <c r="M485" s="21">
        <f t="shared" si="1"/>
        <v>5</v>
      </c>
      <c r="N485" s="2">
        <v>-2946.051</v>
      </c>
      <c r="O485" s="2">
        <v>12.0</v>
      </c>
      <c r="P485" s="2">
        <v>3918.98</v>
      </c>
      <c r="Q485" s="2">
        <v>91195.0</v>
      </c>
      <c r="R485" s="15" t="b">
        <f>ISNUMBER(MATCH(Q485,'Returned order'!A:A,0))</f>
        <v>0</v>
      </c>
      <c r="S485" s="22">
        <v>42069.0</v>
      </c>
      <c r="T485" s="15"/>
      <c r="U485" s="15"/>
      <c r="V485" s="15"/>
    </row>
    <row r="486">
      <c r="A486" s="2">
        <v>25507.0</v>
      </c>
      <c r="B486" s="1" t="s">
        <v>49</v>
      </c>
      <c r="C486" s="2">
        <v>0.03</v>
      </c>
      <c r="D486" s="2">
        <v>14.2</v>
      </c>
      <c r="E486" s="2">
        <v>871.0</v>
      </c>
      <c r="F486" s="1" t="s">
        <v>788</v>
      </c>
      <c r="G486" s="1" t="s">
        <v>51</v>
      </c>
      <c r="H486" s="1" t="s">
        <v>37</v>
      </c>
      <c r="I486" s="1" t="s">
        <v>42</v>
      </c>
      <c r="J486" s="1" t="s">
        <v>608</v>
      </c>
      <c r="K486" s="19" t="s">
        <v>34</v>
      </c>
      <c r="L486" s="20" t="s">
        <v>61</v>
      </c>
      <c r="M486" s="21">
        <f t="shared" si="1"/>
        <v>7</v>
      </c>
      <c r="N486" s="2">
        <v>21.5556</v>
      </c>
      <c r="O486" s="2">
        <v>2.0</v>
      </c>
      <c r="P486" s="2">
        <v>31.24</v>
      </c>
      <c r="Q486" s="2">
        <v>90577.0</v>
      </c>
      <c r="R486" s="15" t="b">
        <f>ISNUMBER(MATCH(Q486,'Returned order'!A:A,0))</f>
        <v>0</v>
      </c>
      <c r="S486" s="22">
        <v>42078.0</v>
      </c>
      <c r="T486" s="15"/>
      <c r="U486" s="15"/>
      <c r="V486" s="15"/>
    </row>
    <row r="487">
      <c r="A487" s="2">
        <v>22547.0</v>
      </c>
      <c r="B487" s="1" t="s">
        <v>49</v>
      </c>
      <c r="C487" s="2">
        <v>0.01</v>
      </c>
      <c r="D487" s="2">
        <v>5.94</v>
      </c>
      <c r="E487" s="2">
        <v>871.0</v>
      </c>
      <c r="F487" s="1" t="s">
        <v>788</v>
      </c>
      <c r="G487" s="1" t="s">
        <v>51</v>
      </c>
      <c r="H487" s="1" t="s">
        <v>23</v>
      </c>
      <c r="I487" s="1" t="s">
        <v>24</v>
      </c>
      <c r="J487" s="1" t="s">
        <v>350</v>
      </c>
      <c r="K487" s="19" t="s">
        <v>34</v>
      </c>
      <c r="L487" s="20" t="s">
        <v>35</v>
      </c>
      <c r="M487" s="21">
        <f t="shared" si="1"/>
        <v>3</v>
      </c>
      <c r="N487" s="2">
        <v>-239.315</v>
      </c>
      <c r="O487" s="2">
        <v>12.0</v>
      </c>
      <c r="P487" s="2">
        <v>74.77</v>
      </c>
      <c r="Q487" s="2">
        <v>90578.0</v>
      </c>
      <c r="R487" s="15" t="b">
        <f>ISNUMBER(MATCH(Q487,'Returned order'!A:A,0))</f>
        <v>0</v>
      </c>
      <c r="S487" s="22">
        <v>42144.0</v>
      </c>
      <c r="T487" s="15"/>
      <c r="U487" s="15"/>
      <c r="V487" s="15"/>
    </row>
    <row r="488">
      <c r="A488" s="2">
        <v>22548.0</v>
      </c>
      <c r="B488" s="1" t="s">
        <v>49</v>
      </c>
      <c r="C488" s="2">
        <v>0.0</v>
      </c>
      <c r="D488" s="2">
        <v>6.48</v>
      </c>
      <c r="E488" s="2">
        <v>871.0</v>
      </c>
      <c r="F488" s="1" t="s">
        <v>788</v>
      </c>
      <c r="G488" s="1" t="s">
        <v>51</v>
      </c>
      <c r="H488" s="1" t="s">
        <v>23</v>
      </c>
      <c r="I488" s="1" t="s">
        <v>93</v>
      </c>
      <c r="J488" s="1" t="s">
        <v>789</v>
      </c>
      <c r="K488" s="19" t="s">
        <v>34</v>
      </c>
      <c r="L488" s="20" t="s">
        <v>35</v>
      </c>
      <c r="M488" s="21">
        <f t="shared" si="1"/>
        <v>3</v>
      </c>
      <c r="N488" s="2">
        <v>-33.31</v>
      </c>
      <c r="O488" s="2">
        <v>18.0</v>
      </c>
      <c r="P488" s="2">
        <v>127.81</v>
      </c>
      <c r="Q488" s="2">
        <v>90578.0</v>
      </c>
      <c r="R488" s="15" t="b">
        <f>ISNUMBER(MATCH(Q488,'Returned order'!A:A,0))</f>
        <v>0</v>
      </c>
      <c r="S488" s="22">
        <v>42144.0</v>
      </c>
      <c r="T488" s="15"/>
      <c r="U488" s="15"/>
      <c r="V488" s="15"/>
    </row>
    <row r="489">
      <c r="A489" s="2">
        <v>19262.0</v>
      </c>
      <c r="B489" s="1" t="s">
        <v>28</v>
      </c>
      <c r="C489" s="2">
        <v>0.04</v>
      </c>
      <c r="D489" s="2">
        <v>4.37</v>
      </c>
      <c r="E489" s="2">
        <v>875.0</v>
      </c>
      <c r="F489" s="1" t="s">
        <v>790</v>
      </c>
      <c r="G489" s="1" t="s">
        <v>66</v>
      </c>
      <c r="H489" s="1" t="s">
        <v>23</v>
      </c>
      <c r="I489" s="1" t="s">
        <v>151</v>
      </c>
      <c r="J489" s="1" t="s">
        <v>791</v>
      </c>
      <c r="K489" s="19" t="s">
        <v>34</v>
      </c>
      <c r="L489" s="20" t="s">
        <v>53</v>
      </c>
      <c r="M489" s="21">
        <f t="shared" si="1"/>
        <v>6</v>
      </c>
      <c r="N489" s="2">
        <v>-74.4796</v>
      </c>
      <c r="O489" s="2">
        <v>18.0</v>
      </c>
      <c r="P489" s="2">
        <v>78.59</v>
      </c>
      <c r="Q489" s="2">
        <v>89059.0</v>
      </c>
      <c r="R489" s="15" t="b">
        <f>ISNUMBER(MATCH(Q489,'Returned order'!A:A,0))</f>
        <v>0</v>
      </c>
      <c r="S489" s="22">
        <v>42056.0</v>
      </c>
      <c r="T489" s="15"/>
      <c r="U489" s="15"/>
      <c r="V489" s="15"/>
    </row>
    <row r="490">
      <c r="A490" s="2">
        <v>19263.0</v>
      </c>
      <c r="B490" s="1" t="s">
        <v>28</v>
      </c>
      <c r="C490" s="2">
        <v>0.09</v>
      </c>
      <c r="D490" s="2">
        <v>155.99</v>
      </c>
      <c r="E490" s="2">
        <v>875.0</v>
      </c>
      <c r="F490" s="1" t="s">
        <v>790</v>
      </c>
      <c r="G490" s="1" t="s">
        <v>66</v>
      </c>
      <c r="H490" s="1" t="s">
        <v>46</v>
      </c>
      <c r="I490" s="1" t="s">
        <v>85</v>
      </c>
      <c r="J490" s="1" t="s">
        <v>792</v>
      </c>
      <c r="K490" s="19" t="s">
        <v>34</v>
      </c>
      <c r="L490" s="20" t="s">
        <v>53</v>
      </c>
      <c r="M490" s="21">
        <f t="shared" si="1"/>
        <v>6</v>
      </c>
      <c r="N490" s="2">
        <v>-232.22056</v>
      </c>
      <c r="O490" s="2">
        <v>4.0</v>
      </c>
      <c r="P490" s="2">
        <v>497.11</v>
      </c>
      <c r="Q490" s="2">
        <v>89059.0</v>
      </c>
      <c r="R490" s="15" t="b">
        <f>ISNUMBER(MATCH(Q490,'Returned order'!A:A,0))</f>
        <v>0</v>
      </c>
      <c r="S490" s="22">
        <v>42056.0</v>
      </c>
      <c r="T490" s="15"/>
      <c r="U490" s="15"/>
      <c r="V490" s="15"/>
    </row>
    <row r="491">
      <c r="A491" s="2">
        <v>18054.0</v>
      </c>
      <c r="B491" s="1" t="s">
        <v>58</v>
      </c>
      <c r="C491" s="2">
        <v>0.07</v>
      </c>
      <c r="D491" s="2">
        <v>5.68</v>
      </c>
      <c r="E491" s="2">
        <v>880.0</v>
      </c>
      <c r="F491" s="1" t="s">
        <v>793</v>
      </c>
      <c r="G491" s="1" t="s">
        <v>66</v>
      </c>
      <c r="H491" s="1" t="s">
        <v>23</v>
      </c>
      <c r="I491" s="1" t="s">
        <v>88</v>
      </c>
      <c r="J491" s="1" t="s">
        <v>145</v>
      </c>
      <c r="K491" s="19" t="s">
        <v>34</v>
      </c>
      <c r="L491" s="20" t="s">
        <v>35</v>
      </c>
      <c r="M491" s="21">
        <f t="shared" si="1"/>
        <v>3</v>
      </c>
      <c r="N491" s="2">
        <v>18.6438</v>
      </c>
      <c r="O491" s="2">
        <v>5.0</v>
      </c>
      <c r="P491" s="2">
        <v>27.02</v>
      </c>
      <c r="Q491" s="2">
        <v>86153.0</v>
      </c>
      <c r="R491" s="15" t="b">
        <f>ISNUMBER(MATCH(Q491,'Returned order'!A:A,0))</f>
        <v>0</v>
      </c>
      <c r="S491" s="22">
        <v>42088.0</v>
      </c>
      <c r="T491" s="15"/>
      <c r="U491" s="15"/>
      <c r="V491" s="15"/>
    </row>
    <row r="492">
      <c r="A492" s="2">
        <v>18055.0</v>
      </c>
      <c r="B492" s="1" t="s">
        <v>58</v>
      </c>
      <c r="C492" s="2">
        <v>0.06</v>
      </c>
      <c r="D492" s="2">
        <v>22.84</v>
      </c>
      <c r="E492" s="2">
        <v>880.0</v>
      </c>
      <c r="F492" s="1" t="s">
        <v>793</v>
      </c>
      <c r="G492" s="1" t="s">
        <v>66</v>
      </c>
      <c r="H492" s="1" t="s">
        <v>23</v>
      </c>
      <c r="I492" s="1" t="s">
        <v>93</v>
      </c>
      <c r="J492" s="1" t="s">
        <v>280</v>
      </c>
      <c r="K492" s="19" t="s">
        <v>34</v>
      </c>
      <c r="L492" s="20" t="s">
        <v>35</v>
      </c>
      <c r="M492" s="21">
        <f t="shared" si="1"/>
        <v>3</v>
      </c>
      <c r="N492" s="2">
        <v>-31.24</v>
      </c>
      <c r="O492" s="2">
        <v>1.0</v>
      </c>
      <c r="P492" s="2">
        <v>27.67</v>
      </c>
      <c r="Q492" s="2">
        <v>86153.0</v>
      </c>
      <c r="R492" s="15" t="b">
        <f>ISNUMBER(MATCH(Q492,'Returned order'!A:A,0))</f>
        <v>0</v>
      </c>
      <c r="S492" s="22">
        <v>42088.0</v>
      </c>
      <c r="T492" s="15"/>
      <c r="U492" s="15"/>
      <c r="V492" s="15"/>
    </row>
    <row r="493">
      <c r="A493" s="2">
        <v>19401.0</v>
      </c>
      <c r="B493" s="1" t="s">
        <v>58</v>
      </c>
      <c r="C493" s="2">
        <v>0.06</v>
      </c>
      <c r="D493" s="2">
        <v>25.98</v>
      </c>
      <c r="E493" s="2">
        <v>885.0</v>
      </c>
      <c r="F493" s="1" t="s">
        <v>794</v>
      </c>
      <c r="G493" s="1" t="s">
        <v>32</v>
      </c>
      <c r="H493" s="1" t="s">
        <v>37</v>
      </c>
      <c r="I493" s="1" t="s">
        <v>38</v>
      </c>
      <c r="J493" s="1" t="s">
        <v>795</v>
      </c>
      <c r="K493" s="19" t="s">
        <v>68</v>
      </c>
      <c r="L493" s="20" t="s">
        <v>61</v>
      </c>
      <c r="M493" s="21">
        <f t="shared" si="1"/>
        <v>7</v>
      </c>
      <c r="N493" s="2">
        <v>55.888</v>
      </c>
      <c r="O493" s="2">
        <v>41.0</v>
      </c>
      <c r="P493" s="2">
        <v>1033.56</v>
      </c>
      <c r="Q493" s="2">
        <v>89537.0</v>
      </c>
      <c r="R493" s="15" t="b">
        <f>ISNUMBER(MATCH(Q493,'Returned order'!A:A,0))</f>
        <v>0</v>
      </c>
      <c r="S493" s="22">
        <v>42148.0</v>
      </c>
      <c r="T493" s="15"/>
      <c r="U493" s="15"/>
      <c r="V493" s="15"/>
    </row>
    <row r="494">
      <c r="A494" s="2">
        <v>26011.0</v>
      </c>
      <c r="B494" s="1" t="s">
        <v>58</v>
      </c>
      <c r="C494" s="2">
        <v>0.08</v>
      </c>
      <c r="D494" s="2">
        <v>1.81</v>
      </c>
      <c r="E494" s="2">
        <v>890.0</v>
      </c>
      <c r="F494" s="1" t="s">
        <v>796</v>
      </c>
      <c r="G494" s="1" t="s">
        <v>22</v>
      </c>
      <c r="H494" s="1" t="s">
        <v>37</v>
      </c>
      <c r="I494" s="1" t="s">
        <v>38</v>
      </c>
      <c r="J494" s="1" t="s">
        <v>797</v>
      </c>
      <c r="K494" s="19" t="s">
        <v>68</v>
      </c>
      <c r="L494" s="20" t="s">
        <v>27</v>
      </c>
      <c r="M494" s="21">
        <f t="shared" si="1"/>
        <v>1</v>
      </c>
      <c r="N494" s="2">
        <v>1.3224</v>
      </c>
      <c r="O494" s="2">
        <v>11.0</v>
      </c>
      <c r="P494" s="2">
        <v>19.97</v>
      </c>
      <c r="Q494" s="2">
        <v>89536.0</v>
      </c>
      <c r="R494" s="15" t="b">
        <f>ISNUMBER(MATCH(Q494,'Returned order'!A:A,0))</f>
        <v>0</v>
      </c>
      <c r="S494" s="22">
        <v>42009.0</v>
      </c>
      <c r="T494" s="15"/>
      <c r="U494" s="15"/>
      <c r="V494" s="15"/>
    </row>
    <row r="495">
      <c r="A495" s="2">
        <v>26015.0</v>
      </c>
      <c r="B495" s="1" t="s">
        <v>58</v>
      </c>
      <c r="C495" s="2">
        <v>0.04</v>
      </c>
      <c r="D495" s="2">
        <v>125.99</v>
      </c>
      <c r="E495" s="2">
        <v>890.0</v>
      </c>
      <c r="F495" s="1" t="s">
        <v>796</v>
      </c>
      <c r="G495" s="1" t="s">
        <v>22</v>
      </c>
      <c r="H495" s="1" t="s">
        <v>46</v>
      </c>
      <c r="I495" s="1" t="s">
        <v>85</v>
      </c>
      <c r="J495" s="1">
        <v>232.0</v>
      </c>
      <c r="K495" s="19" t="s">
        <v>68</v>
      </c>
      <c r="L495" s="20" t="s">
        <v>27</v>
      </c>
      <c r="M495" s="21">
        <f t="shared" si="1"/>
        <v>1</v>
      </c>
      <c r="N495" s="2">
        <v>455.4207</v>
      </c>
      <c r="O495" s="2">
        <v>6.0</v>
      </c>
      <c r="P495" s="2">
        <v>660.03</v>
      </c>
      <c r="Q495" s="2">
        <v>89536.0</v>
      </c>
      <c r="R495" s="15" t="b">
        <f>ISNUMBER(MATCH(Q495,'Returned order'!A:A,0))</f>
        <v>0</v>
      </c>
      <c r="S495" s="22">
        <v>42009.0</v>
      </c>
      <c r="T495" s="15"/>
      <c r="U495" s="15"/>
      <c r="V495" s="15"/>
    </row>
    <row r="496">
      <c r="A496" s="2">
        <v>2045.0</v>
      </c>
      <c r="B496" s="1" t="s">
        <v>58</v>
      </c>
      <c r="C496" s="2">
        <v>0.01</v>
      </c>
      <c r="D496" s="2">
        <v>8.34</v>
      </c>
      <c r="E496" s="2">
        <v>894.0</v>
      </c>
      <c r="F496" s="1" t="s">
        <v>112</v>
      </c>
      <c r="G496" s="1" t="s">
        <v>32</v>
      </c>
      <c r="H496" s="1" t="s">
        <v>37</v>
      </c>
      <c r="I496" s="1" t="s">
        <v>42</v>
      </c>
      <c r="J496" s="1" t="s">
        <v>798</v>
      </c>
      <c r="K496" s="19" t="s">
        <v>26</v>
      </c>
      <c r="L496" s="20" t="s">
        <v>53</v>
      </c>
      <c r="M496" s="21">
        <f t="shared" si="1"/>
        <v>6</v>
      </c>
      <c r="N496" s="2">
        <v>29.332</v>
      </c>
      <c r="O496" s="2">
        <v>24.0</v>
      </c>
      <c r="P496" s="2">
        <v>199.12</v>
      </c>
      <c r="Q496" s="2">
        <v>14596.0</v>
      </c>
      <c r="R496" s="15" t="b">
        <f>ISNUMBER(MATCH(Q496,'Returned order'!A:A,0))</f>
        <v>0</v>
      </c>
      <c r="S496" s="22">
        <v>42014.0</v>
      </c>
      <c r="T496" s="15"/>
      <c r="U496" s="15"/>
      <c r="V496" s="15"/>
    </row>
    <row r="497">
      <c r="A497" s="2">
        <v>2046.0</v>
      </c>
      <c r="B497" s="1" t="s">
        <v>58</v>
      </c>
      <c r="C497" s="2">
        <v>0.06</v>
      </c>
      <c r="D497" s="2">
        <v>3.28</v>
      </c>
      <c r="E497" s="2">
        <v>894.0</v>
      </c>
      <c r="F497" s="1" t="s">
        <v>112</v>
      </c>
      <c r="G497" s="1" t="s">
        <v>32</v>
      </c>
      <c r="H497" s="1" t="s">
        <v>23</v>
      </c>
      <c r="I497" s="1" t="s">
        <v>29</v>
      </c>
      <c r="J497" s="1" t="s">
        <v>799</v>
      </c>
      <c r="K497" s="19" t="s">
        <v>26</v>
      </c>
      <c r="L497" s="20" t="s">
        <v>53</v>
      </c>
      <c r="M497" s="21">
        <f t="shared" si="1"/>
        <v>6</v>
      </c>
      <c r="N497" s="2">
        <v>-86.0</v>
      </c>
      <c r="O497" s="2">
        <v>19.0</v>
      </c>
      <c r="P497" s="2">
        <v>63.14</v>
      </c>
      <c r="Q497" s="2">
        <v>14596.0</v>
      </c>
      <c r="R497" s="15" t="b">
        <f>ISNUMBER(MATCH(Q497,'Returned order'!A:A,0))</f>
        <v>0</v>
      </c>
      <c r="S497" s="22">
        <v>42014.0</v>
      </c>
      <c r="T497" s="15"/>
      <c r="U497" s="15"/>
      <c r="V497" s="15"/>
    </row>
    <row r="498">
      <c r="A498" s="2">
        <v>5421.0</v>
      </c>
      <c r="B498" s="1" t="s">
        <v>170</v>
      </c>
      <c r="C498" s="2">
        <v>0.02</v>
      </c>
      <c r="D498" s="2">
        <v>1.14</v>
      </c>
      <c r="E498" s="2">
        <v>894.0</v>
      </c>
      <c r="F498" s="1" t="s">
        <v>112</v>
      </c>
      <c r="G498" s="1" t="s">
        <v>32</v>
      </c>
      <c r="H498" s="1" t="s">
        <v>23</v>
      </c>
      <c r="I498" s="1" t="s">
        <v>81</v>
      </c>
      <c r="J498" s="1" t="s">
        <v>114</v>
      </c>
      <c r="K498" s="19" t="s">
        <v>26</v>
      </c>
      <c r="L498" s="20" t="s">
        <v>27</v>
      </c>
      <c r="M498" s="21">
        <f t="shared" si="1"/>
        <v>1</v>
      </c>
      <c r="N498" s="2">
        <v>-0.49</v>
      </c>
      <c r="O498" s="2">
        <v>38.0</v>
      </c>
      <c r="P498" s="2">
        <v>44.85</v>
      </c>
      <c r="Q498" s="2">
        <v>38529.0</v>
      </c>
      <c r="R498" s="15" t="b">
        <f>ISNUMBER(MATCH(Q498,'Returned order'!A:A,0))</f>
        <v>0</v>
      </c>
      <c r="S498" s="22">
        <v>42037.0</v>
      </c>
      <c r="T498" s="15"/>
      <c r="U498" s="15"/>
      <c r="V498" s="15"/>
    </row>
    <row r="499">
      <c r="A499" s="2">
        <v>20045.0</v>
      </c>
      <c r="B499" s="1" t="s">
        <v>58</v>
      </c>
      <c r="C499" s="2">
        <v>0.01</v>
      </c>
      <c r="D499" s="2">
        <v>8.34</v>
      </c>
      <c r="E499" s="2">
        <v>896.0</v>
      </c>
      <c r="F499" s="1" t="s">
        <v>800</v>
      </c>
      <c r="G499" s="1" t="s">
        <v>32</v>
      </c>
      <c r="H499" s="1" t="s">
        <v>37</v>
      </c>
      <c r="I499" s="1" t="s">
        <v>42</v>
      </c>
      <c r="J499" s="1" t="s">
        <v>798</v>
      </c>
      <c r="K499" s="19" t="s">
        <v>68</v>
      </c>
      <c r="L499" s="20" t="s">
        <v>53</v>
      </c>
      <c r="M499" s="21">
        <f t="shared" si="1"/>
        <v>6</v>
      </c>
      <c r="N499" s="2">
        <v>34.3482</v>
      </c>
      <c r="O499" s="2">
        <v>6.0</v>
      </c>
      <c r="P499" s="2">
        <v>49.78</v>
      </c>
      <c r="Q499" s="2">
        <v>90166.0</v>
      </c>
      <c r="R499" s="15" t="b">
        <f>ISNUMBER(MATCH(Q499,'Returned order'!A:A,0))</f>
        <v>0</v>
      </c>
      <c r="S499" s="22">
        <v>42014.0</v>
      </c>
      <c r="T499" s="15"/>
      <c r="U499" s="15"/>
      <c r="V499" s="15"/>
    </row>
    <row r="500">
      <c r="A500" s="2">
        <v>20046.0</v>
      </c>
      <c r="B500" s="1" t="s">
        <v>58</v>
      </c>
      <c r="C500" s="2">
        <v>0.06</v>
      </c>
      <c r="D500" s="2">
        <v>3.28</v>
      </c>
      <c r="E500" s="2">
        <v>896.0</v>
      </c>
      <c r="F500" s="1" t="s">
        <v>800</v>
      </c>
      <c r="G500" s="1" t="s">
        <v>32</v>
      </c>
      <c r="H500" s="1" t="s">
        <v>23</v>
      </c>
      <c r="I500" s="1" t="s">
        <v>29</v>
      </c>
      <c r="J500" s="1" t="s">
        <v>799</v>
      </c>
      <c r="K500" s="19" t="s">
        <v>68</v>
      </c>
      <c r="L500" s="20" t="s">
        <v>53</v>
      </c>
      <c r="M500" s="21">
        <f t="shared" si="1"/>
        <v>6</v>
      </c>
      <c r="N500" s="2">
        <v>-66.65</v>
      </c>
      <c r="O500" s="2">
        <v>5.0</v>
      </c>
      <c r="P500" s="2">
        <v>16.62</v>
      </c>
      <c r="Q500" s="2">
        <v>90166.0</v>
      </c>
      <c r="R500" s="15" t="b">
        <f>ISNUMBER(MATCH(Q500,'Returned order'!A:A,0))</f>
        <v>0</v>
      </c>
      <c r="S500" s="22">
        <v>42014.0</v>
      </c>
      <c r="T500" s="15"/>
      <c r="U500" s="15"/>
      <c r="V500" s="15"/>
    </row>
    <row r="501">
      <c r="A501" s="2">
        <v>19470.0</v>
      </c>
      <c r="B501" s="1" t="s">
        <v>58</v>
      </c>
      <c r="C501" s="2">
        <v>0.06</v>
      </c>
      <c r="D501" s="2">
        <v>47.98</v>
      </c>
      <c r="E501" s="2">
        <v>896.0</v>
      </c>
      <c r="F501" s="1" t="s">
        <v>800</v>
      </c>
      <c r="G501" s="1" t="s">
        <v>32</v>
      </c>
      <c r="H501" s="1" t="s">
        <v>46</v>
      </c>
      <c r="I501" s="1" t="s">
        <v>47</v>
      </c>
      <c r="J501" s="1" t="s">
        <v>801</v>
      </c>
      <c r="K501" s="19" t="s">
        <v>68</v>
      </c>
      <c r="L501" s="20" t="s">
        <v>53</v>
      </c>
      <c r="M501" s="21">
        <f t="shared" si="1"/>
        <v>6</v>
      </c>
      <c r="N501" s="2">
        <v>35.955</v>
      </c>
      <c r="O501" s="2">
        <v>11.0</v>
      </c>
      <c r="P501" s="2">
        <v>517.68</v>
      </c>
      <c r="Q501" s="2">
        <v>90167.0</v>
      </c>
      <c r="R501" s="15" t="b">
        <f>ISNUMBER(MATCH(Q501,'Returned order'!A:A,0))</f>
        <v>0</v>
      </c>
      <c r="S501" s="22">
        <v>42175.0</v>
      </c>
      <c r="T501" s="15"/>
      <c r="U501" s="15"/>
      <c r="V501" s="15"/>
    </row>
    <row r="502">
      <c r="A502" s="2">
        <v>4724.0</v>
      </c>
      <c r="B502" s="1" t="s">
        <v>28</v>
      </c>
      <c r="C502" s="2">
        <v>0.04</v>
      </c>
      <c r="D502" s="2">
        <v>90.97</v>
      </c>
      <c r="E502" s="2">
        <v>898.0</v>
      </c>
      <c r="F502" s="1" t="s">
        <v>116</v>
      </c>
      <c r="G502" s="1" t="s">
        <v>66</v>
      </c>
      <c r="H502" s="1" t="s">
        <v>46</v>
      </c>
      <c r="I502" s="1" t="s">
        <v>103</v>
      </c>
      <c r="J502" s="1" t="s">
        <v>117</v>
      </c>
      <c r="K502" s="19" t="s">
        <v>26</v>
      </c>
      <c r="L502" s="20" t="s">
        <v>27</v>
      </c>
      <c r="M502" s="21">
        <f t="shared" si="1"/>
        <v>1</v>
      </c>
      <c r="N502" s="2">
        <v>-173.0952</v>
      </c>
      <c r="O502" s="2">
        <v>6.0</v>
      </c>
      <c r="P502" s="2">
        <v>573.31</v>
      </c>
      <c r="Q502" s="2">
        <v>33635.0</v>
      </c>
      <c r="R502" s="15" t="b">
        <f>ISNUMBER(MATCH(Q502,'Returned order'!A:A,0))</f>
        <v>0</v>
      </c>
      <c r="S502" s="22">
        <v>42016.0</v>
      </c>
      <c r="T502" s="15"/>
      <c r="U502" s="15"/>
      <c r="V502" s="15"/>
    </row>
    <row r="503">
      <c r="A503" s="2">
        <v>4725.0</v>
      </c>
      <c r="B503" s="1" t="s">
        <v>28</v>
      </c>
      <c r="C503" s="2">
        <v>0.07</v>
      </c>
      <c r="D503" s="2">
        <v>20.34</v>
      </c>
      <c r="E503" s="2">
        <v>898.0</v>
      </c>
      <c r="F503" s="1" t="s">
        <v>116</v>
      </c>
      <c r="G503" s="1" t="s">
        <v>66</v>
      </c>
      <c r="H503" s="1" t="s">
        <v>23</v>
      </c>
      <c r="I503" s="1" t="s">
        <v>120</v>
      </c>
      <c r="J503" s="1" t="s">
        <v>121</v>
      </c>
      <c r="K503" s="19" t="s">
        <v>26</v>
      </c>
      <c r="L503" s="20" t="s">
        <v>27</v>
      </c>
      <c r="M503" s="21">
        <f t="shared" si="1"/>
        <v>1</v>
      </c>
      <c r="N503" s="2">
        <v>-96.16</v>
      </c>
      <c r="O503" s="2">
        <v>5.0</v>
      </c>
      <c r="P503" s="2">
        <v>140.23</v>
      </c>
      <c r="Q503" s="2">
        <v>33635.0</v>
      </c>
      <c r="R503" s="15" t="b">
        <f>ISNUMBER(MATCH(Q503,'Returned order'!A:A,0))</f>
        <v>0</v>
      </c>
      <c r="S503" s="22">
        <v>42016.0</v>
      </c>
      <c r="T503" s="15"/>
      <c r="U503" s="15"/>
      <c r="V503" s="15"/>
    </row>
    <row r="504">
      <c r="A504" s="2">
        <v>1311.0</v>
      </c>
      <c r="B504" s="1" t="s">
        <v>49</v>
      </c>
      <c r="C504" s="2">
        <v>0.02</v>
      </c>
      <c r="D504" s="2">
        <v>12.53</v>
      </c>
      <c r="E504" s="2">
        <v>898.0</v>
      </c>
      <c r="F504" s="1" t="s">
        <v>116</v>
      </c>
      <c r="G504" s="1" t="s">
        <v>66</v>
      </c>
      <c r="H504" s="1" t="s">
        <v>23</v>
      </c>
      <c r="I504" s="1" t="s">
        <v>130</v>
      </c>
      <c r="J504" s="1" t="s">
        <v>802</v>
      </c>
      <c r="K504" s="19" t="s">
        <v>26</v>
      </c>
      <c r="L504" s="20" t="s">
        <v>57</v>
      </c>
      <c r="M504" s="21">
        <f t="shared" si="1"/>
        <v>2</v>
      </c>
      <c r="N504" s="2">
        <v>263.4</v>
      </c>
      <c r="O504" s="2">
        <v>47.0</v>
      </c>
      <c r="P504" s="2">
        <v>594.44</v>
      </c>
      <c r="Q504" s="2">
        <v>9606.0</v>
      </c>
      <c r="R504" s="15" t="b">
        <f>ISNUMBER(MATCH(Q504,'Returned order'!A:A,0))</f>
        <v>0</v>
      </c>
      <c r="S504" s="22">
        <v>42031.0</v>
      </c>
      <c r="T504" s="15"/>
      <c r="U504" s="15"/>
      <c r="V504" s="15"/>
    </row>
    <row r="505">
      <c r="A505" s="2">
        <v>1312.0</v>
      </c>
      <c r="B505" s="1" t="s">
        <v>49</v>
      </c>
      <c r="C505" s="2">
        <v>0.07</v>
      </c>
      <c r="D505" s="2">
        <v>5.18</v>
      </c>
      <c r="E505" s="2">
        <v>898.0</v>
      </c>
      <c r="F505" s="1" t="s">
        <v>116</v>
      </c>
      <c r="G505" s="1" t="s">
        <v>66</v>
      </c>
      <c r="H505" s="1" t="s">
        <v>23</v>
      </c>
      <c r="I505" s="1" t="s">
        <v>93</v>
      </c>
      <c r="J505" s="1" t="s">
        <v>254</v>
      </c>
      <c r="K505" s="19" t="s">
        <v>26</v>
      </c>
      <c r="L505" s="20" t="s">
        <v>57</v>
      </c>
      <c r="M505" s="21">
        <f t="shared" si="1"/>
        <v>2</v>
      </c>
      <c r="N505" s="2">
        <v>37.31</v>
      </c>
      <c r="O505" s="2">
        <v>44.0</v>
      </c>
      <c r="P505" s="2">
        <v>228.5</v>
      </c>
      <c r="Q505" s="2">
        <v>9606.0</v>
      </c>
      <c r="R505" s="15" t="b">
        <f>ISNUMBER(MATCH(Q505,'Returned order'!A:A,0))</f>
        <v>0</v>
      </c>
      <c r="S505" s="22">
        <v>42031.0</v>
      </c>
      <c r="T505" s="15"/>
      <c r="U505" s="15"/>
      <c r="V505" s="15"/>
    </row>
    <row r="506">
      <c r="A506" s="2">
        <v>22724.0</v>
      </c>
      <c r="B506" s="1" t="s">
        <v>28</v>
      </c>
      <c r="C506" s="2">
        <v>0.04</v>
      </c>
      <c r="D506" s="2">
        <v>90.97</v>
      </c>
      <c r="E506" s="2">
        <v>899.0</v>
      </c>
      <c r="F506" s="1" t="s">
        <v>122</v>
      </c>
      <c r="G506" s="1" t="s">
        <v>66</v>
      </c>
      <c r="H506" s="1" t="s">
        <v>46</v>
      </c>
      <c r="I506" s="1" t="s">
        <v>103</v>
      </c>
      <c r="J506" s="1" t="s">
        <v>117</v>
      </c>
      <c r="K506" s="19" t="s">
        <v>26</v>
      </c>
      <c r="L506" s="20" t="s">
        <v>27</v>
      </c>
      <c r="M506" s="21">
        <f t="shared" si="1"/>
        <v>1</v>
      </c>
      <c r="N506" s="2">
        <v>-173.0952</v>
      </c>
      <c r="O506" s="2">
        <v>2.0</v>
      </c>
      <c r="P506" s="2">
        <v>191.1</v>
      </c>
      <c r="Q506" s="2">
        <v>86263.0</v>
      </c>
      <c r="R506" s="15" t="b">
        <f>ISNUMBER(MATCH(Q506,'Returned order'!A:A,0))</f>
        <v>0</v>
      </c>
      <c r="S506" s="22">
        <v>42016.0</v>
      </c>
      <c r="T506" s="15"/>
      <c r="U506" s="15"/>
      <c r="V506" s="15"/>
    </row>
    <row r="507">
      <c r="A507" s="2">
        <v>22725.0</v>
      </c>
      <c r="B507" s="1" t="s">
        <v>28</v>
      </c>
      <c r="C507" s="2">
        <v>0.07</v>
      </c>
      <c r="D507" s="2">
        <v>20.34</v>
      </c>
      <c r="E507" s="2">
        <v>899.0</v>
      </c>
      <c r="F507" s="1" t="s">
        <v>122</v>
      </c>
      <c r="G507" s="1" t="s">
        <v>66</v>
      </c>
      <c r="H507" s="1" t="s">
        <v>23</v>
      </c>
      <c r="I507" s="1" t="s">
        <v>120</v>
      </c>
      <c r="J507" s="1" t="s">
        <v>121</v>
      </c>
      <c r="K507" s="19" t="s">
        <v>26</v>
      </c>
      <c r="L507" s="20" t="s">
        <v>27</v>
      </c>
      <c r="M507" s="21">
        <f t="shared" si="1"/>
        <v>1</v>
      </c>
      <c r="N507" s="2">
        <v>-96.16</v>
      </c>
      <c r="O507" s="2">
        <v>1.0</v>
      </c>
      <c r="P507" s="2">
        <v>28.05</v>
      </c>
      <c r="Q507" s="2">
        <v>86263.0</v>
      </c>
      <c r="R507" s="15" t="b">
        <f>ISNUMBER(MATCH(Q507,'Returned order'!A:A,0))</f>
        <v>0</v>
      </c>
      <c r="S507" s="22">
        <v>42016.0</v>
      </c>
      <c r="T507" s="15"/>
      <c r="U507" s="15"/>
      <c r="V507" s="15"/>
    </row>
    <row r="508">
      <c r="A508" s="2">
        <v>19311.0</v>
      </c>
      <c r="B508" s="1" t="s">
        <v>49</v>
      </c>
      <c r="C508" s="2">
        <v>0.02</v>
      </c>
      <c r="D508" s="2">
        <v>12.53</v>
      </c>
      <c r="E508" s="2">
        <v>899.0</v>
      </c>
      <c r="F508" s="1" t="s">
        <v>122</v>
      </c>
      <c r="G508" s="1" t="s">
        <v>66</v>
      </c>
      <c r="H508" s="1" t="s">
        <v>23</v>
      </c>
      <c r="I508" s="1" t="s">
        <v>130</v>
      </c>
      <c r="J508" s="1" t="s">
        <v>802</v>
      </c>
      <c r="K508" s="19" t="s">
        <v>26</v>
      </c>
      <c r="L508" s="20" t="s">
        <v>57</v>
      </c>
      <c r="M508" s="21">
        <f t="shared" si="1"/>
        <v>2</v>
      </c>
      <c r="N508" s="2">
        <v>104.7213</v>
      </c>
      <c r="O508" s="2">
        <v>12.0</v>
      </c>
      <c r="P508" s="2">
        <v>151.77</v>
      </c>
      <c r="Q508" s="2">
        <v>86264.0</v>
      </c>
      <c r="R508" s="15" t="b">
        <f>ISNUMBER(MATCH(Q508,'Returned order'!A:A,0))</f>
        <v>0</v>
      </c>
      <c r="S508" s="22">
        <v>42031.0</v>
      </c>
      <c r="T508" s="15"/>
      <c r="U508" s="15"/>
      <c r="V508" s="15"/>
    </row>
    <row r="509">
      <c r="A509" s="2">
        <v>19312.0</v>
      </c>
      <c r="B509" s="1" t="s">
        <v>49</v>
      </c>
      <c r="C509" s="2">
        <v>0.07</v>
      </c>
      <c r="D509" s="2">
        <v>5.18</v>
      </c>
      <c r="E509" s="2">
        <v>899.0</v>
      </c>
      <c r="F509" s="1" t="s">
        <v>122</v>
      </c>
      <c r="G509" s="1" t="s">
        <v>66</v>
      </c>
      <c r="H509" s="1" t="s">
        <v>23</v>
      </c>
      <c r="I509" s="1" t="s">
        <v>93</v>
      </c>
      <c r="J509" s="1" t="s">
        <v>254</v>
      </c>
      <c r="K509" s="19" t="s">
        <v>26</v>
      </c>
      <c r="L509" s="20" t="s">
        <v>57</v>
      </c>
      <c r="M509" s="21">
        <f t="shared" si="1"/>
        <v>2</v>
      </c>
      <c r="N509" s="2">
        <v>37.31</v>
      </c>
      <c r="O509" s="2">
        <v>11.0</v>
      </c>
      <c r="P509" s="2">
        <v>57.13</v>
      </c>
      <c r="Q509" s="2">
        <v>86264.0</v>
      </c>
      <c r="R509" s="15" t="b">
        <f>ISNUMBER(MATCH(Q509,'Returned order'!A:A,0))</f>
        <v>0</v>
      </c>
      <c r="S509" s="22">
        <v>42031.0</v>
      </c>
      <c r="T509" s="15"/>
      <c r="U509" s="15"/>
      <c r="V509" s="15"/>
    </row>
    <row r="510">
      <c r="A510" s="2">
        <v>24981.0</v>
      </c>
      <c r="B510" s="1" t="s">
        <v>49</v>
      </c>
      <c r="C510" s="2">
        <v>0.0</v>
      </c>
      <c r="D510" s="2">
        <v>5.98</v>
      </c>
      <c r="E510" s="2">
        <v>903.0</v>
      </c>
      <c r="F510" s="1" t="s">
        <v>803</v>
      </c>
      <c r="G510" s="1" t="s">
        <v>22</v>
      </c>
      <c r="H510" s="1" t="s">
        <v>23</v>
      </c>
      <c r="I510" s="1" t="s">
        <v>24</v>
      </c>
      <c r="J510" s="1" t="s">
        <v>173</v>
      </c>
      <c r="K510" s="19" t="s">
        <v>26</v>
      </c>
      <c r="L510" s="20" t="s">
        <v>70</v>
      </c>
      <c r="M510" s="21">
        <f t="shared" si="1"/>
        <v>4</v>
      </c>
      <c r="N510" s="2">
        <v>80.6748</v>
      </c>
      <c r="O510" s="2">
        <v>18.0</v>
      </c>
      <c r="P510" s="2">
        <v>116.92</v>
      </c>
      <c r="Q510" s="2">
        <v>90806.0</v>
      </c>
      <c r="R510" s="15" t="b">
        <f>ISNUMBER(MATCH(Q510,'Returned order'!A:A,0))</f>
        <v>0</v>
      </c>
      <c r="S510" s="22">
        <v>42075.0</v>
      </c>
      <c r="T510" s="15"/>
      <c r="U510" s="15"/>
      <c r="V510" s="15"/>
    </row>
    <row r="511">
      <c r="A511" s="2">
        <v>22288.0</v>
      </c>
      <c r="B511" s="1" t="s">
        <v>58</v>
      </c>
      <c r="C511" s="2">
        <v>0.09</v>
      </c>
      <c r="D511" s="2">
        <v>35.99</v>
      </c>
      <c r="E511" s="2">
        <v>907.0</v>
      </c>
      <c r="F511" s="1" t="s">
        <v>804</v>
      </c>
      <c r="G511" s="1" t="s">
        <v>51</v>
      </c>
      <c r="H511" s="1" t="s">
        <v>46</v>
      </c>
      <c r="I511" s="1" t="s">
        <v>85</v>
      </c>
      <c r="J511" s="1" t="s">
        <v>200</v>
      </c>
      <c r="K511" s="19" t="s">
        <v>229</v>
      </c>
      <c r="L511" s="20" t="s">
        <v>70</v>
      </c>
      <c r="M511" s="21">
        <f t="shared" si="1"/>
        <v>4</v>
      </c>
      <c r="N511" s="2">
        <v>114.3165</v>
      </c>
      <c r="O511" s="2">
        <v>5.0</v>
      </c>
      <c r="P511" s="2">
        <v>151.6</v>
      </c>
      <c r="Q511" s="2">
        <v>86459.0</v>
      </c>
      <c r="R511" s="15" t="b">
        <f>ISNUMBER(MATCH(Q511,'Returned order'!A:A,0))</f>
        <v>0</v>
      </c>
      <c r="S511" s="22">
        <v>42061.0</v>
      </c>
      <c r="T511" s="15"/>
      <c r="U511" s="15"/>
      <c r="V511" s="15"/>
    </row>
    <row r="512">
      <c r="A512" s="2">
        <v>21345.0</v>
      </c>
      <c r="B512" s="1" t="s">
        <v>63</v>
      </c>
      <c r="C512" s="2">
        <v>0.09</v>
      </c>
      <c r="D512" s="2">
        <v>2.6</v>
      </c>
      <c r="E512" s="2">
        <v>907.0</v>
      </c>
      <c r="F512" s="1" t="s">
        <v>804</v>
      </c>
      <c r="G512" s="1" t="s">
        <v>51</v>
      </c>
      <c r="H512" s="1" t="s">
        <v>23</v>
      </c>
      <c r="I512" s="1" t="s">
        <v>29</v>
      </c>
      <c r="J512" s="1" t="s">
        <v>806</v>
      </c>
      <c r="K512" s="19" t="s">
        <v>229</v>
      </c>
      <c r="L512" s="20" t="s">
        <v>35</v>
      </c>
      <c r="M512" s="21">
        <f t="shared" si="1"/>
        <v>3</v>
      </c>
      <c r="N512" s="2">
        <v>1107.408</v>
      </c>
      <c r="O512" s="2">
        <v>12.0</v>
      </c>
      <c r="P512" s="2">
        <v>31.73</v>
      </c>
      <c r="Q512" s="2">
        <v>86460.0</v>
      </c>
      <c r="R512" s="15" t="b">
        <f>ISNUMBER(MATCH(Q512,'Returned order'!A:A,0))</f>
        <v>0</v>
      </c>
      <c r="S512" s="22">
        <v>42172.0</v>
      </c>
      <c r="T512" s="15"/>
      <c r="U512" s="15"/>
      <c r="V512" s="15"/>
    </row>
    <row r="513">
      <c r="A513" s="2">
        <v>19480.0</v>
      </c>
      <c r="B513" s="1" t="s">
        <v>58</v>
      </c>
      <c r="C513" s="2">
        <v>0.0</v>
      </c>
      <c r="D513" s="2">
        <v>5.28</v>
      </c>
      <c r="E513" s="2">
        <v>910.0</v>
      </c>
      <c r="F513" s="1" t="s">
        <v>807</v>
      </c>
      <c r="G513" s="1" t="s">
        <v>32</v>
      </c>
      <c r="H513" s="1" t="s">
        <v>23</v>
      </c>
      <c r="I513" s="1" t="s">
        <v>93</v>
      </c>
      <c r="J513" s="1" t="s">
        <v>681</v>
      </c>
      <c r="K513" s="19" t="s">
        <v>229</v>
      </c>
      <c r="L513" s="20" t="s">
        <v>70</v>
      </c>
      <c r="M513" s="21">
        <f t="shared" si="1"/>
        <v>4</v>
      </c>
      <c r="N513" s="2">
        <v>-149.212</v>
      </c>
      <c r="O513" s="2">
        <v>15.0</v>
      </c>
      <c r="P513" s="2">
        <v>85.26</v>
      </c>
      <c r="Q513" s="2">
        <v>90187.0</v>
      </c>
      <c r="R513" s="15" t="b">
        <f>ISNUMBER(MATCH(Q513,'Returned order'!A:A,0))</f>
        <v>0</v>
      </c>
      <c r="S513" s="22">
        <v>42138.0</v>
      </c>
      <c r="T513" s="15"/>
      <c r="U513" s="15"/>
      <c r="V513" s="15"/>
    </row>
    <row r="514">
      <c r="A514" s="2">
        <v>25356.0</v>
      </c>
      <c r="B514" s="1" t="s">
        <v>49</v>
      </c>
      <c r="C514" s="2">
        <v>0.05</v>
      </c>
      <c r="D514" s="2">
        <v>7.64</v>
      </c>
      <c r="E514" s="2">
        <v>911.0</v>
      </c>
      <c r="F514" s="1" t="s">
        <v>808</v>
      </c>
      <c r="G514" s="1" t="s">
        <v>32</v>
      </c>
      <c r="H514" s="1" t="s">
        <v>23</v>
      </c>
      <c r="I514" s="1" t="s">
        <v>93</v>
      </c>
      <c r="J514" s="1" t="s">
        <v>133</v>
      </c>
      <c r="K514" s="19" t="s">
        <v>26</v>
      </c>
      <c r="L514" s="20" t="s">
        <v>53</v>
      </c>
      <c r="M514" s="21">
        <f t="shared" si="1"/>
        <v>6</v>
      </c>
      <c r="N514" s="2">
        <v>-21.018</v>
      </c>
      <c r="O514" s="2">
        <v>2.0</v>
      </c>
      <c r="P514" s="2">
        <v>16.6</v>
      </c>
      <c r="Q514" s="2">
        <v>90185.0</v>
      </c>
      <c r="R514" s="15" t="b">
        <f>ISNUMBER(MATCH(Q514,'Returned order'!A:A,0))</f>
        <v>0</v>
      </c>
      <c r="S514" s="22">
        <v>42035.0</v>
      </c>
      <c r="T514" s="15"/>
      <c r="U514" s="15"/>
      <c r="V514" s="15"/>
    </row>
    <row r="515">
      <c r="A515" s="2">
        <v>25357.0</v>
      </c>
      <c r="B515" s="1" t="s">
        <v>49</v>
      </c>
      <c r="C515" s="2">
        <v>0.04</v>
      </c>
      <c r="D515" s="2">
        <v>218.75</v>
      </c>
      <c r="E515" s="2">
        <v>911.0</v>
      </c>
      <c r="F515" s="1" t="s">
        <v>808</v>
      </c>
      <c r="G515" s="1" t="s">
        <v>32</v>
      </c>
      <c r="H515" s="1" t="s">
        <v>37</v>
      </c>
      <c r="I515" s="1" t="s">
        <v>73</v>
      </c>
      <c r="J515" s="1" t="s">
        <v>556</v>
      </c>
      <c r="K515" s="19" t="s">
        <v>26</v>
      </c>
      <c r="L515" s="20" t="s">
        <v>53</v>
      </c>
      <c r="M515" s="21">
        <f t="shared" si="1"/>
        <v>6</v>
      </c>
      <c r="N515" s="2">
        <v>-655.529875</v>
      </c>
      <c r="O515" s="2">
        <v>10.0</v>
      </c>
      <c r="P515" s="2">
        <v>2285.41</v>
      </c>
      <c r="Q515" s="2">
        <v>90185.0</v>
      </c>
      <c r="R515" s="15" t="b">
        <f>ISNUMBER(MATCH(Q515,'Returned order'!A:A,0))</f>
        <v>0</v>
      </c>
      <c r="S515" s="22">
        <v>42035.0</v>
      </c>
      <c r="T515" s="15"/>
      <c r="U515" s="15"/>
      <c r="V515" s="15"/>
    </row>
    <row r="516">
      <c r="A516" s="2">
        <v>24028.0</v>
      </c>
      <c r="B516" s="1" t="s">
        <v>28</v>
      </c>
      <c r="C516" s="2">
        <v>0.01</v>
      </c>
      <c r="D516" s="2">
        <v>59.76</v>
      </c>
      <c r="E516" s="2">
        <v>911.0</v>
      </c>
      <c r="F516" s="1" t="s">
        <v>808</v>
      </c>
      <c r="G516" s="1" t="s">
        <v>32</v>
      </c>
      <c r="H516" s="1" t="s">
        <v>23</v>
      </c>
      <c r="I516" s="1" t="s">
        <v>120</v>
      </c>
      <c r="J516" s="1" t="s">
        <v>809</v>
      </c>
      <c r="K516" s="19" t="s">
        <v>26</v>
      </c>
      <c r="L516" s="20" t="s">
        <v>53</v>
      </c>
      <c r="M516" s="21">
        <f t="shared" si="1"/>
        <v>6</v>
      </c>
      <c r="N516" s="2">
        <v>354.3288</v>
      </c>
      <c r="O516" s="2">
        <v>8.0</v>
      </c>
      <c r="P516" s="2">
        <v>513.52</v>
      </c>
      <c r="Q516" s="2">
        <v>90186.0</v>
      </c>
      <c r="R516" s="15" t="b">
        <f>ISNUMBER(MATCH(Q516,'Returned order'!A:A,0))</f>
        <v>0</v>
      </c>
      <c r="S516" s="22">
        <v>42098.0</v>
      </c>
      <c r="T516" s="15"/>
      <c r="U516" s="15"/>
      <c r="V516" s="15"/>
    </row>
    <row r="517">
      <c r="A517" s="2">
        <v>24953.0</v>
      </c>
      <c r="B517" s="1" t="s">
        <v>28</v>
      </c>
      <c r="C517" s="2">
        <v>0.06</v>
      </c>
      <c r="D517" s="2">
        <v>350.98</v>
      </c>
      <c r="E517" s="2">
        <v>915.0</v>
      </c>
      <c r="F517" s="1" t="s">
        <v>810</v>
      </c>
      <c r="G517" s="1" t="s">
        <v>51</v>
      </c>
      <c r="H517" s="1" t="s">
        <v>37</v>
      </c>
      <c r="I517" s="1" t="s">
        <v>38</v>
      </c>
      <c r="J517" s="1" t="s">
        <v>106</v>
      </c>
      <c r="K517" s="19" t="s">
        <v>68</v>
      </c>
      <c r="L517" s="20" t="s">
        <v>61</v>
      </c>
      <c r="M517" s="21">
        <f t="shared" si="1"/>
        <v>7</v>
      </c>
      <c r="N517" s="2">
        <v>-489.4156</v>
      </c>
      <c r="O517" s="2">
        <v>1.0</v>
      </c>
      <c r="P517" s="2">
        <v>346.52</v>
      </c>
      <c r="Q517" s="2">
        <v>86356.0</v>
      </c>
      <c r="R517" s="15" t="b">
        <f>ISNUMBER(MATCH(Q517,'Returned order'!A:A,0))</f>
        <v>0</v>
      </c>
      <c r="S517" s="22">
        <v>42008.0</v>
      </c>
      <c r="T517" s="15"/>
      <c r="U517" s="15"/>
      <c r="V517" s="15"/>
    </row>
    <row r="518">
      <c r="A518" s="2">
        <v>25833.0</v>
      </c>
      <c r="B518" s="1" t="s">
        <v>170</v>
      </c>
      <c r="C518" s="2">
        <v>0.05</v>
      </c>
      <c r="D518" s="2">
        <v>161.55</v>
      </c>
      <c r="E518" s="2">
        <v>916.0</v>
      </c>
      <c r="F518" s="1" t="s">
        <v>811</v>
      </c>
      <c r="G518" s="1" t="s">
        <v>32</v>
      </c>
      <c r="H518" s="1" t="s">
        <v>23</v>
      </c>
      <c r="I518" s="1" t="s">
        <v>120</v>
      </c>
      <c r="J518" s="1" t="s">
        <v>250</v>
      </c>
      <c r="K518" s="19" t="s">
        <v>68</v>
      </c>
      <c r="L518" s="20" t="s">
        <v>61</v>
      </c>
      <c r="M518" s="21">
        <f t="shared" si="1"/>
        <v>7</v>
      </c>
      <c r="N518" s="2">
        <v>35.31</v>
      </c>
      <c r="O518" s="2">
        <v>3.0</v>
      </c>
      <c r="P518" s="2">
        <v>499.31</v>
      </c>
      <c r="Q518" s="2">
        <v>86357.0</v>
      </c>
      <c r="R518" s="15" t="b">
        <f>ISNUMBER(MATCH(Q518,'Returned order'!A:A,0))</f>
        <v>0</v>
      </c>
      <c r="S518" s="22">
        <v>42008.0</v>
      </c>
      <c r="T518" s="15"/>
      <c r="U518" s="15"/>
      <c r="V518" s="15"/>
    </row>
    <row r="519">
      <c r="A519" s="2">
        <v>25676.0</v>
      </c>
      <c r="B519" s="1" t="s">
        <v>28</v>
      </c>
      <c r="C519" s="2">
        <v>0.05</v>
      </c>
      <c r="D519" s="2">
        <v>35.51</v>
      </c>
      <c r="E519" s="2">
        <v>918.0</v>
      </c>
      <c r="F519" s="1" t="s">
        <v>812</v>
      </c>
      <c r="G519" s="1" t="s">
        <v>22</v>
      </c>
      <c r="H519" s="1" t="s">
        <v>23</v>
      </c>
      <c r="I519" s="1" t="s">
        <v>120</v>
      </c>
      <c r="J519" s="1" t="s">
        <v>813</v>
      </c>
      <c r="K519" s="19" t="s">
        <v>34</v>
      </c>
      <c r="L519" s="20" t="s">
        <v>61</v>
      </c>
      <c r="M519" s="21">
        <f t="shared" si="1"/>
        <v>7</v>
      </c>
      <c r="N519" s="2">
        <v>6.11</v>
      </c>
      <c r="O519" s="2">
        <v>2.0</v>
      </c>
      <c r="P519" s="2">
        <v>73.1</v>
      </c>
      <c r="Q519" s="2">
        <v>90492.0</v>
      </c>
      <c r="R519" s="15" t="b">
        <f>ISNUMBER(MATCH(Q519,'Returned order'!A:A,0))</f>
        <v>0</v>
      </c>
      <c r="S519" s="22">
        <v>42106.0</v>
      </c>
      <c r="T519" s="15"/>
      <c r="U519" s="15"/>
      <c r="V519" s="15"/>
    </row>
    <row r="520">
      <c r="A520" s="2">
        <v>19772.0</v>
      </c>
      <c r="B520" s="1" t="s">
        <v>58</v>
      </c>
      <c r="C520" s="2">
        <v>0.09</v>
      </c>
      <c r="D520" s="2">
        <v>58.14</v>
      </c>
      <c r="E520" s="2">
        <v>918.0</v>
      </c>
      <c r="F520" s="1" t="s">
        <v>812</v>
      </c>
      <c r="G520" s="1" t="s">
        <v>32</v>
      </c>
      <c r="H520" s="1" t="s">
        <v>37</v>
      </c>
      <c r="I520" s="1" t="s">
        <v>55</v>
      </c>
      <c r="J520" s="1" t="s">
        <v>814</v>
      </c>
      <c r="K520" s="19" t="s">
        <v>34</v>
      </c>
      <c r="L520" s="20" t="s">
        <v>35</v>
      </c>
      <c r="M520" s="21">
        <f t="shared" si="1"/>
        <v>3</v>
      </c>
      <c r="N520" s="2">
        <v>187.412</v>
      </c>
      <c r="O520" s="2">
        <v>39.0</v>
      </c>
      <c r="P520" s="2">
        <v>2115.06</v>
      </c>
      <c r="Q520" s="2">
        <v>90493.0</v>
      </c>
      <c r="R520" s="15" t="b">
        <f>ISNUMBER(MATCH(Q520,'Returned order'!A:A,0))</f>
        <v>0</v>
      </c>
      <c r="S520" s="22">
        <v>42144.0</v>
      </c>
      <c r="T520" s="15"/>
      <c r="U520" s="15"/>
      <c r="V520" s="15"/>
    </row>
    <row r="521">
      <c r="A521" s="2">
        <v>25677.0</v>
      </c>
      <c r="B521" s="1" t="s">
        <v>28</v>
      </c>
      <c r="C521" s="2">
        <v>0.1</v>
      </c>
      <c r="D521" s="2">
        <v>8.34</v>
      </c>
      <c r="E521" s="2">
        <v>919.0</v>
      </c>
      <c r="F521" s="1" t="s">
        <v>815</v>
      </c>
      <c r="G521" s="1" t="s">
        <v>22</v>
      </c>
      <c r="H521" s="1" t="s">
        <v>23</v>
      </c>
      <c r="I521" s="1" t="s">
        <v>257</v>
      </c>
      <c r="J521" s="1" t="s">
        <v>361</v>
      </c>
      <c r="K521" s="19" t="s">
        <v>34</v>
      </c>
      <c r="L521" s="20" t="s">
        <v>61</v>
      </c>
      <c r="M521" s="21">
        <f t="shared" si="1"/>
        <v>7</v>
      </c>
      <c r="N521" s="2">
        <v>-6.34</v>
      </c>
      <c r="O521" s="2">
        <v>6.0</v>
      </c>
      <c r="P521" s="2">
        <v>47.95</v>
      </c>
      <c r="Q521" s="2">
        <v>90492.0</v>
      </c>
      <c r="R521" s="15" t="b">
        <f>ISNUMBER(MATCH(Q521,'Returned order'!A:A,0))</f>
        <v>0</v>
      </c>
      <c r="S521" s="22">
        <v>42106.0</v>
      </c>
      <c r="T521" s="15"/>
      <c r="U521" s="15"/>
      <c r="V521" s="15"/>
    </row>
    <row r="522">
      <c r="A522" s="2">
        <v>21970.0</v>
      </c>
      <c r="B522" s="1" t="s">
        <v>170</v>
      </c>
      <c r="C522" s="2">
        <v>0.1</v>
      </c>
      <c r="D522" s="2">
        <v>15.98</v>
      </c>
      <c r="E522" s="2">
        <v>920.0</v>
      </c>
      <c r="F522" s="1" t="s">
        <v>816</v>
      </c>
      <c r="G522" s="1" t="s">
        <v>32</v>
      </c>
      <c r="H522" s="1" t="s">
        <v>46</v>
      </c>
      <c r="I522" s="1" t="s">
        <v>47</v>
      </c>
      <c r="J522" s="1" t="s">
        <v>465</v>
      </c>
      <c r="K522" s="19" t="s">
        <v>34</v>
      </c>
      <c r="L522" s="20" t="s">
        <v>76</v>
      </c>
      <c r="M522" s="21">
        <f t="shared" si="1"/>
        <v>5</v>
      </c>
      <c r="N522" s="2">
        <v>92.7222</v>
      </c>
      <c r="O522" s="2">
        <v>9.0</v>
      </c>
      <c r="P522" s="2">
        <v>134.38</v>
      </c>
      <c r="Q522" s="2">
        <v>90491.0</v>
      </c>
      <c r="R522" s="15" t="b">
        <f>ISNUMBER(MATCH(Q522,'Returned order'!A:A,0))</f>
        <v>0</v>
      </c>
      <c r="S522" s="22">
        <v>42090.0</v>
      </c>
      <c r="T522" s="15"/>
      <c r="U522" s="15"/>
      <c r="V522" s="15"/>
    </row>
    <row r="523">
      <c r="A523" s="2">
        <v>25678.0</v>
      </c>
      <c r="B523" s="1" t="s">
        <v>28</v>
      </c>
      <c r="C523" s="2">
        <v>0.03</v>
      </c>
      <c r="D523" s="2">
        <v>8.04</v>
      </c>
      <c r="E523" s="2">
        <v>920.0</v>
      </c>
      <c r="F523" s="1" t="s">
        <v>816</v>
      </c>
      <c r="G523" s="1" t="s">
        <v>22</v>
      </c>
      <c r="H523" s="1" t="s">
        <v>23</v>
      </c>
      <c r="I523" s="1" t="s">
        <v>24</v>
      </c>
      <c r="J523" s="1" t="s">
        <v>817</v>
      </c>
      <c r="K523" s="19" t="s">
        <v>34</v>
      </c>
      <c r="L523" s="20" t="s">
        <v>61</v>
      </c>
      <c r="M523" s="21">
        <f t="shared" si="1"/>
        <v>7</v>
      </c>
      <c r="N523" s="2">
        <v>-160.2755</v>
      </c>
      <c r="O523" s="2">
        <v>9.0</v>
      </c>
      <c r="P523" s="2">
        <v>76.77</v>
      </c>
      <c r="Q523" s="2">
        <v>90492.0</v>
      </c>
      <c r="R523" s="15" t="b">
        <f>ISNUMBER(MATCH(Q523,'Returned order'!A:A,0))</f>
        <v>0</v>
      </c>
      <c r="S523" s="22">
        <v>42106.0</v>
      </c>
      <c r="T523" s="15"/>
      <c r="U523" s="15"/>
      <c r="V523" s="15"/>
    </row>
    <row r="524">
      <c r="A524" s="2">
        <v>18395.0</v>
      </c>
      <c r="B524" s="1" t="s">
        <v>49</v>
      </c>
      <c r="C524" s="2">
        <v>0.01</v>
      </c>
      <c r="D524" s="2">
        <v>65.99</v>
      </c>
      <c r="E524" s="2">
        <v>922.0</v>
      </c>
      <c r="F524" s="1" t="s">
        <v>818</v>
      </c>
      <c r="G524" s="1" t="s">
        <v>66</v>
      </c>
      <c r="H524" s="1" t="s">
        <v>46</v>
      </c>
      <c r="I524" s="1" t="s">
        <v>85</v>
      </c>
      <c r="J524" s="1">
        <v>5180.0</v>
      </c>
      <c r="K524" s="19" t="s">
        <v>34</v>
      </c>
      <c r="L524" s="20" t="s">
        <v>35</v>
      </c>
      <c r="M524" s="21">
        <f t="shared" si="1"/>
        <v>3</v>
      </c>
      <c r="N524" s="2">
        <v>396.972</v>
      </c>
      <c r="O524" s="2">
        <v>14.0</v>
      </c>
      <c r="P524" s="2">
        <v>782.0</v>
      </c>
      <c r="Q524" s="2">
        <v>87135.0</v>
      </c>
      <c r="R524" s="15" t="b">
        <f>ISNUMBER(MATCH(Q524,'Returned order'!A:A,0))</f>
        <v>0</v>
      </c>
      <c r="S524" s="22">
        <v>42144.0</v>
      </c>
      <c r="T524" s="15"/>
      <c r="U524" s="15"/>
      <c r="V524" s="15"/>
    </row>
    <row r="525">
      <c r="A525" s="2">
        <v>19973.0</v>
      </c>
      <c r="B525" s="1" t="s">
        <v>58</v>
      </c>
      <c r="C525" s="2">
        <v>0.03</v>
      </c>
      <c r="D525" s="2">
        <v>2.18</v>
      </c>
      <c r="E525" s="2">
        <v>925.0</v>
      </c>
      <c r="F525" s="1" t="s">
        <v>124</v>
      </c>
      <c r="G525" s="1" t="s">
        <v>66</v>
      </c>
      <c r="H525" s="1" t="s">
        <v>23</v>
      </c>
      <c r="I525" s="1" t="s">
        <v>81</v>
      </c>
      <c r="J525" s="1" t="s">
        <v>125</v>
      </c>
      <c r="K525" s="19" t="s">
        <v>26</v>
      </c>
      <c r="L525" s="20" t="s">
        <v>27</v>
      </c>
      <c r="M525" s="21">
        <f t="shared" si="1"/>
        <v>1</v>
      </c>
      <c r="N525" s="2">
        <v>-7.04</v>
      </c>
      <c r="O525" s="2">
        <v>7.0</v>
      </c>
      <c r="P525" s="2">
        <v>15.73</v>
      </c>
      <c r="Q525" s="2">
        <v>87134.0</v>
      </c>
      <c r="R525" s="15" t="b">
        <f>ISNUMBER(MATCH(Q525,'Returned order'!A:A,0))</f>
        <v>0</v>
      </c>
      <c r="S525" s="22">
        <v>42100.0</v>
      </c>
      <c r="T525" s="15"/>
      <c r="U525" s="15"/>
      <c r="V525" s="15"/>
    </row>
    <row r="526">
      <c r="A526" s="2">
        <v>19974.0</v>
      </c>
      <c r="B526" s="1" t="s">
        <v>58</v>
      </c>
      <c r="C526" s="2">
        <v>0.01</v>
      </c>
      <c r="D526" s="2">
        <v>170.98</v>
      </c>
      <c r="E526" s="2">
        <v>929.0</v>
      </c>
      <c r="F526" s="1" t="s">
        <v>127</v>
      </c>
      <c r="G526" s="1" t="s">
        <v>66</v>
      </c>
      <c r="H526" s="1" t="s">
        <v>37</v>
      </c>
      <c r="I526" s="1" t="s">
        <v>55</v>
      </c>
      <c r="J526" s="1" t="s">
        <v>128</v>
      </c>
      <c r="K526" s="19" t="s">
        <v>26</v>
      </c>
      <c r="L526" s="20" t="s">
        <v>27</v>
      </c>
      <c r="M526" s="21">
        <f t="shared" si="1"/>
        <v>1</v>
      </c>
      <c r="N526" s="2">
        <v>538.52</v>
      </c>
      <c r="O526" s="2">
        <v>10.0</v>
      </c>
      <c r="P526" s="2">
        <v>1719.07</v>
      </c>
      <c r="Q526" s="2">
        <v>87134.0</v>
      </c>
      <c r="R526" s="15" t="b">
        <f>ISNUMBER(MATCH(Q526,'Returned order'!A:A,0))</f>
        <v>0</v>
      </c>
      <c r="S526" s="22">
        <v>42100.0</v>
      </c>
      <c r="T526" s="15"/>
      <c r="U526" s="15"/>
      <c r="V526" s="15"/>
    </row>
    <row r="527">
      <c r="A527" s="2">
        <v>21077.0</v>
      </c>
      <c r="B527" s="1" t="s">
        <v>58</v>
      </c>
      <c r="C527" s="2">
        <v>0.05</v>
      </c>
      <c r="D527" s="2">
        <v>6.04</v>
      </c>
      <c r="E527" s="2">
        <v>936.0</v>
      </c>
      <c r="F527" s="1" t="s">
        <v>819</v>
      </c>
      <c r="G527" s="1" t="s">
        <v>32</v>
      </c>
      <c r="H527" s="1" t="s">
        <v>23</v>
      </c>
      <c r="I527" s="1" t="s">
        <v>93</v>
      </c>
      <c r="J527" s="1" t="s">
        <v>820</v>
      </c>
      <c r="K527" s="19" t="s">
        <v>34</v>
      </c>
      <c r="L527" s="20" t="s">
        <v>57</v>
      </c>
      <c r="M527" s="21">
        <f t="shared" si="1"/>
        <v>2</v>
      </c>
      <c r="N527" s="2">
        <v>-4.14</v>
      </c>
      <c r="O527" s="2">
        <v>1.0</v>
      </c>
      <c r="P527" s="2">
        <v>8.41</v>
      </c>
      <c r="Q527" s="2">
        <v>90588.0</v>
      </c>
      <c r="R527" s="15" t="b">
        <f>ISNUMBER(MATCH(Q527,'Returned order'!A:A,0))</f>
        <v>0</v>
      </c>
      <c r="S527" s="22">
        <v>42052.0</v>
      </c>
      <c r="T527" s="15"/>
      <c r="U527" s="15"/>
      <c r="V527" s="15"/>
    </row>
    <row r="528">
      <c r="A528" s="2">
        <v>23716.0</v>
      </c>
      <c r="B528" s="1" t="s">
        <v>49</v>
      </c>
      <c r="C528" s="2">
        <v>0.05</v>
      </c>
      <c r="D528" s="2">
        <v>5.98</v>
      </c>
      <c r="E528" s="2">
        <v>936.0</v>
      </c>
      <c r="F528" s="1" t="s">
        <v>819</v>
      </c>
      <c r="G528" s="1" t="s">
        <v>32</v>
      </c>
      <c r="H528" s="1" t="s">
        <v>23</v>
      </c>
      <c r="I528" s="1" t="s">
        <v>93</v>
      </c>
      <c r="J528" s="1" t="s">
        <v>821</v>
      </c>
      <c r="K528" s="19" t="s">
        <v>34</v>
      </c>
      <c r="L528" s="20" t="s">
        <v>53</v>
      </c>
      <c r="M528" s="21">
        <f t="shared" si="1"/>
        <v>6</v>
      </c>
      <c r="N528" s="2">
        <v>-31.885</v>
      </c>
      <c r="O528" s="2">
        <v>17.0</v>
      </c>
      <c r="P528" s="2">
        <v>104.95</v>
      </c>
      <c r="Q528" s="2">
        <v>90589.0</v>
      </c>
      <c r="R528" s="15" t="b">
        <f>ISNUMBER(MATCH(Q528,'Returned order'!A:A,0))</f>
        <v>0</v>
      </c>
      <c r="S528" s="22">
        <v>42182.0</v>
      </c>
      <c r="T528" s="15"/>
      <c r="U528" s="15"/>
      <c r="V528" s="15"/>
    </row>
    <row r="529">
      <c r="A529" s="2">
        <v>23717.0</v>
      </c>
      <c r="B529" s="1" t="s">
        <v>49</v>
      </c>
      <c r="C529" s="2">
        <v>0.01</v>
      </c>
      <c r="D529" s="2">
        <v>65.99</v>
      </c>
      <c r="E529" s="2">
        <v>937.0</v>
      </c>
      <c r="F529" s="1" t="s">
        <v>822</v>
      </c>
      <c r="G529" s="1" t="s">
        <v>32</v>
      </c>
      <c r="H529" s="1" t="s">
        <v>46</v>
      </c>
      <c r="I529" s="1" t="s">
        <v>85</v>
      </c>
      <c r="J529" s="1" t="s">
        <v>823</v>
      </c>
      <c r="K529" s="19" t="s">
        <v>34</v>
      </c>
      <c r="L529" s="20" t="s">
        <v>53</v>
      </c>
      <c r="M529" s="21">
        <f t="shared" si="1"/>
        <v>6</v>
      </c>
      <c r="N529" s="2">
        <v>-95.2105</v>
      </c>
      <c r="O529" s="2">
        <v>3.0</v>
      </c>
      <c r="P529" s="2">
        <v>166.59</v>
      </c>
      <c r="Q529" s="2">
        <v>90589.0</v>
      </c>
      <c r="R529" s="15" t="b">
        <f>ISNUMBER(MATCH(Q529,'Returned order'!A:A,0))</f>
        <v>0</v>
      </c>
      <c r="S529" s="22">
        <v>42182.0</v>
      </c>
      <c r="T529" s="15"/>
      <c r="U529" s="15"/>
      <c r="V529" s="15"/>
    </row>
    <row r="530">
      <c r="A530" s="2">
        <v>22638.0</v>
      </c>
      <c r="B530" s="1" t="s">
        <v>170</v>
      </c>
      <c r="C530" s="2">
        <v>0.09</v>
      </c>
      <c r="D530" s="2">
        <v>100.98</v>
      </c>
      <c r="E530" s="2">
        <v>940.0</v>
      </c>
      <c r="F530" s="1" t="s">
        <v>824</v>
      </c>
      <c r="G530" s="1" t="s">
        <v>51</v>
      </c>
      <c r="H530" s="1" t="s">
        <v>37</v>
      </c>
      <c r="I530" s="1" t="s">
        <v>55</v>
      </c>
      <c r="J530" s="1" t="s">
        <v>298</v>
      </c>
      <c r="K530" s="19" t="s">
        <v>26</v>
      </c>
      <c r="L530" s="20" t="s">
        <v>57</v>
      </c>
      <c r="M530" s="21">
        <f t="shared" si="1"/>
        <v>2</v>
      </c>
      <c r="N530" s="2">
        <v>-193.58</v>
      </c>
      <c r="O530" s="2">
        <v>4.0</v>
      </c>
      <c r="P530" s="2">
        <v>396.19</v>
      </c>
      <c r="Q530" s="2">
        <v>90844.0</v>
      </c>
      <c r="R530" s="15" t="b">
        <f>ISNUMBER(MATCH(Q530,'Returned order'!A:A,0))</f>
        <v>0</v>
      </c>
      <c r="S530" s="22">
        <v>42108.0</v>
      </c>
      <c r="T530" s="15"/>
      <c r="U530" s="15"/>
      <c r="V530" s="15"/>
    </row>
    <row r="531">
      <c r="A531" s="2">
        <v>23479.0</v>
      </c>
      <c r="B531" s="1" t="s">
        <v>49</v>
      </c>
      <c r="C531" s="2">
        <v>0.03</v>
      </c>
      <c r="D531" s="2">
        <v>31.74</v>
      </c>
      <c r="E531" s="2">
        <v>945.0</v>
      </c>
      <c r="F531" s="1" t="s">
        <v>825</v>
      </c>
      <c r="G531" s="1" t="s">
        <v>51</v>
      </c>
      <c r="H531" s="1" t="s">
        <v>23</v>
      </c>
      <c r="I531" s="1" t="s">
        <v>24</v>
      </c>
      <c r="J531" s="1" t="s">
        <v>826</v>
      </c>
      <c r="K531" s="19" t="s">
        <v>34</v>
      </c>
      <c r="L531" s="20" t="s">
        <v>76</v>
      </c>
      <c r="M531" s="21">
        <f t="shared" si="1"/>
        <v>5</v>
      </c>
      <c r="N531" s="2">
        <v>-4.301</v>
      </c>
      <c r="O531" s="2">
        <v>3.0</v>
      </c>
      <c r="P531" s="2">
        <v>98.7</v>
      </c>
      <c r="Q531" s="2">
        <v>86567.0</v>
      </c>
      <c r="R531" s="15" t="b">
        <f>ISNUMBER(MATCH(Q531,'Returned order'!A:A,0))</f>
        <v>0</v>
      </c>
      <c r="S531" s="22">
        <v>42069.0</v>
      </c>
      <c r="T531" s="15"/>
      <c r="U531" s="15"/>
      <c r="V531" s="15"/>
    </row>
    <row r="532">
      <c r="A532" s="2">
        <v>24459.0</v>
      </c>
      <c r="B532" s="1" t="s">
        <v>58</v>
      </c>
      <c r="C532" s="2">
        <v>0.09</v>
      </c>
      <c r="D532" s="2">
        <v>90.98</v>
      </c>
      <c r="E532" s="2">
        <v>946.0</v>
      </c>
      <c r="F532" s="1" t="s">
        <v>827</v>
      </c>
      <c r="G532" s="1" t="s">
        <v>51</v>
      </c>
      <c r="H532" s="1" t="s">
        <v>37</v>
      </c>
      <c r="I532" s="1" t="s">
        <v>42</v>
      </c>
      <c r="J532" s="1" t="s">
        <v>175</v>
      </c>
      <c r="K532" s="19" t="s">
        <v>26</v>
      </c>
      <c r="L532" s="20" t="s">
        <v>61</v>
      </c>
      <c r="M532" s="21">
        <f t="shared" si="1"/>
        <v>7</v>
      </c>
      <c r="N532" s="2">
        <v>-1570.32</v>
      </c>
      <c r="O532" s="2">
        <v>20.0</v>
      </c>
      <c r="P532" s="2">
        <v>1782.44</v>
      </c>
      <c r="Q532" s="2">
        <v>86566.0</v>
      </c>
      <c r="R532" s="15" t="b">
        <f>ISNUMBER(MATCH(Q532,'Returned order'!A:A,0))</f>
        <v>0</v>
      </c>
      <c r="S532" s="22">
        <v>42064.0</v>
      </c>
      <c r="T532" s="15"/>
      <c r="U532" s="15"/>
      <c r="V532" s="15"/>
    </row>
    <row r="533">
      <c r="A533" s="2">
        <v>24693.0</v>
      </c>
      <c r="B533" s="1" t="s">
        <v>58</v>
      </c>
      <c r="C533" s="2">
        <v>0.08</v>
      </c>
      <c r="D533" s="2">
        <v>14.2</v>
      </c>
      <c r="E533" s="2">
        <v>947.0</v>
      </c>
      <c r="F533" s="1" t="s">
        <v>828</v>
      </c>
      <c r="G533" s="1" t="s">
        <v>51</v>
      </c>
      <c r="H533" s="1" t="s">
        <v>37</v>
      </c>
      <c r="I533" s="1" t="s">
        <v>42</v>
      </c>
      <c r="J533" s="1" t="s">
        <v>608</v>
      </c>
      <c r="K533" s="19" t="s">
        <v>26</v>
      </c>
      <c r="L533" s="20" t="s">
        <v>61</v>
      </c>
      <c r="M533" s="21">
        <f t="shared" si="1"/>
        <v>7</v>
      </c>
      <c r="N533" s="2">
        <v>27.23</v>
      </c>
      <c r="O533" s="2">
        <v>5.0</v>
      </c>
      <c r="P533" s="2">
        <v>72.11</v>
      </c>
      <c r="Q533" s="2">
        <v>86565.0</v>
      </c>
      <c r="R533" s="15" t="b">
        <f>ISNUMBER(MATCH(Q533,'Returned order'!A:A,0))</f>
        <v>0</v>
      </c>
      <c r="S533" s="22">
        <v>42015.0</v>
      </c>
      <c r="T533" s="15"/>
      <c r="U533" s="15"/>
      <c r="V533" s="15"/>
    </row>
    <row r="534">
      <c r="A534" s="2">
        <v>1279.0</v>
      </c>
      <c r="B534" s="1" t="s">
        <v>58</v>
      </c>
      <c r="C534" s="2">
        <v>0.06</v>
      </c>
      <c r="D534" s="2">
        <v>40.98</v>
      </c>
      <c r="E534" s="2">
        <v>949.0</v>
      </c>
      <c r="F534" s="1" t="s">
        <v>829</v>
      </c>
      <c r="G534" s="1" t="s">
        <v>22</v>
      </c>
      <c r="H534" s="1" t="s">
        <v>23</v>
      </c>
      <c r="I534" s="1" t="s">
        <v>24</v>
      </c>
      <c r="J534" s="1" t="s">
        <v>169</v>
      </c>
      <c r="K534" s="19" t="s">
        <v>34</v>
      </c>
      <c r="L534" s="20" t="s">
        <v>76</v>
      </c>
      <c r="M534" s="21">
        <f t="shared" si="1"/>
        <v>5</v>
      </c>
      <c r="N534" s="2">
        <v>-19.0992</v>
      </c>
      <c r="O534" s="2">
        <v>3.0</v>
      </c>
      <c r="P534" s="2">
        <v>124.81</v>
      </c>
      <c r="Q534" s="2">
        <v>9285.0</v>
      </c>
      <c r="R534" s="15" t="b">
        <f>ISNUMBER(MATCH(Q534,'Returned order'!A:A,0))</f>
        <v>0</v>
      </c>
      <c r="S534" s="22">
        <v>42006.0</v>
      </c>
      <c r="T534" s="15"/>
      <c r="U534" s="15"/>
      <c r="V534" s="15"/>
    </row>
    <row r="535">
      <c r="A535" s="2">
        <v>1128.0</v>
      </c>
      <c r="B535" s="1" t="s">
        <v>170</v>
      </c>
      <c r="C535" s="2">
        <v>0.02</v>
      </c>
      <c r="D535" s="2">
        <v>48.04</v>
      </c>
      <c r="E535" s="2">
        <v>949.0</v>
      </c>
      <c r="F535" s="1" t="s">
        <v>829</v>
      </c>
      <c r="G535" s="1" t="s">
        <v>22</v>
      </c>
      <c r="H535" s="1" t="s">
        <v>23</v>
      </c>
      <c r="I535" s="1" t="s">
        <v>93</v>
      </c>
      <c r="J535" s="1" t="s">
        <v>532</v>
      </c>
      <c r="K535" s="19" t="s">
        <v>34</v>
      </c>
      <c r="L535" s="20" t="s">
        <v>61</v>
      </c>
      <c r="M535" s="21">
        <f t="shared" si="1"/>
        <v>7</v>
      </c>
      <c r="N535" s="2">
        <v>373.67</v>
      </c>
      <c r="O535" s="2">
        <v>18.0</v>
      </c>
      <c r="P535" s="2">
        <v>881.32</v>
      </c>
      <c r="Q535" s="2">
        <v>8257.0</v>
      </c>
      <c r="R535" s="15" t="b">
        <f>ISNUMBER(MATCH(Q535,'Returned order'!A:A,0))</f>
        <v>0</v>
      </c>
      <c r="S535" s="22">
        <v>42085.0</v>
      </c>
      <c r="T535" s="15"/>
      <c r="U535" s="15"/>
      <c r="V535" s="15"/>
    </row>
    <row r="536">
      <c r="A536" s="2">
        <v>19279.0</v>
      </c>
      <c r="B536" s="1" t="s">
        <v>58</v>
      </c>
      <c r="C536" s="2">
        <v>0.06</v>
      </c>
      <c r="D536" s="2">
        <v>40.98</v>
      </c>
      <c r="E536" s="2">
        <v>950.0</v>
      </c>
      <c r="F536" s="1" t="s">
        <v>830</v>
      </c>
      <c r="G536" s="1" t="s">
        <v>22</v>
      </c>
      <c r="H536" s="1" t="s">
        <v>23</v>
      </c>
      <c r="I536" s="1" t="s">
        <v>24</v>
      </c>
      <c r="J536" s="1" t="s">
        <v>169</v>
      </c>
      <c r="K536" s="19" t="s">
        <v>68</v>
      </c>
      <c r="L536" s="20" t="s">
        <v>76</v>
      </c>
      <c r="M536" s="21">
        <f t="shared" si="1"/>
        <v>5</v>
      </c>
      <c r="N536" s="2">
        <v>-14.80188</v>
      </c>
      <c r="O536" s="2">
        <v>1.0</v>
      </c>
      <c r="P536" s="2">
        <v>41.6</v>
      </c>
      <c r="Q536" s="2">
        <v>89083.0</v>
      </c>
      <c r="R536" s="15" t="b">
        <f>ISNUMBER(MATCH(Q536,'Returned order'!A:A,0))</f>
        <v>0</v>
      </c>
      <c r="S536" s="22">
        <v>42006.0</v>
      </c>
      <c r="T536" s="15"/>
      <c r="U536" s="15"/>
      <c r="V536" s="15"/>
    </row>
    <row r="537">
      <c r="A537" s="2">
        <v>19127.0</v>
      </c>
      <c r="B537" s="1" t="s">
        <v>170</v>
      </c>
      <c r="C537" s="2">
        <v>0.05</v>
      </c>
      <c r="D537" s="2">
        <v>1500.97</v>
      </c>
      <c r="E537" s="2">
        <v>950.0</v>
      </c>
      <c r="F537" s="1" t="s">
        <v>830</v>
      </c>
      <c r="G537" s="1" t="s">
        <v>22</v>
      </c>
      <c r="H537" s="1" t="s">
        <v>46</v>
      </c>
      <c r="I537" s="1" t="s">
        <v>103</v>
      </c>
      <c r="J537" s="1" t="s">
        <v>831</v>
      </c>
      <c r="K537" s="19" t="s">
        <v>68</v>
      </c>
      <c r="L537" s="20" t="s">
        <v>61</v>
      </c>
      <c r="M537" s="21">
        <f t="shared" si="1"/>
        <v>7</v>
      </c>
      <c r="N537" s="2">
        <v>-2561.3235</v>
      </c>
      <c r="O537" s="2">
        <v>1.0</v>
      </c>
      <c r="P537" s="2">
        <v>1497.22</v>
      </c>
      <c r="Q537" s="2">
        <v>89084.0</v>
      </c>
      <c r="R537" s="15" t="b">
        <f>ISNUMBER(MATCH(Q537,'Returned order'!A:A,0))</f>
        <v>0</v>
      </c>
      <c r="S537" s="22">
        <v>42085.0</v>
      </c>
      <c r="T537" s="15"/>
      <c r="U537" s="15"/>
      <c r="V537" s="15"/>
    </row>
    <row r="538">
      <c r="A538" s="2">
        <v>19128.0</v>
      </c>
      <c r="B538" s="1" t="s">
        <v>170</v>
      </c>
      <c r="C538" s="2">
        <v>0.02</v>
      </c>
      <c r="D538" s="2">
        <v>48.04</v>
      </c>
      <c r="E538" s="2">
        <v>950.0</v>
      </c>
      <c r="F538" s="1" t="s">
        <v>830</v>
      </c>
      <c r="G538" s="1" t="s">
        <v>22</v>
      </c>
      <c r="H538" s="1" t="s">
        <v>23</v>
      </c>
      <c r="I538" s="1" t="s">
        <v>93</v>
      </c>
      <c r="J538" s="1" t="s">
        <v>532</v>
      </c>
      <c r="K538" s="19" t="s">
        <v>68</v>
      </c>
      <c r="L538" s="20" t="s">
        <v>61</v>
      </c>
      <c r="M538" s="21">
        <f t="shared" si="1"/>
        <v>7</v>
      </c>
      <c r="N538" s="2">
        <v>168.9189</v>
      </c>
      <c r="O538" s="2">
        <v>5.0</v>
      </c>
      <c r="P538" s="2">
        <v>244.81</v>
      </c>
      <c r="Q538" s="2">
        <v>89084.0</v>
      </c>
      <c r="R538" s="15" t="b">
        <f>ISNUMBER(MATCH(Q538,'Returned order'!A:A,0))</f>
        <v>0</v>
      </c>
      <c r="S538" s="22">
        <v>42085.0</v>
      </c>
      <c r="T538" s="15"/>
      <c r="U538" s="15"/>
      <c r="V538" s="15"/>
    </row>
    <row r="539">
      <c r="A539" s="2">
        <v>19129.0</v>
      </c>
      <c r="B539" s="1" t="s">
        <v>170</v>
      </c>
      <c r="C539" s="2">
        <v>0.03</v>
      </c>
      <c r="D539" s="2">
        <v>4.28</v>
      </c>
      <c r="E539" s="2">
        <v>950.0</v>
      </c>
      <c r="F539" s="1" t="s">
        <v>830</v>
      </c>
      <c r="G539" s="1" t="s">
        <v>22</v>
      </c>
      <c r="H539" s="1" t="s">
        <v>23</v>
      </c>
      <c r="I539" s="1" t="s">
        <v>29</v>
      </c>
      <c r="J539" s="1" t="s">
        <v>832</v>
      </c>
      <c r="K539" s="19" t="s">
        <v>68</v>
      </c>
      <c r="L539" s="20" t="s">
        <v>61</v>
      </c>
      <c r="M539" s="21">
        <f t="shared" si="1"/>
        <v>7</v>
      </c>
      <c r="N539" s="2">
        <v>-6.2</v>
      </c>
      <c r="O539" s="2">
        <v>1.0</v>
      </c>
      <c r="P539" s="2">
        <v>4.55</v>
      </c>
      <c r="Q539" s="2">
        <v>89084.0</v>
      </c>
      <c r="R539" s="15" t="b">
        <f>ISNUMBER(MATCH(Q539,'Returned order'!A:A,0))</f>
        <v>0</v>
      </c>
      <c r="S539" s="22">
        <v>42085.0</v>
      </c>
      <c r="T539" s="15"/>
      <c r="U539" s="15"/>
      <c r="V539" s="15"/>
    </row>
    <row r="540">
      <c r="A540" s="2">
        <v>20073.0</v>
      </c>
      <c r="B540" s="1" t="s">
        <v>170</v>
      </c>
      <c r="C540" s="2">
        <v>0.1</v>
      </c>
      <c r="D540" s="2">
        <v>7.31</v>
      </c>
      <c r="E540" s="2">
        <v>954.0</v>
      </c>
      <c r="F540" s="1" t="s">
        <v>833</v>
      </c>
      <c r="G540" s="1" t="s">
        <v>66</v>
      </c>
      <c r="H540" s="1" t="s">
        <v>23</v>
      </c>
      <c r="I540" s="1" t="s">
        <v>130</v>
      </c>
      <c r="J540" s="1" t="s">
        <v>834</v>
      </c>
      <c r="K540" s="19" t="s">
        <v>68</v>
      </c>
      <c r="L540" s="20" t="s">
        <v>70</v>
      </c>
      <c r="M540" s="21">
        <f t="shared" si="1"/>
        <v>4</v>
      </c>
      <c r="N540" s="2">
        <v>19.0647</v>
      </c>
      <c r="O540" s="2">
        <v>4.0</v>
      </c>
      <c r="P540" s="2">
        <v>27.63</v>
      </c>
      <c r="Q540" s="2">
        <v>90771.0</v>
      </c>
      <c r="R540" s="15" t="b">
        <f>ISNUMBER(MATCH(Q540,'Returned order'!A:A,0))</f>
        <v>0</v>
      </c>
      <c r="S540" s="22">
        <v>42047.0</v>
      </c>
      <c r="T540" s="15"/>
      <c r="U540" s="15"/>
      <c r="V540" s="15"/>
    </row>
    <row r="541">
      <c r="A541" s="2">
        <v>20074.0</v>
      </c>
      <c r="B541" s="1" t="s">
        <v>170</v>
      </c>
      <c r="C541" s="2">
        <v>0.08</v>
      </c>
      <c r="D541" s="2">
        <v>6.7</v>
      </c>
      <c r="E541" s="2">
        <v>954.0</v>
      </c>
      <c r="F541" s="1" t="s">
        <v>833</v>
      </c>
      <c r="G541" s="1" t="s">
        <v>66</v>
      </c>
      <c r="H541" s="1" t="s">
        <v>23</v>
      </c>
      <c r="I541" s="1" t="s">
        <v>29</v>
      </c>
      <c r="J541" s="1" t="s">
        <v>835</v>
      </c>
      <c r="K541" s="19" t="s">
        <v>68</v>
      </c>
      <c r="L541" s="20" t="s">
        <v>70</v>
      </c>
      <c r="M541" s="21">
        <f t="shared" si="1"/>
        <v>4</v>
      </c>
      <c r="N541" s="2">
        <v>10.56</v>
      </c>
      <c r="O541" s="2">
        <v>5.0</v>
      </c>
      <c r="P541" s="2">
        <v>31.21</v>
      </c>
      <c r="Q541" s="2">
        <v>90771.0</v>
      </c>
      <c r="R541" s="15" t="b">
        <f>ISNUMBER(MATCH(Q541,'Returned order'!A:A,0))</f>
        <v>0</v>
      </c>
      <c r="S541" s="22">
        <v>42047.0</v>
      </c>
      <c r="T541" s="15"/>
      <c r="U541" s="15"/>
      <c r="V541" s="15"/>
    </row>
    <row r="542">
      <c r="A542" s="2">
        <v>25795.0</v>
      </c>
      <c r="B542" s="1" t="s">
        <v>49</v>
      </c>
      <c r="C542" s="2">
        <v>0.01</v>
      </c>
      <c r="D542" s="2">
        <v>145.45</v>
      </c>
      <c r="E542" s="2">
        <v>959.0</v>
      </c>
      <c r="F542" s="1" t="s">
        <v>836</v>
      </c>
      <c r="G542" s="1" t="s">
        <v>32</v>
      </c>
      <c r="H542" s="1" t="s">
        <v>46</v>
      </c>
      <c r="I542" s="1" t="s">
        <v>103</v>
      </c>
      <c r="J542" s="1" t="s">
        <v>837</v>
      </c>
      <c r="K542" s="19" t="s">
        <v>68</v>
      </c>
      <c r="L542" s="20" t="s">
        <v>61</v>
      </c>
      <c r="M542" s="21">
        <f t="shared" si="1"/>
        <v>7</v>
      </c>
      <c r="N542" s="2">
        <v>837.6807</v>
      </c>
      <c r="O542" s="2">
        <v>8.0</v>
      </c>
      <c r="P542" s="2">
        <v>1214.03</v>
      </c>
      <c r="Q542" s="2">
        <v>91581.0</v>
      </c>
      <c r="R542" s="15" t="b">
        <f>ISNUMBER(MATCH(Q542,'Returned order'!A:A,0))</f>
        <v>0</v>
      </c>
      <c r="S542" s="22">
        <v>42085.0</v>
      </c>
      <c r="T542" s="15"/>
      <c r="U542" s="15"/>
      <c r="V542" s="15"/>
    </row>
    <row r="543">
      <c r="A543" s="2">
        <v>20428.0</v>
      </c>
      <c r="B543" s="1" t="s">
        <v>170</v>
      </c>
      <c r="C543" s="2">
        <v>0.03</v>
      </c>
      <c r="D543" s="2">
        <v>2.94</v>
      </c>
      <c r="E543" s="2">
        <v>960.0</v>
      </c>
      <c r="F543" s="1" t="s">
        <v>838</v>
      </c>
      <c r="G543" s="1" t="s">
        <v>51</v>
      </c>
      <c r="H543" s="1" t="s">
        <v>23</v>
      </c>
      <c r="I543" s="1" t="s">
        <v>29</v>
      </c>
      <c r="J543" s="1" t="s">
        <v>515</v>
      </c>
      <c r="K543" s="19" t="s">
        <v>34</v>
      </c>
      <c r="L543" s="20" t="s">
        <v>35</v>
      </c>
      <c r="M543" s="21">
        <f t="shared" si="1"/>
        <v>3</v>
      </c>
      <c r="N543" s="2">
        <v>-4.2</v>
      </c>
      <c r="O543" s="2">
        <v>1.0</v>
      </c>
      <c r="P543" s="2">
        <v>3.51</v>
      </c>
      <c r="Q543" s="2">
        <v>89401.0</v>
      </c>
      <c r="R543" s="15" t="b">
        <f>ISNUMBER(MATCH(Q543,'Returned order'!A:A,0))</f>
        <v>0</v>
      </c>
      <c r="S543" s="22">
        <v>42039.0</v>
      </c>
      <c r="T543" s="15"/>
      <c r="U543" s="15"/>
      <c r="V543" s="15"/>
    </row>
    <row r="544">
      <c r="A544" s="2">
        <v>20685.0</v>
      </c>
      <c r="B544" s="1" t="s">
        <v>49</v>
      </c>
      <c r="C544" s="2">
        <v>0.05</v>
      </c>
      <c r="D544" s="2">
        <v>124.49</v>
      </c>
      <c r="E544" s="2">
        <v>961.0</v>
      </c>
      <c r="F544" s="1" t="s">
        <v>839</v>
      </c>
      <c r="G544" s="1" t="s">
        <v>51</v>
      </c>
      <c r="H544" s="1" t="s">
        <v>37</v>
      </c>
      <c r="I544" s="1" t="s">
        <v>73</v>
      </c>
      <c r="J544" s="1" t="s">
        <v>432</v>
      </c>
      <c r="K544" s="19" t="s">
        <v>34</v>
      </c>
      <c r="L544" s="20" t="s">
        <v>57</v>
      </c>
      <c r="M544" s="21">
        <f t="shared" si="1"/>
        <v>2</v>
      </c>
      <c r="N544" s="2">
        <v>-44.1636</v>
      </c>
      <c r="O544" s="2">
        <v>1.0</v>
      </c>
      <c r="P544" s="2">
        <v>120.12</v>
      </c>
      <c r="Q544" s="2">
        <v>89402.0</v>
      </c>
      <c r="R544" s="15" t="b">
        <f>ISNUMBER(MATCH(Q544,'Returned order'!A:A,0))</f>
        <v>0</v>
      </c>
      <c r="S544" s="22">
        <v>42059.0</v>
      </c>
      <c r="T544" s="15"/>
      <c r="U544" s="15"/>
      <c r="V544" s="15"/>
    </row>
    <row r="545">
      <c r="A545" s="2">
        <v>2428.0</v>
      </c>
      <c r="B545" s="1" t="s">
        <v>170</v>
      </c>
      <c r="C545" s="2">
        <v>0.03</v>
      </c>
      <c r="D545" s="2">
        <v>2.94</v>
      </c>
      <c r="E545" s="2">
        <v>962.0</v>
      </c>
      <c r="F545" s="1" t="s">
        <v>840</v>
      </c>
      <c r="G545" s="1" t="s">
        <v>51</v>
      </c>
      <c r="H545" s="1" t="s">
        <v>23</v>
      </c>
      <c r="I545" s="1" t="s">
        <v>29</v>
      </c>
      <c r="J545" s="1" t="s">
        <v>515</v>
      </c>
      <c r="K545" s="19" t="s">
        <v>68</v>
      </c>
      <c r="L545" s="20" t="s">
        <v>35</v>
      </c>
      <c r="M545" s="21">
        <f t="shared" si="1"/>
        <v>3</v>
      </c>
      <c r="N545" s="2">
        <v>-4.2</v>
      </c>
      <c r="O545" s="2">
        <v>2.0</v>
      </c>
      <c r="P545" s="2">
        <v>7.01</v>
      </c>
      <c r="Q545" s="2">
        <v>17636.0</v>
      </c>
      <c r="R545" s="15" t="b">
        <f>ISNUMBER(MATCH(Q545,'Returned order'!A:A,0))</f>
        <v>0</v>
      </c>
      <c r="S545" s="22">
        <v>42039.0</v>
      </c>
      <c r="T545" s="15"/>
      <c r="U545" s="15"/>
      <c r="V545" s="15"/>
    </row>
    <row r="546">
      <c r="A546" s="2">
        <v>25093.0</v>
      </c>
      <c r="B546" s="1" t="s">
        <v>63</v>
      </c>
      <c r="C546" s="2">
        <v>0.0</v>
      </c>
      <c r="D546" s="2">
        <v>170.98</v>
      </c>
      <c r="E546" s="2">
        <v>970.0</v>
      </c>
      <c r="F546" s="1" t="s">
        <v>841</v>
      </c>
      <c r="G546" s="1" t="s">
        <v>22</v>
      </c>
      <c r="H546" s="1" t="s">
        <v>37</v>
      </c>
      <c r="I546" s="1" t="s">
        <v>55</v>
      </c>
      <c r="J546" s="1" t="s">
        <v>128</v>
      </c>
      <c r="K546" s="19" t="s">
        <v>229</v>
      </c>
      <c r="L546" s="20" t="s">
        <v>27</v>
      </c>
      <c r="M546" s="21">
        <f t="shared" si="1"/>
        <v>1</v>
      </c>
      <c r="N546" s="2">
        <v>-102.662</v>
      </c>
      <c r="O546" s="2">
        <v>8.0</v>
      </c>
      <c r="P546" s="2">
        <v>1452.18</v>
      </c>
      <c r="Q546" s="2">
        <v>86173.0</v>
      </c>
      <c r="R546" s="15" t="b">
        <f>ISNUMBER(MATCH(Q546,'Returned order'!A:A,0))</f>
        <v>0</v>
      </c>
      <c r="S546" s="22">
        <v>42114.0</v>
      </c>
      <c r="T546" s="15"/>
      <c r="U546" s="15"/>
      <c r="V546" s="15"/>
    </row>
    <row r="547">
      <c r="A547" s="2">
        <v>20536.0</v>
      </c>
      <c r="B547" s="1" t="s">
        <v>170</v>
      </c>
      <c r="C547" s="2">
        <v>0.03</v>
      </c>
      <c r="D547" s="2">
        <v>284.98</v>
      </c>
      <c r="E547" s="2">
        <v>972.0</v>
      </c>
      <c r="F547" s="1" t="s">
        <v>842</v>
      </c>
      <c r="G547" s="1" t="s">
        <v>32</v>
      </c>
      <c r="H547" s="1" t="s">
        <v>37</v>
      </c>
      <c r="I547" s="1" t="s">
        <v>38</v>
      </c>
      <c r="J547" s="1" t="s">
        <v>843</v>
      </c>
      <c r="K547" s="19" t="s">
        <v>34</v>
      </c>
      <c r="L547" s="20" t="s">
        <v>53</v>
      </c>
      <c r="M547" s="21">
        <f t="shared" si="1"/>
        <v>6</v>
      </c>
      <c r="N547" s="2">
        <v>-116.584</v>
      </c>
      <c r="O547" s="2">
        <v>2.0</v>
      </c>
      <c r="P547" s="2">
        <v>619.38</v>
      </c>
      <c r="Q547" s="2">
        <v>87259.0</v>
      </c>
      <c r="R547" s="15" t="b">
        <f>ISNUMBER(MATCH(Q547,'Returned order'!A:A,0))</f>
        <v>0</v>
      </c>
      <c r="S547" s="22">
        <v>42063.0</v>
      </c>
      <c r="T547" s="15"/>
      <c r="U547" s="15"/>
      <c r="V547" s="15"/>
    </row>
    <row r="548">
      <c r="A548" s="2">
        <v>20537.0</v>
      </c>
      <c r="B548" s="1" t="s">
        <v>170</v>
      </c>
      <c r="C548" s="2">
        <v>0.0</v>
      </c>
      <c r="D548" s="2">
        <v>12.99</v>
      </c>
      <c r="E548" s="2">
        <v>972.0</v>
      </c>
      <c r="F548" s="1" t="s">
        <v>842</v>
      </c>
      <c r="G548" s="1" t="s">
        <v>32</v>
      </c>
      <c r="H548" s="1" t="s">
        <v>37</v>
      </c>
      <c r="I548" s="1" t="s">
        <v>42</v>
      </c>
      <c r="J548" s="1" t="s">
        <v>501</v>
      </c>
      <c r="K548" s="19" t="s">
        <v>34</v>
      </c>
      <c r="L548" s="20" t="s">
        <v>53</v>
      </c>
      <c r="M548" s="21">
        <f t="shared" si="1"/>
        <v>6</v>
      </c>
      <c r="N548" s="2">
        <v>12.8961</v>
      </c>
      <c r="O548" s="2">
        <v>1.0</v>
      </c>
      <c r="P548" s="2">
        <v>18.69</v>
      </c>
      <c r="Q548" s="2">
        <v>87259.0</v>
      </c>
      <c r="R548" s="15" t="b">
        <f>ISNUMBER(MATCH(Q548,'Returned order'!A:A,0))</f>
        <v>0</v>
      </c>
      <c r="S548" s="22">
        <v>42063.0</v>
      </c>
      <c r="T548" s="15"/>
      <c r="U548" s="15"/>
      <c r="V548" s="15"/>
    </row>
    <row r="549">
      <c r="A549" s="2">
        <v>24298.0</v>
      </c>
      <c r="B549" s="1" t="s">
        <v>170</v>
      </c>
      <c r="C549" s="2">
        <v>0.1</v>
      </c>
      <c r="D549" s="2">
        <v>2.22</v>
      </c>
      <c r="E549" s="2">
        <v>975.0</v>
      </c>
      <c r="F549" s="1" t="s">
        <v>844</v>
      </c>
      <c r="G549" s="1" t="s">
        <v>32</v>
      </c>
      <c r="H549" s="1" t="s">
        <v>23</v>
      </c>
      <c r="I549" s="1" t="s">
        <v>151</v>
      </c>
      <c r="J549" s="1" t="s">
        <v>845</v>
      </c>
      <c r="K549" s="19" t="s">
        <v>26</v>
      </c>
      <c r="L549" s="20" t="s">
        <v>53</v>
      </c>
      <c r="M549" s="21">
        <f t="shared" si="1"/>
        <v>6</v>
      </c>
      <c r="N549" s="2">
        <v>-21.3192</v>
      </c>
      <c r="O549" s="2">
        <v>3.0</v>
      </c>
      <c r="P549" s="2">
        <v>8.8</v>
      </c>
      <c r="Q549" s="2">
        <v>87260.0</v>
      </c>
      <c r="R549" s="15" t="b">
        <f>ISNUMBER(MATCH(Q549,'Returned order'!A:A,0))</f>
        <v>0</v>
      </c>
      <c r="S549" s="22">
        <v>42098.0</v>
      </c>
      <c r="T549" s="15"/>
      <c r="U549" s="15"/>
      <c r="V549" s="15"/>
    </row>
    <row r="550">
      <c r="A550" s="2">
        <v>22646.0</v>
      </c>
      <c r="B550" s="1" t="s">
        <v>63</v>
      </c>
      <c r="C550" s="2">
        <v>0.0</v>
      </c>
      <c r="D550" s="2">
        <v>37.76</v>
      </c>
      <c r="E550" s="2">
        <v>980.0</v>
      </c>
      <c r="F550" s="1" t="s">
        <v>846</v>
      </c>
      <c r="G550" s="1" t="s">
        <v>32</v>
      </c>
      <c r="H550" s="1" t="s">
        <v>23</v>
      </c>
      <c r="I550" s="1" t="s">
        <v>120</v>
      </c>
      <c r="J550" s="1" t="s">
        <v>847</v>
      </c>
      <c r="K550" s="19" t="s">
        <v>26</v>
      </c>
      <c r="L550" s="20" t="s">
        <v>70</v>
      </c>
      <c r="M550" s="21">
        <f t="shared" si="1"/>
        <v>4</v>
      </c>
      <c r="N550" s="2">
        <v>93.8468</v>
      </c>
      <c r="O550" s="2">
        <v>12.0</v>
      </c>
      <c r="P550" s="2">
        <v>477.2</v>
      </c>
      <c r="Q550" s="2">
        <v>87258.0</v>
      </c>
      <c r="R550" s="15" t="b">
        <f>ISNUMBER(MATCH(Q550,'Returned order'!A:A,0))</f>
        <v>0</v>
      </c>
      <c r="S550" s="22">
        <v>42040.0</v>
      </c>
      <c r="T550" s="15"/>
      <c r="U550" s="15"/>
      <c r="V550" s="15"/>
    </row>
    <row r="551">
      <c r="A551" s="2">
        <v>20010.0</v>
      </c>
      <c r="B551" s="1" t="s">
        <v>170</v>
      </c>
      <c r="C551" s="2">
        <v>0.09</v>
      </c>
      <c r="D551" s="2">
        <v>300.97</v>
      </c>
      <c r="E551" s="2">
        <v>983.0</v>
      </c>
      <c r="F551" s="1" t="s">
        <v>848</v>
      </c>
      <c r="G551" s="1" t="s">
        <v>32</v>
      </c>
      <c r="H551" s="1" t="s">
        <v>46</v>
      </c>
      <c r="I551" s="1" t="s">
        <v>47</v>
      </c>
      <c r="J551" s="1" t="s">
        <v>849</v>
      </c>
      <c r="K551" s="19" t="s">
        <v>229</v>
      </c>
      <c r="L551" s="20" t="s">
        <v>27</v>
      </c>
      <c r="M551" s="21">
        <f t="shared" si="1"/>
        <v>1</v>
      </c>
      <c r="N551" s="2">
        <v>17.772</v>
      </c>
      <c r="O551" s="2">
        <v>10.0</v>
      </c>
      <c r="P551" s="2">
        <v>2848.38</v>
      </c>
      <c r="Q551" s="2">
        <v>90201.0</v>
      </c>
      <c r="R551" s="15" t="b">
        <f>ISNUMBER(MATCH(Q551,'Returned order'!A:A,0))</f>
        <v>0</v>
      </c>
      <c r="S551" s="22">
        <v>42121.0</v>
      </c>
      <c r="T551" s="15"/>
      <c r="U551" s="15"/>
      <c r="V551" s="15"/>
    </row>
    <row r="552">
      <c r="A552" s="2">
        <v>25895.0</v>
      </c>
      <c r="B552" s="1" t="s">
        <v>28</v>
      </c>
      <c r="C552" s="2">
        <v>0.05</v>
      </c>
      <c r="D552" s="2">
        <v>4.28</v>
      </c>
      <c r="E552" s="2">
        <v>993.0</v>
      </c>
      <c r="F552" s="1" t="s">
        <v>850</v>
      </c>
      <c r="G552" s="1" t="s">
        <v>66</v>
      </c>
      <c r="H552" s="1" t="s">
        <v>23</v>
      </c>
      <c r="I552" s="1" t="s">
        <v>93</v>
      </c>
      <c r="J552" s="1" t="s">
        <v>444</v>
      </c>
      <c r="K552" s="19" t="s">
        <v>34</v>
      </c>
      <c r="L552" s="20" t="s">
        <v>70</v>
      </c>
      <c r="M552" s="21">
        <f t="shared" si="1"/>
        <v>4</v>
      </c>
      <c r="N552" s="2">
        <v>-104.57</v>
      </c>
      <c r="O552" s="2">
        <v>9.0</v>
      </c>
      <c r="P552" s="2">
        <v>38.58</v>
      </c>
      <c r="Q552" s="2">
        <v>89432.0</v>
      </c>
      <c r="R552" s="15" t="b">
        <f>ISNUMBER(MATCH(Q552,'Returned order'!A:A,0))</f>
        <v>0</v>
      </c>
      <c r="S552" s="22">
        <v>42054.0</v>
      </c>
      <c r="T552" s="15"/>
      <c r="U552" s="15"/>
      <c r="V552" s="15"/>
    </row>
    <row r="553">
      <c r="A553" s="2">
        <v>19004.0</v>
      </c>
      <c r="B553" s="1" t="s">
        <v>28</v>
      </c>
      <c r="C553" s="2">
        <v>0.1</v>
      </c>
      <c r="D553" s="2">
        <v>400.98</v>
      </c>
      <c r="E553" s="2">
        <v>994.0</v>
      </c>
      <c r="F553" s="1" t="s">
        <v>851</v>
      </c>
      <c r="G553" s="1" t="s">
        <v>66</v>
      </c>
      <c r="H553" s="1" t="s">
        <v>37</v>
      </c>
      <c r="I553" s="1" t="s">
        <v>73</v>
      </c>
      <c r="J553" s="1" t="s">
        <v>852</v>
      </c>
      <c r="K553" s="19" t="s">
        <v>26</v>
      </c>
      <c r="L553" s="20" t="s">
        <v>53</v>
      </c>
      <c r="M553" s="21">
        <f t="shared" si="1"/>
        <v>6</v>
      </c>
      <c r="N553" s="2">
        <v>-969.048366</v>
      </c>
      <c r="O553" s="2">
        <v>2.0</v>
      </c>
      <c r="P553" s="2">
        <v>810.47</v>
      </c>
      <c r="Q553" s="2">
        <v>89433.0</v>
      </c>
      <c r="R553" s="15" t="b">
        <f>ISNUMBER(MATCH(Q553,'Returned order'!A:A,0))</f>
        <v>0</v>
      </c>
      <c r="S553" s="22">
        <v>42077.0</v>
      </c>
      <c r="T553" s="15"/>
      <c r="U553" s="15"/>
      <c r="V553" s="15"/>
    </row>
    <row r="554">
      <c r="A554" s="2">
        <v>23840.0</v>
      </c>
      <c r="B554" s="1" t="s">
        <v>170</v>
      </c>
      <c r="C554" s="2">
        <v>0.09</v>
      </c>
      <c r="D554" s="2">
        <v>7.64</v>
      </c>
      <c r="E554" s="2">
        <v>995.0</v>
      </c>
      <c r="F554" s="1" t="s">
        <v>853</v>
      </c>
      <c r="G554" s="1" t="s">
        <v>66</v>
      </c>
      <c r="H554" s="1" t="s">
        <v>23</v>
      </c>
      <c r="I554" s="1" t="s">
        <v>93</v>
      </c>
      <c r="J554" s="1" t="s">
        <v>133</v>
      </c>
      <c r="K554" s="19" t="s">
        <v>26</v>
      </c>
      <c r="L554" s="20" t="s">
        <v>61</v>
      </c>
      <c r="M554" s="21">
        <f t="shared" si="1"/>
        <v>7</v>
      </c>
      <c r="N554" s="2">
        <v>4.032</v>
      </c>
      <c r="O554" s="2">
        <v>9.0</v>
      </c>
      <c r="P554" s="2">
        <v>72.83</v>
      </c>
      <c r="Q554" s="2">
        <v>89434.0</v>
      </c>
      <c r="R554" s="15" t="b">
        <f>ISNUMBER(MATCH(Q554,'Returned order'!A:A,0))</f>
        <v>0</v>
      </c>
      <c r="S554" s="22">
        <v>42134.0</v>
      </c>
      <c r="T554" s="15"/>
      <c r="U554" s="15"/>
      <c r="V554" s="15"/>
    </row>
    <row r="555">
      <c r="A555" s="2">
        <v>22639.0</v>
      </c>
      <c r="B555" s="1" t="s">
        <v>170</v>
      </c>
      <c r="C555" s="2">
        <v>0.08</v>
      </c>
      <c r="D555" s="2">
        <v>67.84</v>
      </c>
      <c r="E555" s="2">
        <v>997.0</v>
      </c>
      <c r="F555" s="1" t="s">
        <v>854</v>
      </c>
      <c r="G555" s="1" t="s">
        <v>66</v>
      </c>
      <c r="H555" s="1" t="s">
        <v>23</v>
      </c>
      <c r="I555" s="1" t="s">
        <v>151</v>
      </c>
      <c r="J555" s="1" t="s">
        <v>855</v>
      </c>
      <c r="K555" s="19" t="s">
        <v>26</v>
      </c>
      <c r="L555" s="20" t="s">
        <v>53</v>
      </c>
      <c r="M555" s="21">
        <f t="shared" si="1"/>
        <v>6</v>
      </c>
      <c r="N555" s="2">
        <v>-23.6344</v>
      </c>
      <c r="O555" s="2">
        <v>1.0</v>
      </c>
      <c r="P555" s="2">
        <v>63.66</v>
      </c>
      <c r="Q555" s="2">
        <v>89431.0</v>
      </c>
      <c r="R555" s="15" t="b">
        <f>ISNUMBER(MATCH(Q555,'Returned order'!A:A,0))</f>
        <v>0</v>
      </c>
      <c r="S555" s="22">
        <v>42028.0</v>
      </c>
      <c r="T555" s="15"/>
      <c r="U555" s="15"/>
      <c r="V555" s="15"/>
    </row>
    <row r="556">
      <c r="A556" s="2">
        <v>19003.0</v>
      </c>
      <c r="B556" s="1" t="s">
        <v>28</v>
      </c>
      <c r="C556" s="2">
        <v>0.08</v>
      </c>
      <c r="D556" s="2">
        <v>45.19</v>
      </c>
      <c r="E556" s="2">
        <v>999.0</v>
      </c>
      <c r="F556" s="1" t="s">
        <v>856</v>
      </c>
      <c r="G556" s="1" t="s">
        <v>66</v>
      </c>
      <c r="H556" s="1" t="s">
        <v>46</v>
      </c>
      <c r="I556" s="1" t="s">
        <v>47</v>
      </c>
      <c r="J556" s="1" t="s">
        <v>857</v>
      </c>
      <c r="K556" s="19" t="s">
        <v>26</v>
      </c>
      <c r="L556" s="20" t="s">
        <v>53</v>
      </c>
      <c r="M556" s="21">
        <f t="shared" si="1"/>
        <v>6</v>
      </c>
      <c r="N556" s="2">
        <v>-71.83</v>
      </c>
      <c r="O556" s="2">
        <v>3.0</v>
      </c>
      <c r="P556" s="2">
        <v>127.22</v>
      </c>
      <c r="Q556" s="2">
        <v>89433.0</v>
      </c>
      <c r="R556" s="15" t="b">
        <f>ISNUMBER(MATCH(Q556,'Returned order'!A:A,0))</f>
        <v>0</v>
      </c>
      <c r="S556" s="22">
        <v>42077.0</v>
      </c>
      <c r="T556" s="15"/>
      <c r="U556" s="15"/>
      <c r="V556" s="15"/>
    </row>
    <row r="557">
      <c r="A557" s="2">
        <v>19002.0</v>
      </c>
      <c r="B557" s="1" t="s">
        <v>28</v>
      </c>
      <c r="C557" s="2">
        <v>0.03</v>
      </c>
      <c r="D557" s="2">
        <v>33.98</v>
      </c>
      <c r="E557" s="2">
        <v>1000.0</v>
      </c>
      <c r="F557" s="1" t="s">
        <v>858</v>
      </c>
      <c r="G557" s="1" t="s">
        <v>66</v>
      </c>
      <c r="H557" s="1" t="s">
        <v>37</v>
      </c>
      <c r="I557" s="1" t="s">
        <v>42</v>
      </c>
      <c r="J557" s="1" t="s">
        <v>859</v>
      </c>
      <c r="K557" s="19" t="s">
        <v>26</v>
      </c>
      <c r="L557" s="20" t="s">
        <v>53</v>
      </c>
      <c r="M557" s="21">
        <f t="shared" si="1"/>
        <v>6</v>
      </c>
      <c r="N557" s="2">
        <v>-0.74</v>
      </c>
      <c r="O557" s="2">
        <v>12.0</v>
      </c>
      <c r="P557" s="2">
        <v>432.44</v>
      </c>
      <c r="Q557" s="2">
        <v>89433.0</v>
      </c>
      <c r="R557" s="15" t="b">
        <f>ISNUMBER(MATCH(Q557,'Returned order'!A:A,0))</f>
        <v>0</v>
      </c>
      <c r="S557" s="22">
        <v>42077.0</v>
      </c>
      <c r="T557" s="15"/>
      <c r="U557" s="15"/>
      <c r="V557" s="15"/>
    </row>
    <row r="558">
      <c r="A558" s="2">
        <v>19380.0</v>
      </c>
      <c r="B558" s="1" t="s">
        <v>170</v>
      </c>
      <c r="C558" s="2">
        <v>0.06</v>
      </c>
      <c r="D558" s="2">
        <v>10.14</v>
      </c>
      <c r="E558" s="2">
        <v>1005.0</v>
      </c>
      <c r="F558" s="1" t="s">
        <v>860</v>
      </c>
      <c r="G558" s="1" t="s">
        <v>66</v>
      </c>
      <c r="H558" s="1" t="s">
        <v>23</v>
      </c>
      <c r="I558" s="1" t="s">
        <v>93</v>
      </c>
      <c r="J558" s="1" t="s">
        <v>305</v>
      </c>
      <c r="K558" s="19" t="s">
        <v>68</v>
      </c>
      <c r="L558" s="20" t="s">
        <v>35</v>
      </c>
      <c r="M558" s="21">
        <f t="shared" si="1"/>
        <v>3</v>
      </c>
      <c r="N558" s="2">
        <v>-3.88</v>
      </c>
      <c r="O558" s="2">
        <v>1.0</v>
      </c>
      <c r="P558" s="2">
        <v>12.18</v>
      </c>
      <c r="Q558" s="2">
        <v>90043.0</v>
      </c>
      <c r="R558" s="15" t="b">
        <f>ISNUMBER(MATCH(Q558,'Returned order'!A:A,0))</f>
        <v>0</v>
      </c>
      <c r="S558" s="22">
        <v>42067.0</v>
      </c>
      <c r="T558" s="15"/>
      <c r="U558" s="15"/>
      <c r="V558" s="15"/>
    </row>
    <row r="559">
      <c r="A559" s="2">
        <v>20167.0</v>
      </c>
      <c r="B559" s="1" t="s">
        <v>28</v>
      </c>
      <c r="C559" s="2">
        <v>0.02</v>
      </c>
      <c r="D559" s="2">
        <v>40.99</v>
      </c>
      <c r="E559" s="2">
        <v>1005.0</v>
      </c>
      <c r="F559" s="1" t="s">
        <v>860</v>
      </c>
      <c r="G559" s="1" t="s">
        <v>66</v>
      </c>
      <c r="H559" s="1" t="s">
        <v>23</v>
      </c>
      <c r="I559" s="1" t="s">
        <v>93</v>
      </c>
      <c r="J559" s="1" t="s">
        <v>861</v>
      </c>
      <c r="K559" s="19" t="s">
        <v>68</v>
      </c>
      <c r="L559" s="20" t="s">
        <v>76</v>
      </c>
      <c r="M559" s="21">
        <f t="shared" si="1"/>
        <v>5</v>
      </c>
      <c r="N559" s="2">
        <v>551.0928</v>
      </c>
      <c r="O559" s="2">
        <v>23.0</v>
      </c>
      <c r="P559" s="2">
        <v>950.43</v>
      </c>
      <c r="Q559" s="2">
        <v>90044.0</v>
      </c>
      <c r="R559" s="15" t="b">
        <f>ISNUMBER(MATCH(Q559,'Returned order'!A:A,0))</f>
        <v>0</v>
      </c>
      <c r="S559" s="22">
        <v>42062.0</v>
      </c>
      <c r="T559" s="15"/>
      <c r="U559" s="15"/>
      <c r="V559" s="15"/>
    </row>
    <row r="560">
      <c r="A560" s="2">
        <v>18529.0</v>
      </c>
      <c r="B560" s="1" t="s">
        <v>28</v>
      </c>
      <c r="C560" s="2">
        <v>0.01</v>
      </c>
      <c r="D560" s="2">
        <v>3.15</v>
      </c>
      <c r="E560" s="2">
        <v>1008.0</v>
      </c>
      <c r="F560" s="1" t="s">
        <v>129</v>
      </c>
      <c r="G560" s="1" t="s">
        <v>51</v>
      </c>
      <c r="H560" s="1" t="s">
        <v>23</v>
      </c>
      <c r="I560" s="1" t="s">
        <v>130</v>
      </c>
      <c r="J560" s="1" t="s">
        <v>131</v>
      </c>
      <c r="K560" s="19" t="s">
        <v>26</v>
      </c>
      <c r="L560" s="20" t="s">
        <v>27</v>
      </c>
      <c r="M560" s="21">
        <f t="shared" si="1"/>
        <v>1</v>
      </c>
      <c r="N560" s="2">
        <v>17.5053</v>
      </c>
      <c r="O560" s="2">
        <v>8.0</v>
      </c>
      <c r="P560" s="2">
        <v>25.37</v>
      </c>
      <c r="Q560" s="2">
        <v>88371.0</v>
      </c>
      <c r="R560" s="15" t="b">
        <f>ISNUMBER(MATCH(Q560,'Returned order'!A:A,0))</f>
        <v>0</v>
      </c>
      <c r="S560" s="22">
        <v>42149.0</v>
      </c>
      <c r="T560" s="15"/>
      <c r="U560" s="15"/>
      <c r="V560" s="15"/>
    </row>
    <row r="561">
      <c r="A561" s="2">
        <v>18886.0</v>
      </c>
      <c r="B561" s="1" t="s">
        <v>28</v>
      </c>
      <c r="C561" s="2">
        <v>0.1</v>
      </c>
      <c r="D561" s="2">
        <v>550.98</v>
      </c>
      <c r="E561" s="2">
        <v>1009.0</v>
      </c>
      <c r="F561" s="1" t="s">
        <v>862</v>
      </c>
      <c r="G561" s="1" t="s">
        <v>32</v>
      </c>
      <c r="H561" s="1" t="s">
        <v>37</v>
      </c>
      <c r="I561" s="1" t="s">
        <v>73</v>
      </c>
      <c r="J561" s="1" t="s">
        <v>863</v>
      </c>
      <c r="K561" s="19" t="s">
        <v>26</v>
      </c>
      <c r="L561" s="20" t="s">
        <v>76</v>
      </c>
      <c r="M561" s="21">
        <f t="shared" si="1"/>
        <v>5</v>
      </c>
      <c r="N561" s="2">
        <v>818.546175</v>
      </c>
      <c r="O561" s="2">
        <v>14.0</v>
      </c>
      <c r="P561" s="2">
        <v>6963.67</v>
      </c>
      <c r="Q561" s="2">
        <v>88372.0</v>
      </c>
      <c r="R561" s="15" t="b">
        <f>ISNUMBER(MATCH(Q561,'Returned order'!A:A,0))</f>
        <v>0</v>
      </c>
      <c r="S561" s="22">
        <v>42174.0</v>
      </c>
      <c r="T561" s="15"/>
      <c r="U561" s="15"/>
      <c r="V561" s="15"/>
    </row>
    <row r="562">
      <c r="A562" s="2">
        <v>21184.0</v>
      </c>
      <c r="B562" s="1" t="s">
        <v>58</v>
      </c>
      <c r="C562" s="2">
        <v>0.09</v>
      </c>
      <c r="D562" s="2">
        <v>28.48</v>
      </c>
      <c r="E562" s="2">
        <v>1014.0</v>
      </c>
      <c r="F562" s="1" t="s">
        <v>864</v>
      </c>
      <c r="G562" s="1" t="s">
        <v>51</v>
      </c>
      <c r="H562" s="1" t="s">
        <v>46</v>
      </c>
      <c r="I562" s="1" t="s">
        <v>47</v>
      </c>
      <c r="J562" s="1" t="s">
        <v>390</v>
      </c>
      <c r="K562" s="19" t="s">
        <v>229</v>
      </c>
      <c r="L562" s="20" t="s">
        <v>61</v>
      </c>
      <c r="M562" s="21">
        <f t="shared" si="1"/>
        <v>7</v>
      </c>
      <c r="N562" s="2">
        <v>-17.15</v>
      </c>
      <c r="O562" s="2">
        <v>6.0</v>
      </c>
      <c r="P562" s="2">
        <v>160.17</v>
      </c>
      <c r="Q562" s="2">
        <v>88387.0</v>
      </c>
      <c r="R562" s="15" t="b">
        <f>ISNUMBER(MATCH(Q562,'Returned order'!A:A,0))</f>
        <v>0</v>
      </c>
      <c r="S562" s="22">
        <v>42064.0</v>
      </c>
      <c r="T562" s="15"/>
      <c r="U562" s="15"/>
      <c r="V562" s="15"/>
    </row>
    <row r="563">
      <c r="A563" s="2">
        <v>21185.0</v>
      </c>
      <c r="B563" s="1" t="s">
        <v>58</v>
      </c>
      <c r="C563" s="2">
        <v>0.0</v>
      </c>
      <c r="D563" s="2">
        <v>2.08</v>
      </c>
      <c r="E563" s="2">
        <v>1014.0</v>
      </c>
      <c r="F563" s="1" t="s">
        <v>864</v>
      </c>
      <c r="G563" s="1" t="s">
        <v>51</v>
      </c>
      <c r="H563" s="1" t="s">
        <v>37</v>
      </c>
      <c r="I563" s="1" t="s">
        <v>42</v>
      </c>
      <c r="J563" s="1" t="s">
        <v>180</v>
      </c>
      <c r="K563" s="19" t="s">
        <v>229</v>
      </c>
      <c r="L563" s="20" t="s">
        <v>61</v>
      </c>
      <c r="M563" s="21">
        <f t="shared" si="1"/>
        <v>7</v>
      </c>
      <c r="N563" s="2">
        <v>-29.54</v>
      </c>
      <c r="O563" s="2">
        <v>3.0</v>
      </c>
      <c r="P563" s="2">
        <v>7.47</v>
      </c>
      <c r="Q563" s="2">
        <v>88387.0</v>
      </c>
      <c r="R563" s="15" t="b">
        <f>ISNUMBER(MATCH(Q563,'Returned order'!A:A,0))</f>
        <v>0</v>
      </c>
      <c r="S563" s="22">
        <v>42064.0</v>
      </c>
      <c r="T563" s="15"/>
      <c r="U563" s="15"/>
      <c r="V563" s="15"/>
    </row>
    <row r="564">
      <c r="A564" s="2">
        <v>21186.0</v>
      </c>
      <c r="B564" s="1" t="s">
        <v>58</v>
      </c>
      <c r="C564" s="2">
        <v>0.06</v>
      </c>
      <c r="D564" s="2">
        <v>45.99</v>
      </c>
      <c r="E564" s="2">
        <v>1014.0</v>
      </c>
      <c r="F564" s="1" t="s">
        <v>864</v>
      </c>
      <c r="G564" s="1" t="s">
        <v>51</v>
      </c>
      <c r="H564" s="1" t="s">
        <v>46</v>
      </c>
      <c r="I564" s="1" t="s">
        <v>85</v>
      </c>
      <c r="J564" s="1" t="s">
        <v>865</v>
      </c>
      <c r="K564" s="19" t="s">
        <v>229</v>
      </c>
      <c r="L564" s="20" t="s">
        <v>61</v>
      </c>
      <c r="M564" s="21">
        <f t="shared" si="1"/>
        <v>7</v>
      </c>
      <c r="N564" s="2">
        <v>-329.784</v>
      </c>
      <c r="O564" s="2">
        <v>10.0</v>
      </c>
      <c r="P564" s="2">
        <v>370.81</v>
      </c>
      <c r="Q564" s="2">
        <v>88387.0</v>
      </c>
      <c r="R564" s="15" t="b">
        <f>ISNUMBER(MATCH(Q564,'Returned order'!A:A,0))</f>
        <v>0</v>
      </c>
      <c r="S564" s="22">
        <v>42064.0</v>
      </c>
      <c r="T564" s="15"/>
      <c r="U564" s="15"/>
      <c r="V564" s="15"/>
    </row>
    <row r="565">
      <c r="A565" s="2">
        <v>20880.0</v>
      </c>
      <c r="B565" s="1" t="s">
        <v>49</v>
      </c>
      <c r="C565" s="2">
        <v>0.08</v>
      </c>
      <c r="D565" s="2">
        <v>10.91</v>
      </c>
      <c r="E565" s="2">
        <v>1014.0</v>
      </c>
      <c r="F565" s="1" t="s">
        <v>864</v>
      </c>
      <c r="G565" s="1" t="s">
        <v>51</v>
      </c>
      <c r="H565" s="1" t="s">
        <v>23</v>
      </c>
      <c r="I565" s="1" t="s">
        <v>24</v>
      </c>
      <c r="J565" s="1" t="s">
        <v>866</v>
      </c>
      <c r="K565" s="19" t="s">
        <v>229</v>
      </c>
      <c r="L565" s="20" t="s">
        <v>70</v>
      </c>
      <c r="M565" s="21">
        <f t="shared" si="1"/>
        <v>4</v>
      </c>
      <c r="N565" s="2">
        <v>-2.1</v>
      </c>
      <c r="O565" s="2">
        <v>11.0</v>
      </c>
      <c r="P565" s="2">
        <v>119.99</v>
      </c>
      <c r="Q565" s="2">
        <v>88388.0</v>
      </c>
      <c r="R565" s="15" t="b">
        <f>ISNUMBER(MATCH(Q565,'Returned order'!A:A,0))</f>
        <v>0</v>
      </c>
      <c r="S565" s="22">
        <v>42068.0</v>
      </c>
      <c r="T565" s="15"/>
      <c r="U565" s="15"/>
      <c r="V565" s="15"/>
    </row>
    <row r="566">
      <c r="A566" s="2">
        <v>20531.0</v>
      </c>
      <c r="B566" s="1" t="s">
        <v>63</v>
      </c>
      <c r="C566" s="2">
        <v>0.0</v>
      </c>
      <c r="D566" s="2">
        <v>43.98</v>
      </c>
      <c r="E566" s="2">
        <v>1015.0</v>
      </c>
      <c r="F566" s="1" t="s">
        <v>867</v>
      </c>
      <c r="G566" s="1" t="s">
        <v>51</v>
      </c>
      <c r="H566" s="1" t="s">
        <v>23</v>
      </c>
      <c r="I566" s="1" t="s">
        <v>29</v>
      </c>
      <c r="J566" s="1" t="s">
        <v>868</v>
      </c>
      <c r="K566" s="19" t="s">
        <v>229</v>
      </c>
      <c r="L566" s="20" t="s">
        <v>35</v>
      </c>
      <c r="M566" s="21">
        <f t="shared" si="1"/>
        <v>3</v>
      </c>
      <c r="N566" s="2">
        <v>829.467</v>
      </c>
      <c r="O566" s="2">
        <v>14.0</v>
      </c>
      <c r="P566" s="2">
        <v>650.7</v>
      </c>
      <c r="Q566" s="2">
        <v>88390.0</v>
      </c>
      <c r="R566" s="15" t="b">
        <f>ISNUMBER(MATCH(Q566,'Returned order'!A:A,0))</f>
        <v>0</v>
      </c>
      <c r="S566" s="22">
        <v>42081.0</v>
      </c>
      <c r="T566" s="15"/>
      <c r="U566" s="15"/>
      <c r="V566" s="15"/>
    </row>
    <row r="567">
      <c r="A567" s="2">
        <v>24752.0</v>
      </c>
      <c r="B567" s="1" t="s">
        <v>28</v>
      </c>
      <c r="C567" s="2">
        <v>0.02</v>
      </c>
      <c r="D567" s="2">
        <v>6.48</v>
      </c>
      <c r="E567" s="2">
        <v>1016.0</v>
      </c>
      <c r="F567" s="1" t="s">
        <v>869</v>
      </c>
      <c r="G567" s="1" t="s">
        <v>51</v>
      </c>
      <c r="H567" s="1" t="s">
        <v>23</v>
      </c>
      <c r="I567" s="1" t="s">
        <v>93</v>
      </c>
      <c r="J567" s="1" t="s">
        <v>870</v>
      </c>
      <c r="K567" s="19" t="s">
        <v>229</v>
      </c>
      <c r="L567" s="20" t="s">
        <v>76</v>
      </c>
      <c r="M567" s="21">
        <f t="shared" si="1"/>
        <v>5</v>
      </c>
      <c r="N567" s="2">
        <v>111.222</v>
      </c>
      <c r="O567" s="2">
        <v>1.0</v>
      </c>
      <c r="P567" s="2">
        <v>11.41</v>
      </c>
      <c r="Q567" s="2">
        <v>88389.0</v>
      </c>
      <c r="R567" s="15" t="b">
        <f>ISNUMBER(MATCH(Q567,'Returned order'!A:A,0))</f>
        <v>0</v>
      </c>
      <c r="S567" s="22">
        <v>42167.0</v>
      </c>
      <c r="T567" s="15"/>
      <c r="U567" s="15"/>
      <c r="V567" s="15"/>
    </row>
    <row r="568">
      <c r="A568" s="2">
        <v>25027.0</v>
      </c>
      <c r="B568" s="1" t="s">
        <v>63</v>
      </c>
      <c r="C568" s="2">
        <v>0.05</v>
      </c>
      <c r="D568" s="2">
        <v>35.89</v>
      </c>
      <c r="E568" s="2">
        <v>1018.0</v>
      </c>
      <c r="F568" s="1" t="s">
        <v>871</v>
      </c>
      <c r="G568" s="1" t="s">
        <v>51</v>
      </c>
      <c r="H568" s="1" t="s">
        <v>23</v>
      </c>
      <c r="I568" s="1" t="s">
        <v>88</v>
      </c>
      <c r="J568" s="1" t="s">
        <v>872</v>
      </c>
      <c r="K568" s="19" t="s">
        <v>229</v>
      </c>
      <c r="L568" s="20" t="s">
        <v>35</v>
      </c>
      <c r="M568" s="21">
        <f t="shared" si="1"/>
        <v>3</v>
      </c>
      <c r="N568" s="2">
        <v>22.866</v>
      </c>
      <c r="O568" s="2">
        <v>19.0</v>
      </c>
      <c r="P568" s="2">
        <v>680.39</v>
      </c>
      <c r="Q568" s="2">
        <v>88391.0</v>
      </c>
      <c r="R568" s="15" t="b">
        <f>ISNUMBER(MATCH(Q568,'Returned order'!A:A,0))</f>
        <v>0</v>
      </c>
      <c r="S568" s="22">
        <v>42102.0</v>
      </c>
      <c r="T568" s="15"/>
      <c r="U568" s="15"/>
      <c r="V568" s="15"/>
    </row>
    <row r="569">
      <c r="A569" s="2">
        <v>25028.0</v>
      </c>
      <c r="B569" s="1" t="s">
        <v>63</v>
      </c>
      <c r="C569" s="2">
        <v>0.0</v>
      </c>
      <c r="D569" s="2">
        <v>11.48</v>
      </c>
      <c r="E569" s="2">
        <v>1018.0</v>
      </c>
      <c r="F569" s="1" t="s">
        <v>871</v>
      </c>
      <c r="G569" s="1" t="s">
        <v>51</v>
      </c>
      <c r="H569" s="1" t="s">
        <v>23</v>
      </c>
      <c r="I569" s="1" t="s">
        <v>93</v>
      </c>
      <c r="J569" s="1" t="s">
        <v>873</v>
      </c>
      <c r="K569" s="19" t="s">
        <v>229</v>
      </c>
      <c r="L569" s="20" t="s">
        <v>35</v>
      </c>
      <c r="M569" s="21">
        <f t="shared" si="1"/>
        <v>3</v>
      </c>
      <c r="N569" s="2">
        <v>115.728</v>
      </c>
      <c r="O569" s="2">
        <v>6.0</v>
      </c>
      <c r="P569" s="2">
        <v>75.52</v>
      </c>
      <c r="Q569" s="2">
        <v>88391.0</v>
      </c>
      <c r="R569" s="15" t="b">
        <f>ISNUMBER(MATCH(Q569,'Returned order'!A:A,0))</f>
        <v>0</v>
      </c>
      <c r="S569" s="22">
        <v>42102.0</v>
      </c>
      <c r="T569" s="15"/>
      <c r="U569" s="15"/>
      <c r="V569" s="15"/>
    </row>
    <row r="570">
      <c r="A570" s="2">
        <v>24926.0</v>
      </c>
      <c r="B570" s="1" t="s">
        <v>58</v>
      </c>
      <c r="C570" s="2">
        <v>0.09</v>
      </c>
      <c r="D570" s="2">
        <v>517.48</v>
      </c>
      <c r="E570" s="2">
        <v>1020.0</v>
      </c>
      <c r="F570" s="1" t="s">
        <v>874</v>
      </c>
      <c r="G570" s="1" t="s">
        <v>66</v>
      </c>
      <c r="H570" s="1" t="s">
        <v>46</v>
      </c>
      <c r="I570" s="1" t="s">
        <v>103</v>
      </c>
      <c r="J570" s="1" t="s">
        <v>875</v>
      </c>
      <c r="K570" s="19" t="s">
        <v>68</v>
      </c>
      <c r="L570" s="20" t="s">
        <v>53</v>
      </c>
      <c r="M570" s="21">
        <f t="shared" si="1"/>
        <v>6</v>
      </c>
      <c r="N570" s="2">
        <v>909.36</v>
      </c>
      <c r="O570" s="2">
        <v>5.0</v>
      </c>
      <c r="P570" s="2">
        <v>2354.54</v>
      </c>
      <c r="Q570" s="2">
        <v>88632.0</v>
      </c>
      <c r="R570" s="15" t="b">
        <f>ISNUMBER(MATCH(Q570,'Returned order'!A:A,0))</f>
        <v>0</v>
      </c>
      <c r="S570" s="22">
        <v>42070.0</v>
      </c>
      <c r="T570" s="15"/>
      <c r="U570" s="15"/>
      <c r="V570" s="15"/>
    </row>
    <row r="571">
      <c r="A571" s="2">
        <v>23562.0</v>
      </c>
      <c r="B571" s="1" t="s">
        <v>58</v>
      </c>
      <c r="C571" s="2">
        <v>0.07</v>
      </c>
      <c r="D571" s="2">
        <v>4.13</v>
      </c>
      <c r="E571" s="2">
        <v>1020.0</v>
      </c>
      <c r="F571" s="1" t="s">
        <v>874</v>
      </c>
      <c r="G571" s="1" t="s">
        <v>66</v>
      </c>
      <c r="H571" s="1" t="s">
        <v>23</v>
      </c>
      <c r="I571" s="1" t="s">
        <v>24</v>
      </c>
      <c r="J571" s="1" t="s">
        <v>571</v>
      </c>
      <c r="K571" s="19" t="s">
        <v>68</v>
      </c>
      <c r="L571" s="20" t="s">
        <v>76</v>
      </c>
      <c r="M571" s="21">
        <f t="shared" si="1"/>
        <v>5</v>
      </c>
      <c r="N571" s="2">
        <v>-76.4244</v>
      </c>
      <c r="O571" s="2">
        <v>20.0</v>
      </c>
      <c r="P571" s="2">
        <v>79.06</v>
      </c>
      <c r="Q571" s="2">
        <v>88634.0</v>
      </c>
      <c r="R571" s="15" t="b">
        <f>ISNUMBER(MATCH(Q571,'Returned order'!A:A,0))</f>
        <v>0</v>
      </c>
      <c r="S571" s="22">
        <v>42041.0</v>
      </c>
      <c r="T571" s="15"/>
      <c r="U571" s="15"/>
      <c r="V571" s="15"/>
    </row>
    <row r="572">
      <c r="A572" s="2">
        <v>23563.0</v>
      </c>
      <c r="B572" s="1" t="s">
        <v>58</v>
      </c>
      <c r="C572" s="2">
        <v>0.0</v>
      </c>
      <c r="D572" s="2">
        <v>4.48</v>
      </c>
      <c r="E572" s="2">
        <v>1020.0</v>
      </c>
      <c r="F572" s="1" t="s">
        <v>874</v>
      </c>
      <c r="G572" s="1" t="s">
        <v>66</v>
      </c>
      <c r="H572" s="1" t="s">
        <v>23</v>
      </c>
      <c r="I572" s="1" t="s">
        <v>88</v>
      </c>
      <c r="J572" s="1" t="s">
        <v>182</v>
      </c>
      <c r="K572" s="19" t="s">
        <v>68</v>
      </c>
      <c r="L572" s="20" t="s">
        <v>76</v>
      </c>
      <c r="M572" s="21">
        <f t="shared" si="1"/>
        <v>5</v>
      </c>
      <c r="N572" s="2">
        <v>8.732</v>
      </c>
      <c r="O572" s="2">
        <v>14.0</v>
      </c>
      <c r="P572" s="2">
        <v>65.14</v>
      </c>
      <c r="Q572" s="2">
        <v>88634.0</v>
      </c>
      <c r="R572" s="15" t="b">
        <f>ISNUMBER(MATCH(Q572,'Returned order'!A:A,0))</f>
        <v>0</v>
      </c>
      <c r="S572" s="22">
        <v>42041.0</v>
      </c>
      <c r="T572" s="15"/>
      <c r="U572" s="15"/>
      <c r="V572" s="15"/>
    </row>
    <row r="573">
      <c r="A573" s="2">
        <v>18921.0</v>
      </c>
      <c r="B573" s="1" t="s">
        <v>58</v>
      </c>
      <c r="C573" s="2">
        <v>0.02</v>
      </c>
      <c r="D573" s="2">
        <v>39.06</v>
      </c>
      <c r="E573" s="2">
        <v>1023.0</v>
      </c>
      <c r="F573" s="1" t="s">
        <v>876</v>
      </c>
      <c r="G573" s="1" t="s">
        <v>66</v>
      </c>
      <c r="H573" s="1" t="s">
        <v>23</v>
      </c>
      <c r="I573" s="1" t="s">
        <v>24</v>
      </c>
      <c r="J573" s="1" t="s">
        <v>877</v>
      </c>
      <c r="K573" s="19" t="s">
        <v>26</v>
      </c>
      <c r="L573" s="20" t="s">
        <v>76</v>
      </c>
      <c r="M573" s="21">
        <f t="shared" si="1"/>
        <v>5</v>
      </c>
      <c r="N573" s="2">
        <v>442.0899</v>
      </c>
      <c r="O573" s="2">
        <v>16.0</v>
      </c>
      <c r="P573" s="2">
        <v>640.71</v>
      </c>
      <c r="Q573" s="2">
        <v>88633.0</v>
      </c>
      <c r="R573" s="15" t="b">
        <f>ISNUMBER(MATCH(Q573,'Returned order'!A:A,0))</f>
        <v>0</v>
      </c>
      <c r="S573" s="22">
        <v>42139.0</v>
      </c>
      <c r="T573" s="15"/>
      <c r="U573" s="15"/>
      <c r="V573" s="15"/>
    </row>
    <row r="574">
      <c r="A574" s="2">
        <v>18922.0</v>
      </c>
      <c r="B574" s="1" t="s">
        <v>58</v>
      </c>
      <c r="C574" s="2">
        <v>0.1</v>
      </c>
      <c r="D574" s="2">
        <v>37.7</v>
      </c>
      <c r="E574" s="2">
        <v>1023.0</v>
      </c>
      <c r="F574" s="1" t="s">
        <v>876</v>
      </c>
      <c r="G574" s="1" t="s">
        <v>66</v>
      </c>
      <c r="H574" s="1" t="s">
        <v>23</v>
      </c>
      <c r="I574" s="1" t="s">
        <v>24</v>
      </c>
      <c r="J574" s="1" t="s">
        <v>489</v>
      </c>
      <c r="K574" s="19" t="s">
        <v>26</v>
      </c>
      <c r="L574" s="20" t="s">
        <v>76</v>
      </c>
      <c r="M574" s="21">
        <f t="shared" si="1"/>
        <v>5</v>
      </c>
      <c r="N574" s="2">
        <v>455.124</v>
      </c>
      <c r="O574" s="2">
        <v>18.0</v>
      </c>
      <c r="P574" s="2">
        <v>659.6</v>
      </c>
      <c r="Q574" s="2">
        <v>88633.0</v>
      </c>
      <c r="R574" s="15" t="b">
        <f>ISNUMBER(MATCH(Q574,'Returned order'!A:A,0))</f>
        <v>0</v>
      </c>
      <c r="S574" s="22">
        <v>42139.0</v>
      </c>
      <c r="T574" s="15"/>
      <c r="U574" s="15"/>
      <c r="V574" s="15"/>
    </row>
    <row r="575">
      <c r="A575" s="2">
        <v>21402.0</v>
      </c>
      <c r="B575" s="1" t="s">
        <v>49</v>
      </c>
      <c r="C575" s="2">
        <v>0.08</v>
      </c>
      <c r="D575" s="2">
        <v>65.99</v>
      </c>
      <c r="E575" s="2">
        <v>1026.0</v>
      </c>
      <c r="F575" s="1" t="s">
        <v>878</v>
      </c>
      <c r="G575" s="1" t="s">
        <v>66</v>
      </c>
      <c r="H575" s="1" t="s">
        <v>46</v>
      </c>
      <c r="I575" s="1" t="s">
        <v>85</v>
      </c>
      <c r="J575" s="1" t="s">
        <v>879</v>
      </c>
      <c r="K575" s="19" t="s">
        <v>26</v>
      </c>
      <c r="L575" s="20" t="s">
        <v>53</v>
      </c>
      <c r="M575" s="21">
        <f t="shared" si="1"/>
        <v>6</v>
      </c>
      <c r="N575" s="2">
        <v>624.40164</v>
      </c>
      <c r="O575" s="2">
        <v>22.0</v>
      </c>
      <c r="P575" s="2">
        <v>1137.6</v>
      </c>
      <c r="Q575" s="2">
        <v>89005.0</v>
      </c>
      <c r="R575" s="15" t="b">
        <f>ISNUMBER(MATCH(Q575,'Returned order'!A:A,0))</f>
        <v>0</v>
      </c>
      <c r="S575" s="22">
        <v>42042.0</v>
      </c>
      <c r="T575" s="15"/>
      <c r="U575" s="15"/>
      <c r="V575" s="15"/>
    </row>
    <row r="576">
      <c r="A576" s="2">
        <v>20872.0</v>
      </c>
      <c r="B576" s="1" t="s">
        <v>28</v>
      </c>
      <c r="C576" s="2">
        <v>0.1</v>
      </c>
      <c r="D576" s="2">
        <v>5.98</v>
      </c>
      <c r="E576" s="2">
        <v>1026.0</v>
      </c>
      <c r="F576" s="1" t="s">
        <v>878</v>
      </c>
      <c r="G576" s="1" t="s">
        <v>66</v>
      </c>
      <c r="H576" s="1" t="s">
        <v>46</v>
      </c>
      <c r="I576" s="1" t="s">
        <v>47</v>
      </c>
      <c r="J576" s="1" t="s">
        <v>880</v>
      </c>
      <c r="K576" s="19" t="s">
        <v>26</v>
      </c>
      <c r="L576" s="20" t="s">
        <v>76</v>
      </c>
      <c r="M576" s="21">
        <f t="shared" si="1"/>
        <v>5</v>
      </c>
      <c r="N576" s="2">
        <v>18.922</v>
      </c>
      <c r="O576" s="2">
        <v>26.0</v>
      </c>
      <c r="P576" s="2">
        <v>151.55</v>
      </c>
      <c r="Q576" s="2">
        <v>89008.0</v>
      </c>
      <c r="R576" s="15" t="b">
        <f>ISNUMBER(MATCH(Q576,'Returned order'!A:A,0))</f>
        <v>0</v>
      </c>
      <c r="S576" s="22">
        <v>42153.0</v>
      </c>
      <c r="T576" s="15"/>
      <c r="U576" s="15"/>
      <c r="V576" s="15"/>
    </row>
    <row r="577">
      <c r="A577" s="2">
        <v>20873.0</v>
      </c>
      <c r="B577" s="1" t="s">
        <v>28</v>
      </c>
      <c r="C577" s="2">
        <v>0.07</v>
      </c>
      <c r="D577" s="2">
        <v>2.61</v>
      </c>
      <c r="E577" s="2">
        <v>1026.0</v>
      </c>
      <c r="F577" s="1" t="s">
        <v>878</v>
      </c>
      <c r="G577" s="1" t="s">
        <v>66</v>
      </c>
      <c r="H577" s="1" t="s">
        <v>23</v>
      </c>
      <c r="I577" s="1" t="s">
        <v>130</v>
      </c>
      <c r="J577" s="1" t="s">
        <v>881</v>
      </c>
      <c r="K577" s="19" t="s">
        <v>26</v>
      </c>
      <c r="L577" s="20" t="s">
        <v>76</v>
      </c>
      <c r="M577" s="21">
        <f t="shared" si="1"/>
        <v>5</v>
      </c>
      <c r="N577" s="2">
        <v>39.3507</v>
      </c>
      <c r="O577" s="2">
        <v>22.0</v>
      </c>
      <c r="P577" s="2">
        <v>57.03</v>
      </c>
      <c r="Q577" s="2">
        <v>89008.0</v>
      </c>
      <c r="R577" s="15" t="b">
        <f>ISNUMBER(MATCH(Q577,'Returned order'!A:A,0))</f>
        <v>0</v>
      </c>
      <c r="S577" s="22">
        <v>42153.0</v>
      </c>
      <c r="T577" s="15"/>
      <c r="U577" s="15"/>
      <c r="V577" s="15"/>
    </row>
    <row r="578">
      <c r="A578" s="2">
        <v>22662.0</v>
      </c>
      <c r="B578" s="1" t="s">
        <v>28</v>
      </c>
      <c r="C578" s="2">
        <v>0.1</v>
      </c>
      <c r="D578" s="2">
        <v>73.98</v>
      </c>
      <c r="E578" s="2">
        <v>1027.0</v>
      </c>
      <c r="F578" s="1" t="s">
        <v>882</v>
      </c>
      <c r="G578" s="1" t="s">
        <v>66</v>
      </c>
      <c r="H578" s="1" t="s">
        <v>46</v>
      </c>
      <c r="I578" s="1" t="s">
        <v>47</v>
      </c>
      <c r="J578" s="1" t="s">
        <v>883</v>
      </c>
      <c r="K578" s="19" t="s">
        <v>26</v>
      </c>
      <c r="L578" s="20" t="s">
        <v>70</v>
      </c>
      <c r="M578" s="21">
        <f t="shared" si="1"/>
        <v>4</v>
      </c>
      <c r="N578" s="2">
        <v>-229.87</v>
      </c>
      <c r="O578" s="2">
        <v>5.0</v>
      </c>
      <c r="P578" s="2">
        <v>347.23</v>
      </c>
      <c r="Q578" s="2">
        <v>89004.0</v>
      </c>
      <c r="R578" s="15" t="b">
        <f>ISNUMBER(MATCH(Q578,'Returned order'!A:A,0))</f>
        <v>0</v>
      </c>
      <c r="S578" s="22">
        <v>42075.0</v>
      </c>
      <c r="T578" s="15"/>
      <c r="U578" s="15"/>
      <c r="V578" s="15"/>
    </row>
    <row r="579">
      <c r="A579" s="2">
        <v>22663.0</v>
      </c>
      <c r="B579" s="1" t="s">
        <v>28</v>
      </c>
      <c r="C579" s="2">
        <v>0.05</v>
      </c>
      <c r="D579" s="2">
        <v>51.98</v>
      </c>
      <c r="E579" s="2">
        <v>1027.0</v>
      </c>
      <c r="F579" s="1" t="s">
        <v>882</v>
      </c>
      <c r="G579" s="1" t="s">
        <v>66</v>
      </c>
      <c r="H579" s="1" t="s">
        <v>46</v>
      </c>
      <c r="I579" s="1" t="s">
        <v>103</v>
      </c>
      <c r="J579" s="1" t="s">
        <v>884</v>
      </c>
      <c r="K579" s="19" t="s">
        <v>26</v>
      </c>
      <c r="L579" s="20" t="s">
        <v>70</v>
      </c>
      <c r="M579" s="21">
        <f t="shared" si="1"/>
        <v>4</v>
      </c>
      <c r="N579" s="2">
        <v>329.9787</v>
      </c>
      <c r="O579" s="2">
        <v>9.0</v>
      </c>
      <c r="P579" s="2">
        <v>478.23</v>
      </c>
      <c r="Q579" s="2">
        <v>89004.0</v>
      </c>
      <c r="R579" s="15" t="b">
        <f>ISNUMBER(MATCH(Q579,'Returned order'!A:A,0))</f>
        <v>0</v>
      </c>
      <c r="S579" s="22">
        <v>42075.0</v>
      </c>
      <c r="T579" s="15"/>
      <c r="U579" s="15"/>
      <c r="V579" s="15"/>
    </row>
    <row r="580">
      <c r="A580" s="2">
        <v>24325.0</v>
      </c>
      <c r="B580" s="1" t="s">
        <v>63</v>
      </c>
      <c r="C580" s="2">
        <v>0.07</v>
      </c>
      <c r="D580" s="2">
        <v>7.08</v>
      </c>
      <c r="E580" s="2">
        <v>1028.0</v>
      </c>
      <c r="F580" s="1" t="s">
        <v>885</v>
      </c>
      <c r="G580" s="1" t="s">
        <v>66</v>
      </c>
      <c r="H580" s="1" t="s">
        <v>23</v>
      </c>
      <c r="I580" s="1" t="s">
        <v>29</v>
      </c>
      <c r="J580" s="1" t="s">
        <v>886</v>
      </c>
      <c r="K580" s="19" t="s">
        <v>26</v>
      </c>
      <c r="L580" s="20" t="s">
        <v>61</v>
      </c>
      <c r="M580" s="21">
        <f t="shared" si="1"/>
        <v>7</v>
      </c>
      <c r="N580" s="2">
        <v>30.49</v>
      </c>
      <c r="O580" s="2">
        <v>13.0</v>
      </c>
      <c r="P580" s="2">
        <v>93.82</v>
      </c>
      <c r="Q580" s="2">
        <v>89006.0</v>
      </c>
      <c r="R580" s="15" t="b">
        <f>ISNUMBER(MATCH(Q580,'Returned order'!A:A,0))</f>
        <v>0</v>
      </c>
      <c r="S580" s="22">
        <v>42092.0</v>
      </c>
      <c r="T580" s="15"/>
      <c r="U580" s="15"/>
      <c r="V580" s="15"/>
    </row>
    <row r="581">
      <c r="A581" s="2">
        <v>23398.0</v>
      </c>
      <c r="B581" s="1" t="s">
        <v>49</v>
      </c>
      <c r="C581" s="2">
        <v>0.05</v>
      </c>
      <c r="D581" s="2">
        <v>83.1</v>
      </c>
      <c r="E581" s="2">
        <v>1028.0</v>
      </c>
      <c r="F581" s="1" t="s">
        <v>885</v>
      </c>
      <c r="G581" s="1" t="s">
        <v>66</v>
      </c>
      <c r="H581" s="1" t="s">
        <v>46</v>
      </c>
      <c r="I581" s="1" t="s">
        <v>47</v>
      </c>
      <c r="J581" s="1" t="s">
        <v>887</v>
      </c>
      <c r="K581" s="19" t="s">
        <v>26</v>
      </c>
      <c r="L581" s="20" t="s">
        <v>76</v>
      </c>
      <c r="M581" s="21">
        <f t="shared" si="1"/>
        <v>5</v>
      </c>
      <c r="N581" s="2">
        <v>1152.5277</v>
      </c>
      <c r="O581" s="2">
        <v>20.0</v>
      </c>
      <c r="P581" s="2">
        <v>1670.33</v>
      </c>
      <c r="Q581" s="2">
        <v>89007.0</v>
      </c>
      <c r="R581" s="15" t="b">
        <f>ISNUMBER(MATCH(Q581,'Returned order'!A:A,0))</f>
        <v>0</v>
      </c>
      <c r="S581" s="22">
        <v>42132.0</v>
      </c>
      <c r="T581" s="15"/>
      <c r="U581" s="15"/>
      <c r="V581" s="15"/>
    </row>
    <row r="582">
      <c r="A582" s="2">
        <v>21959.0</v>
      </c>
      <c r="B582" s="1" t="s">
        <v>58</v>
      </c>
      <c r="C582" s="2">
        <v>0.07</v>
      </c>
      <c r="D582" s="2">
        <v>125.99</v>
      </c>
      <c r="E582" s="2">
        <v>1035.0</v>
      </c>
      <c r="F582" s="1" t="s">
        <v>888</v>
      </c>
      <c r="G582" s="1" t="s">
        <v>51</v>
      </c>
      <c r="H582" s="1" t="s">
        <v>46</v>
      </c>
      <c r="I582" s="1" t="s">
        <v>85</v>
      </c>
      <c r="J582" s="1" t="s">
        <v>889</v>
      </c>
      <c r="K582" s="19" t="s">
        <v>26</v>
      </c>
      <c r="L582" s="20" t="s">
        <v>76</v>
      </c>
      <c r="M582" s="21">
        <f t="shared" si="1"/>
        <v>5</v>
      </c>
      <c r="N582" s="2">
        <v>-604.406</v>
      </c>
      <c r="O582" s="2">
        <v>1.0</v>
      </c>
      <c r="P582" s="2">
        <v>100.59</v>
      </c>
      <c r="Q582" s="2">
        <v>90710.0</v>
      </c>
      <c r="R582" s="15" t="b">
        <f>ISNUMBER(MATCH(Q582,'Returned order'!A:A,0))</f>
        <v>0</v>
      </c>
      <c r="S582" s="22">
        <v>42076.0</v>
      </c>
      <c r="T582" s="15"/>
      <c r="U582" s="15"/>
      <c r="V582" s="15"/>
    </row>
    <row r="583">
      <c r="A583" s="2">
        <v>21960.0</v>
      </c>
      <c r="B583" s="1" t="s">
        <v>58</v>
      </c>
      <c r="C583" s="2">
        <v>0.03</v>
      </c>
      <c r="D583" s="2">
        <v>99.99</v>
      </c>
      <c r="E583" s="2">
        <v>1036.0</v>
      </c>
      <c r="F583" s="1" t="s">
        <v>890</v>
      </c>
      <c r="G583" s="1" t="s">
        <v>51</v>
      </c>
      <c r="H583" s="1" t="s">
        <v>46</v>
      </c>
      <c r="I583" s="1" t="s">
        <v>47</v>
      </c>
      <c r="J583" s="1" t="s">
        <v>891</v>
      </c>
      <c r="K583" s="19" t="s">
        <v>26</v>
      </c>
      <c r="L583" s="20" t="s">
        <v>76</v>
      </c>
      <c r="M583" s="21">
        <f t="shared" si="1"/>
        <v>5</v>
      </c>
      <c r="N583" s="2">
        <v>293.66</v>
      </c>
      <c r="O583" s="2">
        <v>6.0</v>
      </c>
      <c r="P583" s="2">
        <v>598.38</v>
      </c>
      <c r="Q583" s="2">
        <v>90710.0</v>
      </c>
      <c r="R583" s="15" t="b">
        <f>ISNUMBER(MATCH(Q583,'Returned order'!A:A,0))</f>
        <v>0</v>
      </c>
      <c r="S583" s="22">
        <v>42076.0</v>
      </c>
      <c r="T583" s="15"/>
      <c r="U583" s="15"/>
      <c r="V583" s="15"/>
    </row>
    <row r="584">
      <c r="A584" s="2">
        <v>20669.0</v>
      </c>
      <c r="B584" s="1" t="s">
        <v>58</v>
      </c>
      <c r="C584" s="2">
        <v>0.1</v>
      </c>
      <c r="D584" s="2">
        <v>7.64</v>
      </c>
      <c r="E584" s="2">
        <v>1038.0</v>
      </c>
      <c r="F584" s="1" t="s">
        <v>892</v>
      </c>
      <c r="G584" s="1" t="s">
        <v>32</v>
      </c>
      <c r="H584" s="1" t="s">
        <v>23</v>
      </c>
      <c r="I584" s="1" t="s">
        <v>93</v>
      </c>
      <c r="J584" s="1" t="s">
        <v>133</v>
      </c>
      <c r="K584" s="19" t="s">
        <v>229</v>
      </c>
      <c r="L584" s="20" t="s">
        <v>57</v>
      </c>
      <c r="M584" s="21">
        <f t="shared" si="1"/>
        <v>2</v>
      </c>
      <c r="N584" s="2">
        <v>-403.1874</v>
      </c>
      <c r="O584" s="2">
        <v>5.0</v>
      </c>
      <c r="P584" s="2">
        <v>39.36</v>
      </c>
      <c r="Q584" s="2">
        <v>90641.0</v>
      </c>
      <c r="R584" s="15" t="b">
        <f>ISNUMBER(MATCH(Q584,'Returned order'!A:A,0))</f>
        <v>0</v>
      </c>
      <c r="S584" s="22">
        <v>42171.0</v>
      </c>
      <c r="T584" s="15"/>
      <c r="U584" s="15"/>
      <c r="V584" s="15"/>
    </row>
    <row r="585">
      <c r="A585" s="2">
        <v>18404.0</v>
      </c>
      <c r="B585" s="1" t="s">
        <v>58</v>
      </c>
      <c r="C585" s="2">
        <v>0.06</v>
      </c>
      <c r="D585" s="2">
        <v>55.94</v>
      </c>
      <c r="E585" s="2">
        <v>1041.0</v>
      </c>
      <c r="F585" s="1" t="s">
        <v>893</v>
      </c>
      <c r="G585" s="1" t="s">
        <v>66</v>
      </c>
      <c r="H585" s="1" t="s">
        <v>46</v>
      </c>
      <c r="I585" s="1" t="s">
        <v>47</v>
      </c>
      <c r="J585" s="1" t="s">
        <v>894</v>
      </c>
      <c r="K585" s="19" t="s">
        <v>34</v>
      </c>
      <c r="L585" s="20" t="s">
        <v>76</v>
      </c>
      <c r="M585" s="21">
        <f t="shared" si="1"/>
        <v>5</v>
      </c>
      <c r="N585" s="2">
        <v>-13.77</v>
      </c>
      <c r="O585" s="2">
        <v>6.0</v>
      </c>
      <c r="P585" s="2">
        <v>322.77</v>
      </c>
      <c r="Q585" s="2">
        <v>87846.0</v>
      </c>
      <c r="R585" s="15" t="b">
        <f>ISNUMBER(MATCH(Q585,'Returned order'!A:A,0))</f>
        <v>0</v>
      </c>
      <c r="S585" s="22">
        <v>42111.0</v>
      </c>
      <c r="T585" s="15"/>
      <c r="U585" s="15"/>
      <c r="V585" s="15"/>
    </row>
    <row r="586">
      <c r="A586" s="2">
        <v>18405.0</v>
      </c>
      <c r="B586" s="1" t="s">
        <v>58</v>
      </c>
      <c r="C586" s="2">
        <v>0.07</v>
      </c>
      <c r="D586" s="2">
        <v>6.3</v>
      </c>
      <c r="E586" s="2">
        <v>1041.0</v>
      </c>
      <c r="F586" s="1" t="s">
        <v>893</v>
      </c>
      <c r="G586" s="1" t="s">
        <v>66</v>
      </c>
      <c r="H586" s="1" t="s">
        <v>23</v>
      </c>
      <c r="I586" s="1" t="s">
        <v>130</v>
      </c>
      <c r="J586" s="1" t="s">
        <v>895</v>
      </c>
      <c r="K586" s="19" t="s">
        <v>34</v>
      </c>
      <c r="L586" s="20" t="s">
        <v>76</v>
      </c>
      <c r="M586" s="21">
        <f t="shared" si="1"/>
        <v>5</v>
      </c>
      <c r="N586" s="2">
        <v>44.9121</v>
      </c>
      <c r="O586" s="2">
        <v>11.0</v>
      </c>
      <c r="P586" s="2">
        <v>65.09</v>
      </c>
      <c r="Q586" s="2">
        <v>87846.0</v>
      </c>
      <c r="R586" s="15" t="b">
        <f>ISNUMBER(MATCH(Q586,'Returned order'!A:A,0))</f>
        <v>0</v>
      </c>
      <c r="S586" s="22">
        <v>42111.0</v>
      </c>
      <c r="T586" s="15"/>
      <c r="U586" s="15"/>
      <c r="V586" s="15"/>
    </row>
    <row r="587">
      <c r="A587" s="2">
        <v>20937.0</v>
      </c>
      <c r="B587" s="1" t="s">
        <v>58</v>
      </c>
      <c r="C587" s="2">
        <v>0.0</v>
      </c>
      <c r="D587" s="2">
        <v>14.42</v>
      </c>
      <c r="E587" s="2">
        <v>1042.0</v>
      </c>
      <c r="F587" s="1" t="s">
        <v>896</v>
      </c>
      <c r="G587" s="1" t="s">
        <v>66</v>
      </c>
      <c r="H587" s="1" t="s">
        <v>23</v>
      </c>
      <c r="I587" s="1" t="s">
        <v>151</v>
      </c>
      <c r="J587" s="1" t="s">
        <v>503</v>
      </c>
      <c r="K587" s="19" t="s">
        <v>34</v>
      </c>
      <c r="L587" s="20" t="s">
        <v>53</v>
      </c>
      <c r="M587" s="21">
        <f t="shared" si="1"/>
        <v>6</v>
      </c>
      <c r="N587" s="2">
        <v>9.33</v>
      </c>
      <c r="O587" s="2">
        <v>6.0</v>
      </c>
      <c r="P587" s="2">
        <v>98.96</v>
      </c>
      <c r="Q587" s="2">
        <v>87847.0</v>
      </c>
      <c r="R587" s="15" t="b">
        <f>ISNUMBER(MATCH(Q587,'Returned order'!A:A,0))</f>
        <v>0</v>
      </c>
      <c r="S587" s="22">
        <v>42140.0</v>
      </c>
      <c r="T587" s="15"/>
      <c r="U587" s="15"/>
      <c r="V587" s="15"/>
    </row>
    <row r="588">
      <c r="A588" s="2">
        <v>3926.0</v>
      </c>
      <c r="B588" s="1" t="s">
        <v>58</v>
      </c>
      <c r="C588" s="2">
        <v>0.02</v>
      </c>
      <c r="D588" s="2">
        <v>209.84</v>
      </c>
      <c r="E588" s="2">
        <v>1044.0</v>
      </c>
      <c r="F588" s="1" t="s">
        <v>897</v>
      </c>
      <c r="G588" s="1" t="s">
        <v>51</v>
      </c>
      <c r="H588" s="1" t="s">
        <v>37</v>
      </c>
      <c r="I588" s="1" t="s">
        <v>42</v>
      </c>
      <c r="J588" s="1" t="s">
        <v>898</v>
      </c>
      <c r="K588" s="19" t="s">
        <v>34</v>
      </c>
      <c r="L588" s="20" t="s">
        <v>61</v>
      </c>
      <c r="M588" s="21">
        <f t="shared" si="1"/>
        <v>7</v>
      </c>
      <c r="N588" s="2">
        <v>2593.14</v>
      </c>
      <c r="O588" s="2">
        <v>62.0</v>
      </c>
      <c r="P588" s="2">
        <v>13546.94</v>
      </c>
      <c r="Q588" s="2">
        <v>28001.0</v>
      </c>
      <c r="R588" s="15" t="b">
        <f>ISNUMBER(MATCH(Q588,'Returned order'!A:A,0))</f>
        <v>0</v>
      </c>
      <c r="S588" s="22">
        <v>42169.0</v>
      </c>
      <c r="T588" s="15"/>
      <c r="U588" s="15"/>
      <c r="V588" s="15"/>
    </row>
    <row r="589">
      <c r="A589" s="2">
        <v>3927.0</v>
      </c>
      <c r="B589" s="1" t="s">
        <v>58</v>
      </c>
      <c r="C589" s="2">
        <v>0.01</v>
      </c>
      <c r="D589" s="2">
        <v>194.3</v>
      </c>
      <c r="E589" s="2">
        <v>1044.0</v>
      </c>
      <c r="F589" s="1" t="s">
        <v>897</v>
      </c>
      <c r="G589" s="1" t="s">
        <v>51</v>
      </c>
      <c r="H589" s="1" t="s">
        <v>37</v>
      </c>
      <c r="I589" s="1" t="s">
        <v>42</v>
      </c>
      <c r="J589" s="1" t="s">
        <v>899</v>
      </c>
      <c r="K589" s="19" t="s">
        <v>34</v>
      </c>
      <c r="L589" s="20" t="s">
        <v>61</v>
      </c>
      <c r="M589" s="21">
        <f t="shared" si="1"/>
        <v>7</v>
      </c>
      <c r="N589" s="2">
        <v>1162.76</v>
      </c>
      <c r="O589" s="2">
        <v>32.0</v>
      </c>
      <c r="P589" s="2">
        <v>6401.65</v>
      </c>
      <c r="Q589" s="2">
        <v>28001.0</v>
      </c>
      <c r="R589" s="15" t="b">
        <f>ISNUMBER(MATCH(Q589,'Returned order'!A:A,0))</f>
        <v>0</v>
      </c>
      <c r="S589" s="22">
        <v>42169.0</v>
      </c>
      <c r="T589" s="15"/>
      <c r="U589" s="15"/>
      <c r="V589" s="15"/>
    </row>
    <row r="590">
      <c r="A590" s="2">
        <v>6711.0</v>
      </c>
      <c r="B590" s="1" t="s">
        <v>28</v>
      </c>
      <c r="C590" s="2">
        <v>0.0</v>
      </c>
      <c r="D590" s="2">
        <v>6.68</v>
      </c>
      <c r="E590" s="2">
        <v>1044.0</v>
      </c>
      <c r="F590" s="1" t="s">
        <v>897</v>
      </c>
      <c r="G590" s="1" t="s">
        <v>51</v>
      </c>
      <c r="H590" s="1" t="s">
        <v>23</v>
      </c>
      <c r="I590" s="1" t="s">
        <v>93</v>
      </c>
      <c r="J590" s="1" t="s">
        <v>900</v>
      </c>
      <c r="K590" s="19" t="s">
        <v>34</v>
      </c>
      <c r="L590" s="20" t="s">
        <v>76</v>
      </c>
      <c r="M590" s="21">
        <f t="shared" si="1"/>
        <v>5</v>
      </c>
      <c r="N590" s="2">
        <v>-76.94</v>
      </c>
      <c r="O590" s="2">
        <v>90.0</v>
      </c>
      <c r="P590" s="2">
        <v>617.4</v>
      </c>
      <c r="Q590" s="2">
        <v>47813.0</v>
      </c>
      <c r="R590" s="15" t="b">
        <f>ISNUMBER(MATCH(Q590,'Returned order'!A:A,0))</f>
        <v>1</v>
      </c>
      <c r="S590" s="22">
        <v>42062.0</v>
      </c>
      <c r="T590" s="15"/>
      <c r="U590" s="15"/>
      <c r="V590" s="15"/>
    </row>
    <row r="591">
      <c r="A591" s="2">
        <v>24711.0</v>
      </c>
      <c r="B591" s="1" t="s">
        <v>28</v>
      </c>
      <c r="C591" s="2">
        <v>0.0</v>
      </c>
      <c r="D591" s="2">
        <v>6.68</v>
      </c>
      <c r="E591" s="2">
        <v>1047.0</v>
      </c>
      <c r="F591" s="1" t="s">
        <v>901</v>
      </c>
      <c r="G591" s="1" t="s">
        <v>51</v>
      </c>
      <c r="H591" s="1" t="s">
        <v>23</v>
      </c>
      <c r="I591" s="1" t="s">
        <v>93</v>
      </c>
      <c r="J591" s="1" t="s">
        <v>900</v>
      </c>
      <c r="K591" s="19" t="s">
        <v>26</v>
      </c>
      <c r="L591" s="20" t="s">
        <v>76</v>
      </c>
      <c r="M591" s="21">
        <f t="shared" si="1"/>
        <v>5</v>
      </c>
      <c r="N591" s="2">
        <v>-40.0088</v>
      </c>
      <c r="O591" s="2">
        <v>23.0</v>
      </c>
      <c r="P591" s="2">
        <v>157.78</v>
      </c>
      <c r="Q591" s="2">
        <v>89389.0</v>
      </c>
      <c r="R591" s="15" t="b">
        <f>ISNUMBER(MATCH(Q591,'Returned order'!A:A,0))</f>
        <v>0</v>
      </c>
      <c r="S591" s="22">
        <v>42062.0</v>
      </c>
      <c r="T591" s="15"/>
      <c r="U591" s="15"/>
      <c r="V591" s="15"/>
    </row>
    <row r="592">
      <c r="A592" s="2">
        <v>26259.0</v>
      </c>
      <c r="B592" s="1" t="s">
        <v>49</v>
      </c>
      <c r="C592" s="2">
        <v>0.03</v>
      </c>
      <c r="D592" s="2">
        <v>5.44</v>
      </c>
      <c r="E592" s="2">
        <v>1054.0</v>
      </c>
      <c r="F592" s="1" t="s">
        <v>902</v>
      </c>
      <c r="G592" s="1" t="s">
        <v>32</v>
      </c>
      <c r="H592" s="1" t="s">
        <v>23</v>
      </c>
      <c r="I592" s="1" t="s">
        <v>24</v>
      </c>
      <c r="J592" s="1" t="s">
        <v>903</v>
      </c>
      <c r="K592" s="19" t="s">
        <v>34</v>
      </c>
      <c r="L592" s="20" t="s">
        <v>27</v>
      </c>
      <c r="M592" s="21">
        <f t="shared" si="1"/>
        <v>1</v>
      </c>
      <c r="N592" s="2">
        <v>-51.704</v>
      </c>
      <c r="O592" s="2">
        <v>4.0</v>
      </c>
      <c r="P592" s="2">
        <v>26.31</v>
      </c>
      <c r="Q592" s="2">
        <v>90069.0</v>
      </c>
      <c r="R592" s="15" t="b">
        <f>ISNUMBER(MATCH(Q592,'Returned order'!A:A,0))</f>
        <v>0</v>
      </c>
      <c r="S592" s="22">
        <v>42149.0</v>
      </c>
      <c r="T592" s="15"/>
      <c r="U592" s="15"/>
      <c r="V592" s="15"/>
    </row>
    <row r="593">
      <c r="A593" s="2">
        <v>26260.0</v>
      </c>
      <c r="B593" s="1" t="s">
        <v>49</v>
      </c>
      <c r="C593" s="2">
        <v>0.08</v>
      </c>
      <c r="D593" s="2">
        <v>26.38</v>
      </c>
      <c r="E593" s="2">
        <v>1054.0</v>
      </c>
      <c r="F593" s="1" t="s">
        <v>902</v>
      </c>
      <c r="G593" s="1" t="s">
        <v>32</v>
      </c>
      <c r="H593" s="1" t="s">
        <v>23</v>
      </c>
      <c r="I593" s="1" t="s">
        <v>93</v>
      </c>
      <c r="J593" s="1" t="s">
        <v>904</v>
      </c>
      <c r="K593" s="19" t="s">
        <v>34</v>
      </c>
      <c r="L593" s="20" t="s">
        <v>27</v>
      </c>
      <c r="M593" s="21">
        <f t="shared" si="1"/>
        <v>1</v>
      </c>
      <c r="N593" s="2">
        <v>144.7482</v>
      </c>
      <c r="O593" s="2">
        <v>8.0</v>
      </c>
      <c r="P593" s="2">
        <v>209.78</v>
      </c>
      <c r="Q593" s="2">
        <v>90069.0</v>
      </c>
      <c r="R593" s="15" t="b">
        <f>ISNUMBER(MATCH(Q593,'Returned order'!A:A,0))</f>
        <v>0</v>
      </c>
      <c r="S593" s="22">
        <v>42149.0</v>
      </c>
      <c r="T593" s="15"/>
      <c r="U593" s="15"/>
      <c r="V593" s="15"/>
    </row>
    <row r="594">
      <c r="A594" s="2">
        <v>26261.0</v>
      </c>
      <c r="B594" s="1" t="s">
        <v>49</v>
      </c>
      <c r="C594" s="2">
        <v>0.06</v>
      </c>
      <c r="D594" s="2">
        <v>20.99</v>
      </c>
      <c r="E594" s="2">
        <v>1054.0</v>
      </c>
      <c r="F594" s="1" t="s">
        <v>902</v>
      </c>
      <c r="G594" s="1" t="s">
        <v>32</v>
      </c>
      <c r="H594" s="1" t="s">
        <v>46</v>
      </c>
      <c r="I594" s="1" t="s">
        <v>85</v>
      </c>
      <c r="J594" s="1" t="s">
        <v>905</v>
      </c>
      <c r="K594" s="19" t="s">
        <v>34</v>
      </c>
      <c r="L594" s="20" t="s">
        <v>27</v>
      </c>
      <c r="M594" s="21">
        <f t="shared" si="1"/>
        <v>1</v>
      </c>
      <c r="N594" s="2">
        <v>-112.189</v>
      </c>
      <c r="O594" s="2">
        <v>1.0</v>
      </c>
      <c r="P594" s="2">
        <v>17.83</v>
      </c>
      <c r="Q594" s="2">
        <v>90069.0</v>
      </c>
      <c r="R594" s="15" t="b">
        <f>ISNUMBER(MATCH(Q594,'Returned order'!A:A,0))</f>
        <v>0</v>
      </c>
      <c r="S594" s="22">
        <v>42149.0</v>
      </c>
      <c r="T594" s="15"/>
      <c r="U594" s="15"/>
      <c r="V594" s="15"/>
    </row>
    <row r="595">
      <c r="A595" s="2">
        <v>8200.0</v>
      </c>
      <c r="B595" s="1" t="s">
        <v>63</v>
      </c>
      <c r="C595" s="2">
        <v>0.09</v>
      </c>
      <c r="D595" s="2">
        <v>138.75</v>
      </c>
      <c r="E595" s="2">
        <v>1060.0</v>
      </c>
      <c r="F595" s="1" t="s">
        <v>906</v>
      </c>
      <c r="G595" s="1" t="s">
        <v>66</v>
      </c>
      <c r="H595" s="1" t="s">
        <v>37</v>
      </c>
      <c r="I595" s="1" t="s">
        <v>73</v>
      </c>
      <c r="J595" s="1" t="s">
        <v>907</v>
      </c>
      <c r="K595" s="19" t="s">
        <v>229</v>
      </c>
      <c r="L595" s="20" t="s">
        <v>57</v>
      </c>
      <c r="M595" s="21">
        <f t="shared" si="1"/>
        <v>2</v>
      </c>
      <c r="N595" s="2">
        <v>-445.9717763</v>
      </c>
      <c r="O595" s="2">
        <v>23.0</v>
      </c>
      <c r="P595" s="2">
        <v>2527.79</v>
      </c>
      <c r="Q595" s="2">
        <v>58628.0</v>
      </c>
      <c r="R595" s="15" t="b">
        <f>ISNUMBER(MATCH(Q595,'Returned order'!A:A,0))</f>
        <v>0</v>
      </c>
      <c r="S595" s="22">
        <v>42087.0</v>
      </c>
      <c r="T595" s="15"/>
      <c r="U595" s="15"/>
      <c r="V595" s="15"/>
    </row>
    <row r="596">
      <c r="A596" s="2">
        <v>7980.0</v>
      </c>
      <c r="B596" s="1" t="s">
        <v>170</v>
      </c>
      <c r="C596" s="2">
        <v>0.07</v>
      </c>
      <c r="D596" s="2">
        <v>6.3</v>
      </c>
      <c r="E596" s="2">
        <v>1060.0</v>
      </c>
      <c r="F596" s="1" t="s">
        <v>906</v>
      </c>
      <c r="G596" s="1" t="s">
        <v>66</v>
      </c>
      <c r="H596" s="1" t="s">
        <v>23</v>
      </c>
      <c r="I596" s="1" t="s">
        <v>130</v>
      </c>
      <c r="J596" s="1" t="s">
        <v>270</v>
      </c>
      <c r="K596" s="19" t="s">
        <v>229</v>
      </c>
      <c r="L596" s="20" t="s">
        <v>53</v>
      </c>
      <c r="M596" s="21">
        <f t="shared" si="1"/>
        <v>6</v>
      </c>
      <c r="N596" s="2">
        <v>4.1674</v>
      </c>
      <c r="O596" s="2">
        <v>20.0</v>
      </c>
      <c r="P596" s="2">
        <v>121.87</v>
      </c>
      <c r="Q596" s="2">
        <v>57061.0</v>
      </c>
      <c r="R596" s="15" t="b">
        <f>ISNUMBER(MATCH(Q596,'Returned order'!A:A,0))</f>
        <v>0</v>
      </c>
      <c r="S596" s="22">
        <v>42154.0</v>
      </c>
      <c r="T596" s="15"/>
      <c r="U596" s="15"/>
      <c r="V596" s="15"/>
    </row>
    <row r="597">
      <c r="A597" s="2">
        <v>26200.0</v>
      </c>
      <c r="B597" s="1" t="s">
        <v>63</v>
      </c>
      <c r="C597" s="2">
        <v>0.09</v>
      </c>
      <c r="D597" s="2">
        <v>138.75</v>
      </c>
      <c r="E597" s="2">
        <v>1062.0</v>
      </c>
      <c r="F597" s="1" t="s">
        <v>908</v>
      </c>
      <c r="G597" s="1" t="s">
        <v>66</v>
      </c>
      <c r="H597" s="1" t="s">
        <v>37</v>
      </c>
      <c r="I597" s="1" t="s">
        <v>73</v>
      </c>
      <c r="J597" s="1" t="s">
        <v>907</v>
      </c>
      <c r="K597" s="19" t="s">
        <v>26</v>
      </c>
      <c r="L597" s="20" t="s">
        <v>57</v>
      </c>
      <c r="M597" s="21">
        <f t="shared" si="1"/>
        <v>2</v>
      </c>
      <c r="N597" s="2">
        <v>-335.317125</v>
      </c>
      <c r="O597" s="2">
        <v>6.0</v>
      </c>
      <c r="P597" s="2">
        <v>659.42</v>
      </c>
      <c r="Q597" s="2">
        <v>91354.0</v>
      </c>
      <c r="R597" s="15" t="b">
        <f>ISNUMBER(MATCH(Q597,'Returned order'!A:A,0))</f>
        <v>0</v>
      </c>
      <c r="S597" s="22">
        <v>42087.0</v>
      </c>
      <c r="T597" s="15"/>
      <c r="U597" s="15"/>
      <c r="V597" s="15"/>
    </row>
    <row r="598">
      <c r="A598" s="2">
        <v>25979.0</v>
      </c>
      <c r="B598" s="1" t="s">
        <v>170</v>
      </c>
      <c r="C598" s="2">
        <v>0.04</v>
      </c>
      <c r="D598" s="2">
        <v>22.38</v>
      </c>
      <c r="E598" s="2">
        <v>1062.0</v>
      </c>
      <c r="F598" s="1" t="s">
        <v>908</v>
      </c>
      <c r="G598" s="1" t="s">
        <v>66</v>
      </c>
      <c r="H598" s="1" t="s">
        <v>23</v>
      </c>
      <c r="I598" s="1" t="s">
        <v>24</v>
      </c>
      <c r="J598" s="1" t="s">
        <v>909</v>
      </c>
      <c r="K598" s="19" t="s">
        <v>26</v>
      </c>
      <c r="L598" s="20" t="s">
        <v>53</v>
      </c>
      <c r="M598" s="21">
        <f t="shared" si="1"/>
        <v>6</v>
      </c>
      <c r="N598" s="2">
        <v>16.0218</v>
      </c>
      <c r="O598" s="2">
        <v>18.0</v>
      </c>
      <c r="P598" s="2">
        <v>403.53</v>
      </c>
      <c r="Q598" s="2">
        <v>91355.0</v>
      </c>
      <c r="R598" s="15" t="b">
        <f>ISNUMBER(MATCH(Q598,'Returned order'!A:A,0))</f>
        <v>0</v>
      </c>
      <c r="S598" s="22">
        <v>42154.0</v>
      </c>
      <c r="T598" s="15"/>
      <c r="U598" s="15"/>
      <c r="V598" s="15"/>
    </row>
    <row r="599">
      <c r="A599" s="2">
        <v>25981.0</v>
      </c>
      <c r="B599" s="1" t="s">
        <v>170</v>
      </c>
      <c r="C599" s="2">
        <v>0.06</v>
      </c>
      <c r="D599" s="2">
        <v>17.78</v>
      </c>
      <c r="E599" s="2">
        <v>1062.0</v>
      </c>
      <c r="F599" s="1" t="s">
        <v>908</v>
      </c>
      <c r="G599" s="1" t="s">
        <v>66</v>
      </c>
      <c r="H599" s="1" t="s">
        <v>37</v>
      </c>
      <c r="I599" s="1" t="s">
        <v>42</v>
      </c>
      <c r="J599" s="1" t="s">
        <v>910</v>
      </c>
      <c r="K599" s="19" t="s">
        <v>26</v>
      </c>
      <c r="L599" s="20" t="s">
        <v>53</v>
      </c>
      <c r="M599" s="21">
        <f t="shared" si="1"/>
        <v>6</v>
      </c>
      <c r="N599" s="2">
        <v>38.0673</v>
      </c>
      <c r="O599" s="2">
        <v>3.0</v>
      </c>
      <c r="P599" s="2">
        <v>55.17</v>
      </c>
      <c r="Q599" s="2">
        <v>91355.0</v>
      </c>
      <c r="R599" s="15" t="b">
        <f>ISNUMBER(MATCH(Q599,'Returned order'!A:A,0))</f>
        <v>0</v>
      </c>
      <c r="S599" s="22">
        <v>42154.0</v>
      </c>
      <c r="T599" s="15"/>
      <c r="U599" s="15"/>
      <c r="V599" s="15"/>
    </row>
    <row r="600">
      <c r="A600" s="2">
        <v>19445.0</v>
      </c>
      <c r="B600" s="1" t="s">
        <v>58</v>
      </c>
      <c r="C600" s="2">
        <v>0.01</v>
      </c>
      <c r="D600" s="2">
        <v>15.99</v>
      </c>
      <c r="E600" s="2">
        <v>1065.0</v>
      </c>
      <c r="F600" s="1" t="s">
        <v>911</v>
      </c>
      <c r="G600" s="1" t="s">
        <v>32</v>
      </c>
      <c r="H600" s="1" t="s">
        <v>23</v>
      </c>
      <c r="I600" s="1" t="s">
        <v>24</v>
      </c>
      <c r="J600" s="1" t="s">
        <v>546</v>
      </c>
      <c r="K600" s="19" t="s">
        <v>68</v>
      </c>
      <c r="L600" s="20" t="s">
        <v>35</v>
      </c>
      <c r="M600" s="21">
        <f t="shared" si="1"/>
        <v>3</v>
      </c>
      <c r="N600" s="2">
        <v>-99.43544</v>
      </c>
      <c r="O600" s="2">
        <v>23.0</v>
      </c>
      <c r="P600" s="2">
        <v>377.44</v>
      </c>
      <c r="Q600" s="2">
        <v>88899.0</v>
      </c>
      <c r="R600" s="15" t="b">
        <f>ISNUMBER(MATCH(Q600,'Returned order'!A:A,0))</f>
        <v>0</v>
      </c>
      <c r="S600" s="22">
        <v>42053.0</v>
      </c>
      <c r="T600" s="15"/>
      <c r="U600" s="15"/>
      <c r="V600" s="15"/>
    </row>
    <row r="601">
      <c r="A601" s="2">
        <v>20445.0</v>
      </c>
      <c r="B601" s="1" t="s">
        <v>170</v>
      </c>
      <c r="C601" s="2">
        <v>0.04</v>
      </c>
      <c r="D601" s="2">
        <v>22.84</v>
      </c>
      <c r="E601" s="2">
        <v>1068.0</v>
      </c>
      <c r="F601" s="1" t="s">
        <v>912</v>
      </c>
      <c r="G601" s="1" t="s">
        <v>51</v>
      </c>
      <c r="H601" s="1" t="s">
        <v>23</v>
      </c>
      <c r="I601" s="1" t="s">
        <v>93</v>
      </c>
      <c r="J601" s="1" t="s">
        <v>913</v>
      </c>
      <c r="K601" s="19" t="s">
        <v>68</v>
      </c>
      <c r="L601" s="20" t="s">
        <v>27</v>
      </c>
      <c r="M601" s="21">
        <f t="shared" si="1"/>
        <v>1</v>
      </c>
      <c r="N601" s="2">
        <v>-97.28</v>
      </c>
      <c r="O601" s="2">
        <v>12.0</v>
      </c>
      <c r="P601" s="2">
        <v>286.4</v>
      </c>
      <c r="Q601" s="2">
        <v>87109.0</v>
      </c>
      <c r="R601" s="15" t="b">
        <f>ISNUMBER(MATCH(Q601,'Returned order'!A:A,0))</f>
        <v>0</v>
      </c>
      <c r="S601" s="22">
        <v>42079.0</v>
      </c>
      <c r="T601" s="15"/>
      <c r="U601" s="15"/>
      <c r="V601" s="15"/>
    </row>
    <row r="602">
      <c r="A602" s="2">
        <v>24737.0</v>
      </c>
      <c r="B602" s="1" t="s">
        <v>63</v>
      </c>
      <c r="C602" s="2">
        <v>0.02</v>
      </c>
      <c r="D602" s="2">
        <v>15.94</v>
      </c>
      <c r="E602" s="2">
        <v>1069.0</v>
      </c>
      <c r="F602" s="1" t="s">
        <v>914</v>
      </c>
      <c r="G602" s="1" t="s">
        <v>51</v>
      </c>
      <c r="H602" s="1" t="s">
        <v>23</v>
      </c>
      <c r="I602" s="1" t="s">
        <v>29</v>
      </c>
      <c r="J602" s="1" t="s">
        <v>915</v>
      </c>
      <c r="K602" s="19" t="s">
        <v>68</v>
      </c>
      <c r="L602" s="20" t="s">
        <v>70</v>
      </c>
      <c r="M602" s="21">
        <f t="shared" si="1"/>
        <v>4</v>
      </c>
      <c r="N602" s="2">
        <v>139.612</v>
      </c>
      <c r="O602" s="2">
        <v>41.0</v>
      </c>
      <c r="P602" s="2">
        <v>664.34</v>
      </c>
      <c r="Q602" s="2">
        <v>87110.0</v>
      </c>
      <c r="R602" s="15" t="b">
        <f>ISNUMBER(MATCH(Q602,'Returned order'!A:A,0))</f>
        <v>0</v>
      </c>
      <c r="S602" s="22">
        <v>42138.0</v>
      </c>
      <c r="T602" s="15"/>
      <c r="U602" s="15"/>
      <c r="V602" s="15"/>
    </row>
    <row r="603">
      <c r="A603" s="2">
        <v>22685.0</v>
      </c>
      <c r="B603" s="1" t="s">
        <v>49</v>
      </c>
      <c r="C603" s="2">
        <v>0.01</v>
      </c>
      <c r="D603" s="2">
        <v>150.89</v>
      </c>
      <c r="E603" s="2">
        <v>1072.0</v>
      </c>
      <c r="F603" s="1" t="s">
        <v>916</v>
      </c>
      <c r="G603" s="1" t="s">
        <v>32</v>
      </c>
      <c r="H603" s="1" t="s">
        <v>37</v>
      </c>
      <c r="I603" s="1" t="s">
        <v>38</v>
      </c>
      <c r="J603" s="1" t="s">
        <v>917</v>
      </c>
      <c r="K603" s="19" t="s">
        <v>26</v>
      </c>
      <c r="L603" s="20" t="s">
        <v>76</v>
      </c>
      <c r="M603" s="21">
        <f t="shared" si="1"/>
        <v>5</v>
      </c>
      <c r="N603" s="2">
        <v>-505.76</v>
      </c>
      <c r="O603" s="2">
        <v>3.0</v>
      </c>
      <c r="P603" s="2">
        <v>473.53</v>
      </c>
      <c r="Q603" s="2">
        <v>89631.0</v>
      </c>
      <c r="R603" s="15" t="b">
        <f>ISNUMBER(MATCH(Q603,'Returned order'!A:A,0))</f>
        <v>0</v>
      </c>
      <c r="S603" s="22">
        <v>42090.0</v>
      </c>
      <c r="T603" s="15"/>
      <c r="U603" s="15"/>
      <c r="V603" s="15"/>
    </row>
    <row r="604">
      <c r="A604" s="2">
        <v>26176.0</v>
      </c>
      <c r="B604" s="1" t="s">
        <v>28</v>
      </c>
      <c r="C604" s="2">
        <v>0.04</v>
      </c>
      <c r="D604" s="2">
        <v>19.23</v>
      </c>
      <c r="E604" s="2">
        <v>1075.0</v>
      </c>
      <c r="F604" s="1" t="s">
        <v>918</v>
      </c>
      <c r="G604" s="1" t="s">
        <v>51</v>
      </c>
      <c r="H604" s="1" t="s">
        <v>37</v>
      </c>
      <c r="I604" s="1" t="s">
        <v>42</v>
      </c>
      <c r="J604" s="1" t="s">
        <v>438</v>
      </c>
      <c r="K604" s="19" t="s">
        <v>68</v>
      </c>
      <c r="L604" s="20" t="s">
        <v>27</v>
      </c>
      <c r="M604" s="21">
        <f t="shared" si="1"/>
        <v>1</v>
      </c>
      <c r="N604" s="2">
        <v>152.4348</v>
      </c>
      <c r="O604" s="2">
        <v>11.0</v>
      </c>
      <c r="P604" s="2">
        <v>220.92</v>
      </c>
      <c r="Q604" s="2">
        <v>86422.0</v>
      </c>
      <c r="R604" s="15" t="b">
        <f>ISNUMBER(MATCH(Q604,'Returned order'!A:A,0))</f>
        <v>0</v>
      </c>
      <c r="S604" s="22">
        <v>42072.0</v>
      </c>
      <c r="T604" s="15"/>
      <c r="U604" s="15"/>
      <c r="V604" s="15"/>
    </row>
    <row r="605">
      <c r="A605" s="2">
        <v>23312.0</v>
      </c>
      <c r="B605" s="1" t="s">
        <v>49</v>
      </c>
      <c r="C605" s="2">
        <v>0.08</v>
      </c>
      <c r="D605" s="2">
        <v>13.9</v>
      </c>
      <c r="E605" s="2">
        <v>1080.0</v>
      </c>
      <c r="F605" s="1" t="s">
        <v>919</v>
      </c>
      <c r="G605" s="1" t="s">
        <v>32</v>
      </c>
      <c r="H605" s="1" t="s">
        <v>23</v>
      </c>
      <c r="I605" s="1" t="s">
        <v>257</v>
      </c>
      <c r="J605" s="1" t="s">
        <v>582</v>
      </c>
      <c r="K605" s="19" t="s">
        <v>68</v>
      </c>
      <c r="L605" s="20" t="s">
        <v>76</v>
      </c>
      <c r="M605" s="21">
        <f t="shared" si="1"/>
        <v>5</v>
      </c>
      <c r="N605" s="2">
        <v>9.862</v>
      </c>
      <c r="O605" s="2">
        <v>14.0</v>
      </c>
      <c r="P605" s="2">
        <v>196.41</v>
      </c>
      <c r="Q605" s="2">
        <v>88461.0</v>
      </c>
      <c r="R605" s="15" t="b">
        <f>ISNUMBER(MATCH(Q605,'Returned order'!A:A,0))</f>
        <v>0</v>
      </c>
      <c r="S605" s="22">
        <v>42132.0</v>
      </c>
      <c r="T605" s="15"/>
      <c r="U605" s="15"/>
      <c r="V605" s="15"/>
    </row>
    <row r="606">
      <c r="A606" s="2">
        <v>24324.0</v>
      </c>
      <c r="B606" s="1" t="s">
        <v>49</v>
      </c>
      <c r="C606" s="2">
        <v>0.07</v>
      </c>
      <c r="D606" s="2">
        <v>55.99</v>
      </c>
      <c r="E606" s="2">
        <v>1083.0</v>
      </c>
      <c r="F606" s="1" t="s">
        <v>920</v>
      </c>
      <c r="G606" s="1" t="s">
        <v>32</v>
      </c>
      <c r="H606" s="1" t="s">
        <v>46</v>
      </c>
      <c r="I606" s="1" t="s">
        <v>85</v>
      </c>
      <c r="J606" s="1" t="s">
        <v>384</v>
      </c>
      <c r="K606" s="19" t="s">
        <v>68</v>
      </c>
      <c r="L606" s="20" t="s">
        <v>57</v>
      </c>
      <c r="M606" s="21">
        <f t="shared" si="1"/>
        <v>2</v>
      </c>
      <c r="N606" s="2">
        <v>-232.991</v>
      </c>
      <c r="O606" s="2">
        <v>1.0</v>
      </c>
      <c r="P606" s="2">
        <v>54.08</v>
      </c>
      <c r="Q606" s="2">
        <v>88460.0</v>
      </c>
      <c r="R606" s="15" t="b">
        <f>ISNUMBER(MATCH(Q606,'Returned order'!A:A,0))</f>
        <v>0</v>
      </c>
      <c r="S606" s="22">
        <v>42094.0</v>
      </c>
      <c r="T606" s="15"/>
      <c r="U606" s="15"/>
      <c r="V606" s="15"/>
    </row>
    <row r="607">
      <c r="A607" s="2">
        <v>18047.0</v>
      </c>
      <c r="B607" s="1" t="s">
        <v>49</v>
      </c>
      <c r="C607" s="2">
        <v>0.05</v>
      </c>
      <c r="D607" s="2">
        <v>7.64</v>
      </c>
      <c r="E607" s="2">
        <v>1085.0</v>
      </c>
      <c r="F607" s="1" t="s">
        <v>132</v>
      </c>
      <c r="G607" s="1" t="s">
        <v>51</v>
      </c>
      <c r="H607" s="1" t="s">
        <v>23</v>
      </c>
      <c r="I607" s="1" t="s">
        <v>93</v>
      </c>
      <c r="J607" s="1" t="s">
        <v>133</v>
      </c>
      <c r="K607" s="19" t="s">
        <v>26</v>
      </c>
      <c r="L607" s="20" t="s">
        <v>27</v>
      </c>
      <c r="M607" s="21">
        <f t="shared" si="1"/>
        <v>1</v>
      </c>
      <c r="N607" s="2">
        <v>-40.2752</v>
      </c>
      <c r="O607" s="2">
        <v>6.0</v>
      </c>
      <c r="P607" s="2">
        <v>47.18</v>
      </c>
      <c r="Q607" s="2">
        <v>86122.0</v>
      </c>
      <c r="R607" s="15" t="b">
        <f>ISNUMBER(MATCH(Q607,'Returned order'!A:A,0))</f>
        <v>0</v>
      </c>
      <c r="S607" s="22">
        <v>42009.0</v>
      </c>
      <c r="T607" s="15"/>
      <c r="U607" s="15"/>
      <c r="V607" s="15"/>
    </row>
    <row r="608">
      <c r="A608" s="2">
        <v>25279.0</v>
      </c>
      <c r="B608" s="1" t="s">
        <v>28</v>
      </c>
      <c r="C608" s="2">
        <v>0.04</v>
      </c>
      <c r="D608" s="2">
        <v>9.06</v>
      </c>
      <c r="E608" s="2">
        <v>1085.0</v>
      </c>
      <c r="F608" s="1" t="s">
        <v>132</v>
      </c>
      <c r="G608" s="1" t="s">
        <v>51</v>
      </c>
      <c r="H608" s="1" t="s">
        <v>23</v>
      </c>
      <c r="I608" s="1" t="s">
        <v>93</v>
      </c>
      <c r="J608" s="1" t="s">
        <v>517</v>
      </c>
      <c r="K608" s="19" t="s">
        <v>26</v>
      </c>
      <c r="L608" s="20" t="s">
        <v>76</v>
      </c>
      <c r="M608" s="21">
        <f t="shared" si="1"/>
        <v>5</v>
      </c>
      <c r="N608" s="2">
        <v>-53.25</v>
      </c>
      <c r="O608" s="2">
        <v>3.0</v>
      </c>
      <c r="P608" s="2">
        <v>30.87</v>
      </c>
      <c r="Q608" s="2">
        <v>86123.0</v>
      </c>
      <c r="R608" s="15" t="b">
        <f>ISNUMBER(MATCH(Q608,'Returned order'!A:A,0))</f>
        <v>0</v>
      </c>
      <c r="S608" s="22">
        <v>42118.0</v>
      </c>
      <c r="T608" s="15"/>
      <c r="U608" s="15"/>
      <c r="V608" s="15"/>
    </row>
    <row r="609">
      <c r="A609" s="2">
        <v>23104.0</v>
      </c>
      <c r="B609" s="1" t="s">
        <v>49</v>
      </c>
      <c r="C609" s="2">
        <v>0.06</v>
      </c>
      <c r="D609" s="2">
        <v>30.42</v>
      </c>
      <c r="E609" s="2">
        <v>1085.0</v>
      </c>
      <c r="F609" s="1" t="s">
        <v>132</v>
      </c>
      <c r="G609" s="1" t="s">
        <v>32</v>
      </c>
      <c r="H609" s="1" t="s">
        <v>46</v>
      </c>
      <c r="I609" s="1" t="s">
        <v>47</v>
      </c>
      <c r="J609" s="1" t="s">
        <v>921</v>
      </c>
      <c r="K609" s="19" t="s">
        <v>26</v>
      </c>
      <c r="L609" s="20" t="s">
        <v>35</v>
      </c>
      <c r="M609" s="21">
        <f t="shared" si="1"/>
        <v>3</v>
      </c>
      <c r="N609" s="2">
        <v>-159.25</v>
      </c>
      <c r="O609" s="2">
        <v>10.0</v>
      </c>
      <c r="P609" s="2">
        <v>309.05</v>
      </c>
      <c r="Q609" s="2">
        <v>86124.0</v>
      </c>
      <c r="R609" s="15" t="b">
        <f>ISNUMBER(MATCH(Q609,'Returned order'!A:A,0))</f>
        <v>0</v>
      </c>
      <c r="S609" s="22">
        <v>42137.0</v>
      </c>
      <c r="T609" s="15"/>
      <c r="U609" s="15"/>
      <c r="V609" s="15"/>
    </row>
    <row r="610">
      <c r="A610" s="2">
        <v>23105.0</v>
      </c>
      <c r="B610" s="1" t="s">
        <v>49</v>
      </c>
      <c r="C610" s="2">
        <v>0.02</v>
      </c>
      <c r="D610" s="2">
        <v>37.94</v>
      </c>
      <c r="E610" s="2">
        <v>1085.0</v>
      </c>
      <c r="F610" s="1" t="s">
        <v>132</v>
      </c>
      <c r="G610" s="1" t="s">
        <v>32</v>
      </c>
      <c r="H610" s="1" t="s">
        <v>23</v>
      </c>
      <c r="I610" s="1" t="s">
        <v>93</v>
      </c>
      <c r="J610" s="1" t="s">
        <v>721</v>
      </c>
      <c r="K610" s="19" t="s">
        <v>26</v>
      </c>
      <c r="L610" s="20" t="s">
        <v>35</v>
      </c>
      <c r="M610" s="21">
        <f t="shared" si="1"/>
        <v>3</v>
      </c>
      <c r="N610" s="2">
        <v>206.517</v>
      </c>
      <c r="O610" s="2">
        <v>8.0</v>
      </c>
      <c r="P610" s="2">
        <v>299.3</v>
      </c>
      <c r="Q610" s="2">
        <v>86124.0</v>
      </c>
      <c r="R610" s="15" t="b">
        <f>ISNUMBER(MATCH(Q610,'Returned order'!A:A,0))</f>
        <v>0</v>
      </c>
      <c r="S610" s="22">
        <v>42137.0</v>
      </c>
      <c r="T610" s="15"/>
      <c r="U610" s="15"/>
      <c r="V610" s="15"/>
    </row>
    <row r="611">
      <c r="A611" s="2">
        <v>25280.0</v>
      </c>
      <c r="B611" s="1" t="s">
        <v>28</v>
      </c>
      <c r="C611" s="2">
        <v>0.04</v>
      </c>
      <c r="D611" s="2">
        <v>14.27</v>
      </c>
      <c r="E611" s="2">
        <v>1086.0</v>
      </c>
      <c r="F611" s="1" t="s">
        <v>922</v>
      </c>
      <c r="G611" s="1" t="s">
        <v>51</v>
      </c>
      <c r="H611" s="1" t="s">
        <v>23</v>
      </c>
      <c r="I611" s="1" t="s">
        <v>24</v>
      </c>
      <c r="J611" s="1" t="s">
        <v>923</v>
      </c>
      <c r="K611" s="19" t="s">
        <v>26</v>
      </c>
      <c r="L611" s="20" t="s">
        <v>76</v>
      </c>
      <c r="M611" s="21">
        <f t="shared" si="1"/>
        <v>5</v>
      </c>
      <c r="N611" s="2">
        <v>2.125</v>
      </c>
      <c r="O611" s="2">
        <v>3.0</v>
      </c>
      <c r="P611" s="2">
        <v>45.24</v>
      </c>
      <c r="Q611" s="2">
        <v>86123.0</v>
      </c>
      <c r="R611" s="15" t="b">
        <f>ISNUMBER(MATCH(Q611,'Returned order'!A:A,0))</f>
        <v>0</v>
      </c>
      <c r="S611" s="22">
        <v>42118.0</v>
      </c>
      <c r="T611" s="15"/>
      <c r="U611" s="15"/>
      <c r="V611" s="15"/>
    </row>
    <row r="612">
      <c r="A612" s="2">
        <v>22537.0</v>
      </c>
      <c r="B612" s="1" t="s">
        <v>63</v>
      </c>
      <c r="C612" s="2">
        <v>0.02</v>
      </c>
      <c r="D612" s="2">
        <v>15.14</v>
      </c>
      <c r="E612" s="2">
        <v>1101.0</v>
      </c>
      <c r="F612" s="1" t="s">
        <v>924</v>
      </c>
      <c r="G612" s="1" t="s">
        <v>66</v>
      </c>
      <c r="H612" s="1" t="s">
        <v>23</v>
      </c>
      <c r="I612" s="1" t="s">
        <v>120</v>
      </c>
      <c r="J612" s="1" t="s">
        <v>925</v>
      </c>
      <c r="K612" s="19" t="s">
        <v>34</v>
      </c>
      <c r="L612" s="20" t="s">
        <v>57</v>
      </c>
      <c r="M612" s="21">
        <f t="shared" si="1"/>
        <v>2</v>
      </c>
      <c r="N612" s="2">
        <v>5.884</v>
      </c>
      <c r="O612" s="2">
        <v>3.0</v>
      </c>
      <c r="P612" s="2">
        <v>51.02</v>
      </c>
      <c r="Q612" s="2">
        <v>91488.0</v>
      </c>
      <c r="R612" s="15" t="b">
        <f>ISNUMBER(MATCH(Q612,'Returned order'!A:A,0))</f>
        <v>0</v>
      </c>
      <c r="S612" s="22">
        <v>42129.0</v>
      </c>
      <c r="T612" s="15"/>
      <c r="U612" s="15"/>
      <c r="V612" s="15"/>
    </row>
    <row r="613">
      <c r="A613" s="2">
        <v>21847.0</v>
      </c>
      <c r="B613" s="1" t="s">
        <v>49</v>
      </c>
      <c r="C613" s="2">
        <v>0.05</v>
      </c>
      <c r="D613" s="2">
        <v>328.14</v>
      </c>
      <c r="E613" s="2">
        <v>1103.0</v>
      </c>
      <c r="F613" s="1" t="s">
        <v>926</v>
      </c>
      <c r="G613" s="1" t="s">
        <v>51</v>
      </c>
      <c r="H613" s="1" t="s">
        <v>23</v>
      </c>
      <c r="I613" s="1" t="s">
        <v>151</v>
      </c>
      <c r="J613" s="1" t="s">
        <v>436</v>
      </c>
      <c r="K613" s="19" t="s">
        <v>68</v>
      </c>
      <c r="L613" s="20" t="s">
        <v>76</v>
      </c>
      <c r="M613" s="21">
        <f t="shared" si="1"/>
        <v>5</v>
      </c>
      <c r="N613" s="2">
        <v>772.04</v>
      </c>
      <c r="O613" s="2">
        <v>7.0</v>
      </c>
      <c r="P613" s="2">
        <v>2291.39</v>
      </c>
      <c r="Q613" s="2">
        <v>90977.0</v>
      </c>
      <c r="R613" s="15" t="b">
        <f>ISNUMBER(MATCH(Q613,'Returned order'!A:A,0))</f>
        <v>0</v>
      </c>
      <c r="S613" s="22">
        <v>42104.0</v>
      </c>
      <c r="T613" s="15"/>
      <c r="U613" s="15"/>
      <c r="V613" s="15"/>
    </row>
    <row r="614">
      <c r="A614" s="2">
        <v>3847.0</v>
      </c>
      <c r="B614" s="1" t="s">
        <v>49</v>
      </c>
      <c r="C614" s="2">
        <v>0.05</v>
      </c>
      <c r="D614" s="2">
        <v>328.14</v>
      </c>
      <c r="E614" s="2">
        <v>1104.0</v>
      </c>
      <c r="F614" s="1" t="s">
        <v>927</v>
      </c>
      <c r="G614" s="1" t="s">
        <v>51</v>
      </c>
      <c r="H614" s="1" t="s">
        <v>23</v>
      </c>
      <c r="I614" s="1" t="s">
        <v>151</v>
      </c>
      <c r="J614" s="1" t="s">
        <v>436</v>
      </c>
      <c r="K614" s="19" t="s">
        <v>26</v>
      </c>
      <c r="L614" s="20" t="s">
        <v>76</v>
      </c>
      <c r="M614" s="21">
        <f t="shared" si="1"/>
        <v>5</v>
      </c>
      <c r="N614" s="2">
        <v>772.04</v>
      </c>
      <c r="O614" s="2">
        <v>29.0</v>
      </c>
      <c r="P614" s="2">
        <v>9492.92</v>
      </c>
      <c r="Q614" s="2">
        <v>27456.0</v>
      </c>
      <c r="R614" s="15" t="b">
        <f>ISNUMBER(MATCH(Q614,'Returned order'!A:A,0))</f>
        <v>0</v>
      </c>
      <c r="S614" s="22">
        <v>42104.0</v>
      </c>
      <c r="T614" s="15"/>
      <c r="U614" s="15"/>
      <c r="V614" s="15"/>
    </row>
    <row r="615">
      <c r="A615" s="2">
        <v>2808.0</v>
      </c>
      <c r="B615" s="1" t="s">
        <v>63</v>
      </c>
      <c r="C615" s="2">
        <v>0.04</v>
      </c>
      <c r="D615" s="2">
        <v>6.35</v>
      </c>
      <c r="E615" s="2">
        <v>1106.0</v>
      </c>
      <c r="F615" s="1" t="s">
        <v>928</v>
      </c>
      <c r="G615" s="1" t="s">
        <v>66</v>
      </c>
      <c r="H615" s="1" t="s">
        <v>23</v>
      </c>
      <c r="I615" s="1" t="s">
        <v>93</v>
      </c>
      <c r="J615" s="1" t="s">
        <v>717</v>
      </c>
      <c r="K615" s="19" t="s">
        <v>68</v>
      </c>
      <c r="L615" s="20" t="s">
        <v>35</v>
      </c>
      <c r="M615" s="21">
        <f t="shared" si="1"/>
        <v>3</v>
      </c>
      <c r="N615" s="2">
        <v>81.91</v>
      </c>
      <c r="O615" s="2">
        <v>52.0</v>
      </c>
      <c r="P615" s="2">
        <v>318.47</v>
      </c>
      <c r="Q615" s="2">
        <v>20261.0</v>
      </c>
      <c r="R615" s="15" t="b">
        <f>ISNUMBER(MATCH(Q615,'Returned order'!A:A,0))</f>
        <v>0</v>
      </c>
      <c r="S615" s="22">
        <v>42144.0</v>
      </c>
      <c r="T615" s="15"/>
      <c r="U615" s="15"/>
      <c r="V615" s="15"/>
    </row>
    <row r="616">
      <c r="A616" s="2">
        <v>106.0</v>
      </c>
      <c r="B616" s="1" t="s">
        <v>28</v>
      </c>
      <c r="C616" s="2">
        <v>0.01</v>
      </c>
      <c r="D616" s="2">
        <v>9.31</v>
      </c>
      <c r="E616" s="2">
        <v>1106.0</v>
      </c>
      <c r="F616" s="1" t="s">
        <v>928</v>
      </c>
      <c r="G616" s="1" t="s">
        <v>66</v>
      </c>
      <c r="H616" s="1" t="s">
        <v>23</v>
      </c>
      <c r="I616" s="1" t="s">
        <v>257</v>
      </c>
      <c r="J616" s="1" t="s">
        <v>929</v>
      </c>
      <c r="K616" s="19" t="s">
        <v>68</v>
      </c>
      <c r="L616" s="20" t="s">
        <v>70</v>
      </c>
      <c r="M616" s="21">
        <f t="shared" si="1"/>
        <v>4</v>
      </c>
      <c r="N616" s="2">
        <v>-10.9</v>
      </c>
      <c r="O616" s="2">
        <v>61.0</v>
      </c>
      <c r="P616" s="2">
        <v>586.96</v>
      </c>
      <c r="Q616" s="2">
        <v>646.0</v>
      </c>
      <c r="R616" s="15" t="b">
        <f>ISNUMBER(MATCH(Q616,'Returned order'!A:A,0))</f>
        <v>0</v>
      </c>
      <c r="S616" s="22">
        <v>42145.0</v>
      </c>
      <c r="T616" s="15"/>
      <c r="U616" s="15"/>
      <c r="V616" s="15"/>
    </row>
    <row r="617">
      <c r="A617" s="2">
        <v>6443.0</v>
      </c>
      <c r="B617" s="1" t="s">
        <v>49</v>
      </c>
      <c r="C617" s="2">
        <v>0.08</v>
      </c>
      <c r="D617" s="2">
        <v>140.81</v>
      </c>
      <c r="E617" s="2">
        <v>1106.0</v>
      </c>
      <c r="F617" s="1" t="s">
        <v>928</v>
      </c>
      <c r="G617" s="1" t="s">
        <v>22</v>
      </c>
      <c r="H617" s="1" t="s">
        <v>37</v>
      </c>
      <c r="I617" s="1" t="s">
        <v>38</v>
      </c>
      <c r="J617" s="1" t="s">
        <v>930</v>
      </c>
      <c r="K617" s="19" t="s">
        <v>68</v>
      </c>
      <c r="L617" s="20" t="s">
        <v>53</v>
      </c>
      <c r="M617" s="21">
        <f t="shared" si="1"/>
        <v>6</v>
      </c>
      <c r="N617" s="2">
        <v>1232.79</v>
      </c>
      <c r="O617" s="2">
        <v>81.0</v>
      </c>
      <c r="P617" s="2">
        <v>11272.77</v>
      </c>
      <c r="Q617" s="2">
        <v>45824.0</v>
      </c>
      <c r="R617" s="15" t="b">
        <f>ISNUMBER(MATCH(Q617,'Returned order'!A:A,0))</f>
        <v>0</v>
      </c>
      <c r="S617" s="22">
        <v>42161.0</v>
      </c>
      <c r="T617" s="15"/>
      <c r="U617" s="15"/>
      <c r="V617" s="15"/>
    </row>
    <row r="618">
      <c r="A618" s="2">
        <v>18106.0</v>
      </c>
      <c r="B618" s="1" t="s">
        <v>28</v>
      </c>
      <c r="C618" s="2">
        <v>0.01</v>
      </c>
      <c r="D618" s="2">
        <v>9.31</v>
      </c>
      <c r="E618" s="2">
        <v>1107.0</v>
      </c>
      <c r="F618" s="1" t="s">
        <v>931</v>
      </c>
      <c r="G618" s="1" t="s">
        <v>66</v>
      </c>
      <c r="H618" s="1" t="s">
        <v>23</v>
      </c>
      <c r="I618" s="1" t="s">
        <v>257</v>
      </c>
      <c r="J618" s="1" t="s">
        <v>929</v>
      </c>
      <c r="K618" s="19" t="s">
        <v>68</v>
      </c>
      <c r="L618" s="20" t="s">
        <v>70</v>
      </c>
      <c r="M618" s="21">
        <f t="shared" si="1"/>
        <v>4</v>
      </c>
      <c r="N618" s="2">
        <v>2.18</v>
      </c>
      <c r="O618" s="2">
        <v>15.0</v>
      </c>
      <c r="P618" s="2">
        <v>144.33</v>
      </c>
      <c r="Q618" s="2">
        <v>86411.0</v>
      </c>
      <c r="R618" s="15" t="b">
        <f>ISNUMBER(MATCH(Q618,'Returned order'!A:A,0))</f>
        <v>0</v>
      </c>
      <c r="S618" s="22">
        <v>42145.0</v>
      </c>
      <c r="T618" s="15"/>
      <c r="U618" s="15"/>
      <c r="V618" s="15"/>
    </row>
    <row r="619">
      <c r="A619" s="2">
        <v>20807.0</v>
      </c>
      <c r="B619" s="1" t="s">
        <v>63</v>
      </c>
      <c r="C619" s="2">
        <v>0.09</v>
      </c>
      <c r="D619" s="2">
        <v>31.74</v>
      </c>
      <c r="E619" s="2">
        <v>1108.0</v>
      </c>
      <c r="F619" s="1" t="s">
        <v>932</v>
      </c>
      <c r="G619" s="1" t="s">
        <v>66</v>
      </c>
      <c r="H619" s="1" t="s">
        <v>23</v>
      </c>
      <c r="I619" s="1" t="s">
        <v>24</v>
      </c>
      <c r="J619" s="1" t="s">
        <v>826</v>
      </c>
      <c r="K619" s="19" t="s">
        <v>68</v>
      </c>
      <c r="L619" s="20" t="s">
        <v>35</v>
      </c>
      <c r="M619" s="21">
        <f t="shared" si="1"/>
        <v>3</v>
      </c>
      <c r="N619" s="2">
        <v>67.1075</v>
      </c>
      <c r="O619" s="2">
        <v>9.0</v>
      </c>
      <c r="P619" s="2">
        <v>270.55</v>
      </c>
      <c r="Q619" s="2">
        <v>86409.0</v>
      </c>
      <c r="R619" s="15" t="b">
        <f>ISNUMBER(MATCH(Q619,'Returned order'!A:A,0))</f>
        <v>0</v>
      </c>
      <c r="S619" s="22">
        <v>42144.0</v>
      </c>
      <c r="T619" s="15"/>
      <c r="U619" s="15"/>
      <c r="V619" s="15"/>
    </row>
    <row r="620">
      <c r="A620" s="2">
        <v>20808.0</v>
      </c>
      <c r="B620" s="1" t="s">
        <v>63</v>
      </c>
      <c r="C620" s="2">
        <v>0.04</v>
      </c>
      <c r="D620" s="2">
        <v>6.35</v>
      </c>
      <c r="E620" s="2">
        <v>1108.0</v>
      </c>
      <c r="F620" s="1" t="s">
        <v>932</v>
      </c>
      <c r="G620" s="1" t="s">
        <v>66</v>
      </c>
      <c r="H620" s="1" t="s">
        <v>23</v>
      </c>
      <c r="I620" s="1" t="s">
        <v>93</v>
      </c>
      <c r="J620" s="1" t="s">
        <v>717</v>
      </c>
      <c r="K620" s="19" t="s">
        <v>68</v>
      </c>
      <c r="L620" s="20" t="s">
        <v>35</v>
      </c>
      <c r="M620" s="21">
        <f t="shared" si="1"/>
        <v>3</v>
      </c>
      <c r="N620" s="2">
        <v>54.9378</v>
      </c>
      <c r="O620" s="2">
        <v>13.0</v>
      </c>
      <c r="P620" s="2">
        <v>79.62</v>
      </c>
      <c r="Q620" s="2">
        <v>86409.0</v>
      </c>
      <c r="R620" s="15" t="b">
        <f>ISNUMBER(MATCH(Q620,'Returned order'!A:A,0))</f>
        <v>0</v>
      </c>
      <c r="S620" s="22">
        <v>42144.0</v>
      </c>
      <c r="T620" s="15"/>
      <c r="U620" s="15"/>
      <c r="V620" s="15"/>
    </row>
    <row r="621">
      <c r="A621" s="2">
        <v>20809.0</v>
      </c>
      <c r="B621" s="1" t="s">
        <v>63</v>
      </c>
      <c r="C621" s="2">
        <v>0.02</v>
      </c>
      <c r="D621" s="2">
        <v>65.99</v>
      </c>
      <c r="E621" s="2">
        <v>1108.0</v>
      </c>
      <c r="F621" s="1" t="s">
        <v>932</v>
      </c>
      <c r="G621" s="1" t="s">
        <v>66</v>
      </c>
      <c r="H621" s="1" t="s">
        <v>46</v>
      </c>
      <c r="I621" s="1" t="s">
        <v>85</v>
      </c>
      <c r="J621" s="1" t="s">
        <v>527</v>
      </c>
      <c r="K621" s="19" t="s">
        <v>68</v>
      </c>
      <c r="L621" s="20" t="s">
        <v>35</v>
      </c>
      <c r="M621" s="21">
        <f t="shared" si="1"/>
        <v>3</v>
      </c>
      <c r="N621" s="2">
        <v>168.237</v>
      </c>
      <c r="O621" s="2">
        <v>8.0</v>
      </c>
      <c r="P621" s="2">
        <v>479.79</v>
      </c>
      <c r="Q621" s="2">
        <v>86409.0</v>
      </c>
      <c r="R621" s="15" t="b">
        <f>ISNUMBER(MATCH(Q621,'Returned order'!A:A,0))</f>
        <v>0</v>
      </c>
      <c r="S621" s="22">
        <v>42144.0</v>
      </c>
      <c r="T621" s="15"/>
      <c r="U621" s="15"/>
      <c r="V621" s="15"/>
    </row>
    <row r="622">
      <c r="A622" s="2">
        <v>22480.0</v>
      </c>
      <c r="B622" s="1" t="s">
        <v>63</v>
      </c>
      <c r="C622" s="2">
        <v>0.08</v>
      </c>
      <c r="D622" s="2">
        <v>8.37</v>
      </c>
      <c r="E622" s="2">
        <v>1109.0</v>
      </c>
      <c r="F622" s="1" t="s">
        <v>933</v>
      </c>
      <c r="G622" s="1" t="s">
        <v>22</v>
      </c>
      <c r="H622" s="1" t="s">
        <v>37</v>
      </c>
      <c r="I622" s="1" t="s">
        <v>42</v>
      </c>
      <c r="J622" s="1" t="s">
        <v>934</v>
      </c>
      <c r="K622" s="19" t="s">
        <v>68</v>
      </c>
      <c r="L622" s="20" t="s">
        <v>27</v>
      </c>
      <c r="M622" s="21">
        <f t="shared" si="1"/>
        <v>1</v>
      </c>
      <c r="N622" s="2">
        <v>-169.232</v>
      </c>
      <c r="O622" s="2">
        <v>13.0</v>
      </c>
      <c r="P622" s="2">
        <v>108.99</v>
      </c>
      <c r="Q622" s="2">
        <v>86410.0</v>
      </c>
      <c r="R622" s="15" t="b">
        <f>ISNUMBER(MATCH(Q622,'Returned order'!A:A,0))</f>
        <v>0</v>
      </c>
      <c r="S622" s="22">
        <v>42184.0</v>
      </c>
      <c r="T622" s="15"/>
      <c r="U622" s="15"/>
      <c r="V622" s="15"/>
    </row>
    <row r="623">
      <c r="A623" s="2">
        <v>20176.0</v>
      </c>
      <c r="B623" s="1" t="s">
        <v>49</v>
      </c>
      <c r="C623" s="2">
        <v>0.03</v>
      </c>
      <c r="D623" s="2">
        <v>300.98</v>
      </c>
      <c r="E623" s="2">
        <v>1112.0</v>
      </c>
      <c r="F623" s="1" t="s">
        <v>935</v>
      </c>
      <c r="G623" s="1" t="s">
        <v>32</v>
      </c>
      <c r="H623" s="1" t="s">
        <v>37</v>
      </c>
      <c r="I623" s="1" t="s">
        <v>55</v>
      </c>
      <c r="J623" s="1" t="s">
        <v>56</v>
      </c>
      <c r="K623" s="19" t="s">
        <v>34</v>
      </c>
      <c r="L623" s="20" t="s">
        <v>70</v>
      </c>
      <c r="M623" s="21">
        <f t="shared" si="1"/>
        <v>4</v>
      </c>
      <c r="N623" s="2">
        <v>1272.5808</v>
      </c>
      <c r="O623" s="2">
        <v>12.0</v>
      </c>
      <c r="P623" s="2">
        <v>3527.82</v>
      </c>
      <c r="Q623" s="2">
        <v>90832.0</v>
      </c>
      <c r="R623" s="15" t="b">
        <f>ISNUMBER(MATCH(Q623,'Returned order'!A:A,0))</f>
        <v>0</v>
      </c>
      <c r="S623" s="22">
        <v>42096.0</v>
      </c>
      <c r="T623" s="15"/>
      <c r="U623" s="15"/>
      <c r="V623" s="15"/>
    </row>
    <row r="624">
      <c r="A624" s="2">
        <v>20177.0</v>
      </c>
      <c r="B624" s="1" t="s">
        <v>49</v>
      </c>
      <c r="C624" s="2">
        <v>0.02</v>
      </c>
      <c r="D624" s="2">
        <v>2550.14</v>
      </c>
      <c r="E624" s="2">
        <v>1112.0</v>
      </c>
      <c r="F624" s="1" t="s">
        <v>935</v>
      </c>
      <c r="G624" s="1" t="s">
        <v>32</v>
      </c>
      <c r="H624" s="1" t="s">
        <v>46</v>
      </c>
      <c r="I624" s="1" t="s">
        <v>103</v>
      </c>
      <c r="J624" s="1" t="s">
        <v>936</v>
      </c>
      <c r="K624" s="19" t="s">
        <v>34</v>
      </c>
      <c r="L624" s="20" t="s">
        <v>70</v>
      </c>
      <c r="M624" s="21">
        <f t="shared" si="1"/>
        <v>4</v>
      </c>
      <c r="N624" s="2">
        <v>-5390.738892</v>
      </c>
      <c r="O624" s="2">
        <v>2.0</v>
      </c>
      <c r="P624" s="2">
        <v>4698.21</v>
      </c>
      <c r="Q624" s="2">
        <v>90832.0</v>
      </c>
      <c r="R624" s="15" t="b">
        <f>ISNUMBER(MATCH(Q624,'Returned order'!A:A,0))</f>
        <v>0</v>
      </c>
      <c r="S624" s="22">
        <v>42096.0</v>
      </c>
      <c r="T624" s="15"/>
      <c r="U624" s="15"/>
      <c r="V624" s="15"/>
    </row>
    <row r="625">
      <c r="A625" s="2">
        <v>26060.0</v>
      </c>
      <c r="B625" s="1" t="s">
        <v>58</v>
      </c>
      <c r="C625" s="2">
        <v>0.01</v>
      </c>
      <c r="D625" s="2">
        <v>2.89</v>
      </c>
      <c r="E625" s="2">
        <v>1113.0</v>
      </c>
      <c r="F625" s="1" t="s">
        <v>937</v>
      </c>
      <c r="G625" s="1" t="s">
        <v>32</v>
      </c>
      <c r="H625" s="1" t="s">
        <v>23</v>
      </c>
      <c r="I625" s="1" t="s">
        <v>130</v>
      </c>
      <c r="J625" s="1" t="s">
        <v>645</v>
      </c>
      <c r="K625" s="19" t="s">
        <v>34</v>
      </c>
      <c r="L625" s="20" t="s">
        <v>27</v>
      </c>
      <c r="M625" s="21">
        <f t="shared" si="1"/>
        <v>1</v>
      </c>
      <c r="N625" s="2">
        <v>29.7252</v>
      </c>
      <c r="O625" s="2">
        <v>14.0</v>
      </c>
      <c r="P625" s="2">
        <v>43.08</v>
      </c>
      <c r="Q625" s="2">
        <v>90833.0</v>
      </c>
      <c r="R625" s="15" t="b">
        <f>ISNUMBER(MATCH(Q625,'Returned order'!A:A,0))</f>
        <v>0</v>
      </c>
      <c r="S625" s="22">
        <v>42100.0</v>
      </c>
      <c r="T625" s="15"/>
      <c r="U625" s="15"/>
      <c r="V625" s="15"/>
    </row>
    <row r="626">
      <c r="A626" s="2">
        <v>26061.0</v>
      </c>
      <c r="B626" s="1" t="s">
        <v>58</v>
      </c>
      <c r="C626" s="2">
        <v>0.0</v>
      </c>
      <c r="D626" s="2">
        <v>55.99</v>
      </c>
      <c r="E626" s="2">
        <v>1113.0</v>
      </c>
      <c r="F626" s="1" t="s">
        <v>937</v>
      </c>
      <c r="G626" s="1" t="s">
        <v>32</v>
      </c>
      <c r="H626" s="1" t="s">
        <v>46</v>
      </c>
      <c r="I626" s="1" t="s">
        <v>85</v>
      </c>
      <c r="J626" s="1" t="s">
        <v>578</v>
      </c>
      <c r="K626" s="19" t="s">
        <v>34</v>
      </c>
      <c r="L626" s="20" t="s">
        <v>27</v>
      </c>
      <c r="M626" s="21">
        <f t="shared" si="1"/>
        <v>1</v>
      </c>
      <c r="N626" s="2">
        <v>-187.11</v>
      </c>
      <c r="O626" s="2">
        <v>5.0</v>
      </c>
      <c r="P626" s="2">
        <v>258.93</v>
      </c>
      <c r="Q626" s="2">
        <v>90833.0</v>
      </c>
      <c r="R626" s="15" t="b">
        <f>ISNUMBER(MATCH(Q626,'Returned order'!A:A,0))</f>
        <v>0</v>
      </c>
      <c r="S626" s="22">
        <v>42100.0</v>
      </c>
      <c r="T626" s="15"/>
      <c r="U626" s="15"/>
      <c r="V626" s="15"/>
    </row>
    <row r="627">
      <c r="A627" s="2">
        <v>21579.0</v>
      </c>
      <c r="B627" s="1" t="s">
        <v>49</v>
      </c>
      <c r="C627" s="2">
        <v>0.06</v>
      </c>
      <c r="D627" s="2">
        <v>64.65</v>
      </c>
      <c r="E627" s="2">
        <v>1117.0</v>
      </c>
      <c r="F627" s="1" t="s">
        <v>938</v>
      </c>
      <c r="G627" s="1" t="s">
        <v>51</v>
      </c>
      <c r="H627" s="1" t="s">
        <v>23</v>
      </c>
      <c r="I627" s="1" t="s">
        <v>120</v>
      </c>
      <c r="J627" s="1" t="s">
        <v>745</v>
      </c>
      <c r="K627" s="19" t="s">
        <v>34</v>
      </c>
      <c r="L627" s="20" t="s">
        <v>70</v>
      </c>
      <c r="M627" s="21">
        <f t="shared" si="1"/>
        <v>4</v>
      </c>
      <c r="N627" s="2">
        <v>-139.2872</v>
      </c>
      <c r="O627" s="2">
        <v>4.0</v>
      </c>
      <c r="P627" s="2">
        <v>277.6</v>
      </c>
      <c r="Q627" s="2">
        <v>86768.0</v>
      </c>
      <c r="R627" s="15" t="b">
        <f>ISNUMBER(MATCH(Q627,'Returned order'!A:A,0))</f>
        <v>0</v>
      </c>
      <c r="S627" s="22">
        <v>42040.0</v>
      </c>
      <c r="T627" s="15"/>
      <c r="U627" s="15"/>
      <c r="V627" s="15"/>
    </row>
    <row r="628">
      <c r="A628" s="2">
        <v>21329.0</v>
      </c>
      <c r="B628" s="1" t="s">
        <v>170</v>
      </c>
      <c r="C628" s="2">
        <v>0.04</v>
      </c>
      <c r="D628" s="2">
        <v>19.98</v>
      </c>
      <c r="E628" s="2">
        <v>1121.0</v>
      </c>
      <c r="F628" s="1" t="s">
        <v>939</v>
      </c>
      <c r="G628" s="1" t="s">
        <v>22</v>
      </c>
      <c r="H628" s="1" t="s">
        <v>23</v>
      </c>
      <c r="I628" s="1" t="s">
        <v>93</v>
      </c>
      <c r="J628" s="1" t="s">
        <v>940</v>
      </c>
      <c r="K628" s="19" t="s">
        <v>34</v>
      </c>
      <c r="L628" s="20" t="s">
        <v>53</v>
      </c>
      <c r="M628" s="21">
        <f t="shared" si="1"/>
        <v>6</v>
      </c>
      <c r="N628" s="2">
        <v>108.0</v>
      </c>
      <c r="O628" s="2">
        <v>8.0</v>
      </c>
      <c r="P628" s="2">
        <v>168.04</v>
      </c>
      <c r="Q628" s="2">
        <v>86767.0</v>
      </c>
      <c r="R628" s="15" t="b">
        <f>ISNUMBER(MATCH(Q628,'Returned order'!A:A,0))</f>
        <v>0</v>
      </c>
      <c r="S628" s="22">
        <v>42042.0</v>
      </c>
      <c r="T628" s="15"/>
      <c r="U628" s="15"/>
      <c r="V628" s="15"/>
    </row>
    <row r="629">
      <c r="A629" s="2">
        <v>21330.0</v>
      </c>
      <c r="B629" s="1" t="s">
        <v>170</v>
      </c>
      <c r="C629" s="2">
        <v>0.08</v>
      </c>
      <c r="D629" s="2">
        <v>125.99</v>
      </c>
      <c r="E629" s="2">
        <v>1121.0</v>
      </c>
      <c r="F629" s="1" t="s">
        <v>939</v>
      </c>
      <c r="G629" s="1" t="s">
        <v>22</v>
      </c>
      <c r="H629" s="1" t="s">
        <v>46</v>
      </c>
      <c r="I629" s="1" t="s">
        <v>85</v>
      </c>
      <c r="J629" s="1" t="s">
        <v>941</v>
      </c>
      <c r="K629" s="19" t="s">
        <v>34</v>
      </c>
      <c r="L629" s="20" t="s">
        <v>53</v>
      </c>
      <c r="M629" s="21">
        <f t="shared" si="1"/>
        <v>6</v>
      </c>
      <c r="N629" s="2">
        <v>377.154</v>
      </c>
      <c r="O629" s="2">
        <v>7.0</v>
      </c>
      <c r="P629" s="2">
        <v>703.46</v>
      </c>
      <c r="Q629" s="2">
        <v>86767.0</v>
      </c>
      <c r="R629" s="15" t="b">
        <f>ISNUMBER(MATCH(Q629,'Returned order'!A:A,0))</f>
        <v>0</v>
      </c>
      <c r="S629" s="22">
        <v>42042.0</v>
      </c>
      <c r="T629" s="15"/>
      <c r="U629" s="15"/>
      <c r="V629" s="15"/>
    </row>
    <row r="630">
      <c r="A630" s="2">
        <v>20612.0</v>
      </c>
      <c r="B630" s="1" t="s">
        <v>28</v>
      </c>
      <c r="C630" s="2">
        <v>0.03</v>
      </c>
      <c r="D630" s="2">
        <v>7.3</v>
      </c>
      <c r="E630" s="2">
        <v>1123.0</v>
      </c>
      <c r="F630" s="1" t="s">
        <v>942</v>
      </c>
      <c r="G630" s="1" t="s">
        <v>66</v>
      </c>
      <c r="H630" s="1" t="s">
        <v>23</v>
      </c>
      <c r="I630" s="1" t="s">
        <v>24</v>
      </c>
      <c r="J630" s="1" t="s">
        <v>943</v>
      </c>
      <c r="K630" s="19" t="s">
        <v>34</v>
      </c>
      <c r="L630" s="20" t="s">
        <v>61</v>
      </c>
      <c r="M630" s="21">
        <f t="shared" si="1"/>
        <v>7</v>
      </c>
      <c r="N630" s="2">
        <v>-127.052</v>
      </c>
      <c r="O630" s="2">
        <v>14.0</v>
      </c>
      <c r="P630" s="2">
        <v>103.61</v>
      </c>
      <c r="Q630" s="2">
        <v>87015.0</v>
      </c>
      <c r="R630" s="15" t="b">
        <f>ISNUMBER(MATCH(Q630,'Returned order'!A:A,0))</f>
        <v>0</v>
      </c>
      <c r="S630" s="22">
        <v>42078.0</v>
      </c>
      <c r="T630" s="15"/>
      <c r="U630" s="15"/>
      <c r="V630" s="15"/>
    </row>
    <row r="631">
      <c r="A631" s="2">
        <v>18212.0</v>
      </c>
      <c r="B631" s="1" t="s">
        <v>28</v>
      </c>
      <c r="C631" s="2">
        <v>0.09</v>
      </c>
      <c r="D631" s="2">
        <v>175.99</v>
      </c>
      <c r="E631" s="2">
        <v>1123.0</v>
      </c>
      <c r="F631" s="1" t="s">
        <v>942</v>
      </c>
      <c r="G631" s="1" t="s">
        <v>66</v>
      </c>
      <c r="H631" s="1" t="s">
        <v>46</v>
      </c>
      <c r="I631" s="1" t="s">
        <v>85</v>
      </c>
      <c r="J631" s="1">
        <v>5165.0</v>
      </c>
      <c r="K631" s="19" t="s">
        <v>34</v>
      </c>
      <c r="L631" s="20" t="s">
        <v>53</v>
      </c>
      <c r="M631" s="21">
        <f t="shared" si="1"/>
        <v>6</v>
      </c>
      <c r="N631" s="2">
        <v>2169.7464</v>
      </c>
      <c r="O631" s="2">
        <v>22.0</v>
      </c>
      <c r="P631" s="2">
        <v>3144.56</v>
      </c>
      <c r="Q631" s="2">
        <v>87016.0</v>
      </c>
      <c r="R631" s="15" t="b">
        <f>ISNUMBER(MATCH(Q631,'Returned order'!A:A,0))</f>
        <v>0</v>
      </c>
      <c r="S631" s="22">
        <v>42175.0</v>
      </c>
      <c r="T631" s="15"/>
      <c r="U631" s="15"/>
      <c r="V631" s="15"/>
    </row>
    <row r="632">
      <c r="A632" s="2">
        <v>18211.0</v>
      </c>
      <c r="B632" s="1" t="s">
        <v>28</v>
      </c>
      <c r="C632" s="2">
        <v>0.09</v>
      </c>
      <c r="D632" s="2">
        <v>160.98</v>
      </c>
      <c r="E632" s="2">
        <v>1124.0</v>
      </c>
      <c r="F632" s="1" t="s">
        <v>944</v>
      </c>
      <c r="G632" s="1" t="s">
        <v>66</v>
      </c>
      <c r="H632" s="1" t="s">
        <v>37</v>
      </c>
      <c r="I632" s="1" t="s">
        <v>55</v>
      </c>
      <c r="J632" s="1" t="s">
        <v>620</v>
      </c>
      <c r="K632" s="19" t="s">
        <v>26</v>
      </c>
      <c r="L632" s="20" t="s">
        <v>53</v>
      </c>
      <c r="M632" s="21">
        <f t="shared" si="1"/>
        <v>6</v>
      </c>
      <c r="N632" s="2">
        <v>-229.93</v>
      </c>
      <c r="O632" s="2">
        <v>18.0</v>
      </c>
      <c r="P632" s="2">
        <v>2653.02</v>
      </c>
      <c r="Q632" s="2">
        <v>87016.0</v>
      </c>
      <c r="R632" s="15" t="b">
        <f>ISNUMBER(MATCH(Q632,'Returned order'!A:A,0))</f>
        <v>0</v>
      </c>
      <c r="S632" s="22">
        <v>42175.0</v>
      </c>
      <c r="T632" s="15"/>
      <c r="U632" s="15"/>
      <c r="V632" s="15"/>
    </row>
    <row r="633">
      <c r="A633" s="2">
        <v>22052.0</v>
      </c>
      <c r="B633" s="1" t="s">
        <v>63</v>
      </c>
      <c r="C633" s="2">
        <v>0.02</v>
      </c>
      <c r="D633" s="2">
        <v>4.06</v>
      </c>
      <c r="E633" s="2">
        <v>1127.0</v>
      </c>
      <c r="F633" s="1" t="s">
        <v>945</v>
      </c>
      <c r="G633" s="1" t="s">
        <v>22</v>
      </c>
      <c r="H633" s="1" t="s">
        <v>23</v>
      </c>
      <c r="I633" s="1" t="s">
        <v>151</v>
      </c>
      <c r="J633" s="1" t="s">
        <v>733</v>
      </c>
      <c r="K633" s="19" t="s">
        <v>68</v>
      </c>
      <c r="L633" s="20" t="s">
        <v>57</v>
      </c>
      <c r="M633" s="21">
        <f t="shared" si="1"/>
        <v>2</v>
      </c>
      <c r="N633" s="2">
        <v>-93.7352</v>
      </c>
      <c r="O633" s="2">
        <v>16.0</v>
      </c>
      <c r="P633" s="2">
        <v>66.81</v>
      </c>
      <c r="Q633" s="2">
        <v>87221.0</v>
      </c>
      <c r="R633" s="15" t="b">
        <f>ISNUMBER(MATCH(Q633,'Returned order'!A:A,0))</f>
        <v>0</v>
      </c>
      <c r="S633" s="22">
        <v>42059.0</v>
      </c>
      <c r="T633" s="15"/>
      <c r="U633" s="15"/>
      <c r="V633" s="15"/>
    </row>
    <row r="634">
      <c r="A634" s="2">
        <v>26377.0</v>
      </c>
      <c r="B634" s="1" t="s">
        <v>170</v>
      </c>
      <c r="C634" s="2">
        <v>0.04</v>
      </c>
      <c r="D634" s="2">
        <v>4.71</v>
      </c>
      <c r="E634" s="2">
        <v>1127.0</v>
      </c>
      <c r="F634" s="1" t="s">
        <v>945</v>
      </c>
      <c r="G634" s="1" t="s">
        <v>22</v>
      </c>
      <c r="H634" s="1" t="s">
        <v>23</v>
      </c>
      <c r="I634" s="1" t="s">
        <v>81</v>
      </c>
      <c r="J634" s="1" t="s">
        <v>213</v>
      </c>
      <c r="K634" s="19" t="s">
        <v>68</v>
      </c>
      <c r="L634" s="20" t="s">
        <v>27</v>
      </c>
      <c r="M634" s="21">
        <f t="shared" si="1"/>
        <v>1</v>
      </c>
      <c r="N634" s="2">
        <v>4.53</v>
      </c>
      <c r="O634" s="2">
        <v>19.0</v>
      </c>
      <c r="P634" s="2">
        <v>90.52</v>
      </c>
      <c r="Q634" s="2">
        <v>87222.0</v>
      </c>
      <c r="R634" s="15" t="b">
        <f>ISNUMBER(MATCH(Q634,'Returned order'!A:A,0))</f>
        <v>0</v>
      </c>
      <c r="S634" s="22">
        <v>42177.0</v>
      </c>
      <c r="T634" s="15"/>
      <c r="U634" s="15"/>
      <c r="V634" s="15"/>
    </row>
    <row r="635">
      <c r="A635" s="2">
        <v>26378.0</v>
      </c>
      <c r="B635" s="1" t="s">
        <v>170</v>
      </c>
      <c r="C635" s="2">
        <v>0.06</v>
      </c>
      <c r="D635" s="2">
        <v>4.2</v>
      </c>
      <c r="E635" s="2">
        <v>1128.0</v>
      </c>
      <c r="F635" s="1" t="s">
        <v>946</v>
      </c>
      <c r="G635" s="1" t="s">
        <v>22</v>
      </c>
      <c r="H635" s="1" t="s">
        <v>23</v>
      </c>
      <c r="I635" s="1" t="s">
        <v>93</v>
      </c>
      <c r="J635" s="1" t="s">
        <v>947</v>
      </c>
      <c r="K635" s="19" t="s">
        <v>68</v>
      </c>
      <c r="L635" s="20" t="s">
        <v>27</v>
      </c>
      <c r="M635" s="21">
        <f t="shared" si="1"/>
        <v>1</v>
      </c>
      <c r="N635" s="2">
        <v>9.78</v>
      </c>
      <c r="O635" s="2">
        <v>13.0</v>
      </c>
      <c r="P635" s="2">
        <v>55.97</v>
      </c>
      <c r="Q635" s="2">
        <v>87222.0</v>
      </c>
      <c r="R635" s="15" t="b">
        <f>ISNUMBER(MATCH(Q635,'Returned order'!A:A,0))</f>
        <v>0</v>
      </c>
      <c r="S635" s="22">
        <v>42177.0</v>
      </c>
      <c r="T635" s="15"/>
      <c r="U635" s="15"/>
      <c r="V635" s="15"/>
    </row>
    <row r="636">
      <c r="A636" s="2">
        <v>4501.0</v>
      </c>
      <c r="B636" s="1" t="s">
        <v>170</v>
      </c>
      <c r="C636" s="2">
        <v>0.04</v>
      </c>
      <c r="D636" s="2">
        <v>8.6</v>
      </c>
      <c r="E636" s="2">
        <v>1129.0</v>
      </c>
      <c r="F636" s="1" t="s">
        <v>134</v>
      </c>
      <c r="G636" s="1" t="s">
        <v>51</v>
      </c>
      <c r="H636" s="1" t="s">
        <v>23</v>
      </c>
      <c r="I636" s="1" t="s">
        <v>24</v>
      </c>
      <c r="J636" s="1" t="s">
        <v>135</v>
      </c>
      <c r="K636" s="19" t="s">
        <v>26</v>
      </c>
      <c r="L636" s="20" t="s">
        <v>27</v>
      </c>
      <c r="M636" s="21">
        <f t="shared" si="1"/>
        <v>1</v>
      </c>
      <c r="N636" s="2">
        <v>-63.8135</v>
      </c>
      <c r="O636" s="2">
        <v>37.0</v>
      </c>
      <c r="P636" s="2">
        <v>311.66</v>
      </c>
      <c r="Q636" s="2">
        <v>32037.0</v>
      </c>
      <c r="R636" s="15" t="b">
        <f>ISNUMBER(MATCH(Q636,'Returned order'!A:A,0))</f>
        <v>0</v>
      </c>
      <c r="S636" s="22">
        <v>42051.0</v>
      </c>
      <c r="T636" s="15"/>
      <c r="U636" s="15"/>
      <c r="V636" s="15"/>
    </row>
    <row r="637">
      <c r="A637" s="2">
        <v>4502.0</v>
      </c>
      <c r="B637" s="1" t="s">
        <v>170</v>
      </c>
      <c r="C637" s="2">
        <v>0.07</v>
      </c>
      <c r="D637" s="2">
        <v>699.99</v>
      </c>
      <c r="E637" s="2">
        <v>1129.0</v>
      </c>
      <c r="F637" s="1" t="s">
        <v>134</v>
      </c>
      <c r="G637" s="1" t="s">
        <v>51</v>
      </c>
      <c r="H637" s="1" t="s">
        <v>46</v>
      </c>
      <c r="I637" s="1" t="s">
        <v>138</v>
      </c>
      <c r="J637" s="1" t="s">
        <v>139</v>
      </c>
      <c r="K637" s="19" t="s">
        <v>26</v>
      </c>
      <c r="L637" s="20" t="s">
        <v>27</v>
      </c>
      <c r="M637" s="21">
        <f t="shared" si="1"/>
        <v>1</v>
      </c>
      <c r="N637" s="2">
        <v>325.29</v>
      </c>
      <c r="O637" s="2">
        <v>15.0</v>
      </c>
      <c r="P637" s="2">
        <v>9862.51</v>
      </c>
      <c r="Q637" s="2">
        <v>32037.0</v>
      </c>
      <c r="R637" s="15" t="b">
        <f>ISNUMBER(MATCH(Q637,'Returned order'!A:A,0))</f>
        <v>0</v>
      </c>
      <c r="S637" s="22">
        <v>42051.0</v>
      </c>
      <c r="T637" s="15"/>
      <c r="U637" s="15"/>
      <c r="V637" s="15"/>
    </row>
    <row r="638">
      <c r="A638" s="2">
        <v>6891.0</v>
      </c>
      <c r="B638" s="1" t="s">
        <v>49</v>
      </c>
      <c r="C638" s="2">
        <v>0.05</v>
      </c>
      <c r="D638" s="2">
        <v>5.78</v>
      </c>
      <c r="E638" s="2">
        <v>1129.0</v>
      </c>
      <c r="F638" s="1" t="s">
        <v>134</v>
      </c>
      <c r="G638" s="1" t="s">
        <v>32</v>
      </c>
      <c r="H638" s="1" t="s">
        <v>23</v>
      </c>
      <c r="I638" s="1" t="s">
        <v>93</v>
      </c>
      <c r="J638" s="1" t="s">
        <v>948</v>
      </c>
      <c r="K638" s="19" t="s">
        <v>26</v>
      </c>
      <c r="L638" s="20" t="s">
        <v>61</v>
      </c>
      <c r="M638" s="21">
        <f t="shared" si="1"/>
        <v>7</v>
      </c>
      <c r="N638" s="2">
        <v>-116.05</v>
      </c>
      <c r="O638" s="2">
        <v>29.0</v>
      </c>
      <c r="P638" s="2">
        <v>177.41</v>
      </c>
      <c r="Q638" s="2">
        <v>49125.0</v>
      </c>
      <c r="R638" s="15" t="b">
        <f>ISNUMBER(MATCH(Q638,'Returned order'!A:A,0))</f>
        <v>0</v>
      </c>
      <c r="S638" s="22">
        <v>42092.0</v>
      </c>
      <c r="T638" s="15"/>
      <c r="U638" s="15"/>
      <c r="V638" s="15"/>
    </row>
    <row r="639">
      <c r="A639" s="2">
        <v>1917.0</v>
      </c>
      <c r="B639" s="1" t="s">
        <v>63</v>
      </c>
      <c r="C639" s="2">
        <v>0.02</v>
      </c>
      <c r="D639" s="2">
        <v>7.64</v>
      </c>
      <c r="E639" s="2">
        <v>1129.0</v>
      </c>
      <c r="F639" s="1" t="s">
        <v>134</v>
      </c>
      <c r="G639" s="1" t="s">
        <v>51</v>
      </c>
      <c r="H639" s="1" t="s">
        <v>23</v>
      </c>
      <c r="I639" s="1" t="s">
        <v>88</v>
      </c>
      <c r="J639" s="1" t="s">
        <v>949</v>
      </c>
      <c r="K639" s="19" t="s">
        <v>26</v>
      </c>
      <c r="L639" s="20" t="s">
        <v>70</v>
      </c>
      <c r="M639" s="21">
        <f t="shared" si="1"/>
        <v>4</v>
      </c>
      <c r="N639" s="2">
        <v>117.38</v>
      </c>
      <c r="O639" s="2">
        <v>52.0</v>
      </c>
      <c r="P639" s="2">
        <v>406.91</v>
      </c>
      <c r="Q639" s="2">
        <v>13735.0</v>
      </c>
      <c r="R639" s="15" t="b">
        <f>ISNUMBER(MATCH(Q639,'Returned order'!A:A,0))</f>
        <v>0</v>
      </c>
      <c r="S639" s="22">
        <v>42145.0</v>
      </c>
      <c r="T639" s="15"/>
      <c r="U639" s="15"/>
      <c r="V639" s="15"/>
    </row>
    <row r="640">
      <c r="A640" s="2">
        <v>5568.0</v>
      </c>
      <c r="B640" s="1" t="s">
        <v>170</v>
      </c>
      <c r="C640" s="2">
        <v>0.03</v>
      </c>
      <c r="D640" s="2">
        <v>30.98</v>
      </c>
      <c r="E640" s="2">
        <v>1129.0</v>
      </c>
      <c r="F640" s="1" t="s">
        <v>134</v>
      </c>
      <c r="G640" s="1" t="s">
        <v>32</v>
      </c>
      <c r="H640" s="1" t="s">
        <v>46</v>
      </c>
      <c r="I640" s="1" t="s">
        <v>47</v>
      </c>
      <c r="J640" s="1" t="s">
        <v>950</v>
      </c>
      <c r="K640" s="19" t="s">
        <v>26</v>
      </c>
      <c r="L640" s="20" t="s">
        <v>53</v>
      </c>
      <c r="M640" s="21">
        <f t="shared" si="1"/>
        <v>6</v>
      </c>
      <c r="N640" s="2">
        <v>-144.2</v>
      </c>
      <c r="O640" s="2">
        <v>44.0</v>
      </c>
      <c r="P640" s="2">
        <v>1332.09</v>
      </c>
      <c r="Q640" s="2">
        <v>39430.0</v>
      </c>
      <c r="R640" s="15" t="b">
        <f>ISNUMBER(MATCH(Q640,'Returned order'!A:A,0))</f>
        <v>0</v>
      </c>
      <c r="S640" s="22">
        <v>42168.0</v>
      </c>
      <c r="T640" s="15"/>
      <c r="U640" s="15"/>
      <c r="V640" s="15"/>
    </row>
    <row r="641">
      <c r="A641" s="2">
        <v>8099.0</v>
      </c>
      <c r="B641" s="1" t="s">
        <v>170</v>
      </c>
      <c r="C641" s="2">
        <v>0.02</v>
      </c>
      <c r="D641" s="2">
        <v>4.98</v>
      </c>
      <c r="E641" s="2">
        <v>1129.0</v>
      </c>
      <c r="F641" s="1" t="s">
        <v>134</v>
      </c>
      <c r="G641" s="1" t="s">
        <v>51</v>
      </c>
      <c r="H641" s="1" t="s">
        <v>23</v>
      </c>
      <c r="I641" s="1" t="s">
        <v>93</v>
      </c>
      <c r="J641" s="1" t="s">
        <v>140</v>
      </c>
      <c r="K641" s="19" t="s">
        <v>26</v>
      </c>
      <c r="L641" s="20" t="s">
        <v>27</v>
      </c>
      <c r="M641" s="21">
        <f t="shared" si="1"/>
        <v>1</v>
      </c>
      <c r="N641" s="2">
        <v>-46.92</v>
      </c>
      <c r="O641" s="2">
        <v>19.0</v>
      </c>
      <c r="P641" s="2">
        <v>105.5</v>
      </c>
      <c r="Q641" s="2">
        <v>57794.0</v>
      </c>
      <c r="R641" s="15" t="b">
        <f>ISNUMBER(MATCH(Q641,'Returned order'!A:A,0))</f>
        <v>0</v>
      </c>
      <c r="S641" s="22">
        <v>42030.0</v>
      </c>
      <c r="T641" s="15"/>
      <c r="U641" s="15"/>
      <c r="V641" s="15"/>
    </row>
    <row r="642">
      <c r="A642" s="2">
        <v>19917.0</v>
      </c>
      <c r="B642" s="1" t="s">
        <v>63</v>
      </c>
      <c r="C642" s="2">
        <v>0.02</v>
      </c>
      <c r="D642" s="2">
        <v>7.64</v>
      </c>
      <c r="E642" s="2">
        <v>1131.0</v>
      </c>
      <c r="F642" s="1" t="s">
        <v>951</v>
      </c>
      <c r="G642" s="1" t="s">
        <v>51</v>
      </c>
      <c r="H642" s="1" t="s">
        <v>23</v>
      </c>
      <c r="I642" s="1" t="s">
        <v>88</v>
      </c>
      <c r="J642" s="1" t="s">
        <v>949</v>
      </c>
      <c r="K642" s="19" t="s">
        <v>68</v>
      </c>
      <c r="L642" s="20" t="s">
        <v>70</v>
      </c>
      <c r="M642" s="21">
        <f t="shared" si="1"/>
        <v>4</v>
      </c>
      <c r="N642" s="2">
        <v>70.1937</v>
      </c>
      <c r="O642" s="2">
        <v>13.0</v>
      </c>
      <c r="P642" s="2">
        <v>101.73</v>
      </c>
      <c r="Q642" s="2">
        <v>88103.0</v>
      </c>
      <c r="R642" s="15" t="b">
        <f>ISNUMBER(MATCH(Q642,'Returned order'!A:A,0))</f>
        <v>0</v>
      </c>
      <c r="S642" s="22">
        <v>42145.0</v>
      </c>
      <c r="T642" s="15"/>
      <c r="U642" s="15"/>
      <c r="V642" s="15"/>
    </row>
    <row r="643">
      <c r="A643" s="2">
        <v>23860.0</v>
      </c>
      <c r="B643" s="1" t="s">
        <v>63</v>
      </c>
      <c r="C643" s="2">
        <v>0.06</v>
      </c>
      <c r="D643" s="2">
        <v>6.37</v>
      </c>
      <c r="E643" s="2">
        <v>1132.0</v>
      </c>
      <c r="F643" s="1" t="s">
        <v>952</v>
      </c>
      <c r="G643" s="1" t="s">
        <v>32</v>
      </c>
      <c r="H643" s="1" t="s">
        <v>23</v>
      </c>
      <c r="I643" s="1" t="s">
        <v>24</v>
      </c>
      <c r="J643" s="1" t="s">
        <v>533</v>
      </c>
      <c r="K643" s="19" t="s">
        <v>68</v>
      </c>
      <c r="L643" s="20" t="s">
        <v>57</v>
      </c>
      <c r="M643" s="21">
        <f t="shared" si="1"/>
        <v>2</v>
      </c>
      <c r="N643" s="2">
        <v>-48.2195</v>
      </c>
      <c r="O643" s="2">
        <v>6.0</v>
      </c>
      <c r="P643" s="2">
        <v>37.7</v>
      </c>
      <c r="Q643" s="2">
        <v>88101.0</v>
      </c>
      <c r="R643" s="15" t="b">
        <f>ISNUMBER(MATCH(Q643,'Returned order'!A:A,0))</f>
        <v>0</v>
      </c>
      <c r="S643" s="22">
        <v>42045.0</v>
      </c>
      <c r="T643" s="15"/>
      <c r="U643" s="15"/>
      <c r="V643" s="15"/>
    </row>
    <row r="644">
      <c r="A644" s="2">
        <v>22501.0</v>
      </c>
      <c r="B644" s="1" t="s">
        <v>170</v>
      </c>
      <c r="C644" s="2">
        <v>0.04</v>
      </c>
      <c r="D644" s="2">
        <v>8.6</v>
      </c>
      <c r="E644" s="2">
        <v>1132.0</v>
      </c>
      <c r="F644" s="1" t="s">
        <v>952</v>
      </c>
      <c r="G644" s="1" t="s">
        <v>51</v>
      </c>
      <c r="H644" s="1" t="s">
        <v>23</v>
      </c>
      <c r="I644" s="1" t="s">
        <v>24</v>
      </c>
      <c r="J644" s="1" t="s">
        <v>135</v>
      </c>
      <c r="K644" s="19" t="s">
        <v>68</v>
      </c>
      <c r="L644" s="20" t="s">
        <v>27</v>
      </c>
      <c r="M644" s="21">
        <f t="shared" si="1"/>
        <v>1</v>
      </c>
      <c r="N644" s="2">
        <v>-63.8135</v>
      </c>
      <c r="O644" s="2">
        <v>9.0</v>
      </c>
      <c r="P644" s="2">
        <v>75.81</v>
      </c>
      <c r="Q644" s="2">
        <v>88102.0</v>
      </c>
      <c r="R644" s="15" t="b">
        <f>ISNUMBER(MATCH(Q644,'Returned order'!A:A,0))</f>
        <v>0</v>
      </c>
      <c r="S644" s="22">
        <v>42051.0</v>
      </c>
      <c r="T644" s="15"/>
      <c r="U644" s="15"/>
      <c r="V644" s="15"/>
    </row>
    <row r="645">
      <c r="A645" s="2">
        <v>22502.0</v>
      </c>
      <c r="B645" s="1" t="s">
        <v>170</v>
      </c>
      <c r="C645" s="2">
        <v>0.07</v>
      </c>
      <c r="D645" s="2">
        <v>699.99</v>
      </c>
      <c r="E645" s="2">
        <v>1132.0</v>
      </c>
      <c r="F645" s="1" t="s">
        <v>952</v>
      </c>
      <c r="G645" s="1" t="s">
        <v>51</v>
      </c>
      <c r="H645" s="1" t="s">
        <v>46</v>
      </c>
      <c r="I645" s="1" t="s">
        <v>138</v>
      </c>
      <c r="J645" s="1" t="s">
        <v>139</v>
      </c>
      <c r="K645" s="19" t="s">
        <v>68</v>
      </c>
      <c r="L645" s="20" t="s">
        <v>27</v>
      </c>
      <c r="M645" s="21">
        <f t="shared" si="1"/>
        <v>1</v>
      </c>
      <c r="N645" s="2">
        <v>325.29</v>
      </c>
      <c r="O645" s="2">
        <v>4.0</v>
      </c>
      <c r="P645" s="2">
        <v>2630.0</v>
      </c>
      <c r="Q645" s="2">
        <v>88102.0</v>
      </c>
      <c r="R645" s="15" t="b">
        <f>ISNUMBER(MATCH(Q645,'Returned order'!A:A,0))</f>
        <v>0</v>
      </c>
      <c r="S645" s="22">
        <v>42051.0</v>
      </c>
      <c r="T645" s="15"/>
      <c r="U645" s="15"/>
      <c r="V645" s="15"/>
    </row>
    <row r="646">
      <c r="A646" s="2">
        <v>23568.0</v>
      </c>
      <c r="B646" s="1" t="s">
        <v>170</v>
      </c>
      <c r="C646" s="2">
        <v>0.03</v>
      </c>
      <c r="D646" s="2">
        <v>30.98</v>
      </c>
      <c r="E646" s="2">
        <v>1132.0</v>
      </c>
      <c r="F646" s="1" t="s">
        <v>952</v>
      </c>
      <c r="G646" s="1" t="s">
        <v>32</v>
      </c>
      <c r="H646" s="1" t="s">
        <v>46</v>
      </c>
      <c r="I646" s="1" t="s">
        <v>47</v>
      </c>
      <c r="J646" s="1" t="s">
        <v>950</v>
      </c>
      <c r="K646" s="19" t="s">
        <v>68</v>
      </c>
      <c r="L646" s="20" t="s">
        <v>53</v>
      </c>
      <c r="M646" s="21">
        <f t="shared" si="1"/>
        <v>6</v>
      </c>
      <c r="N646" s="2">
        <v>-115.36</v>
      </c>
      <c r="O646" s="2">
        <v>11.0</v>
      </c>
      <c r="P646" s="2">
        <v>333.02</v>
      </c>
      <c r="Q646" s="2">
        <v>88104.0</v>
      </c>
      <c r="R646" s="15" t="b">
        <f>ISNUMBER(MATCH(Q646,'Returned order'!A:A,0))</f>
        <v>0</v>
      </c>
      <c r="S646" s="22">
        <v>42168.0</v>
      </c>
      <c r="T646" s="15"/>
      <c r="U646" s="15"/>
      <c r="V646" s="15"/>
    </row>
    <row r="647">
      <c r="A647" s="2">
        <v>26099.0</v>
      </c>
      <c r="B647" s="1" t="s">
        <v>170</v>
      </c>
      <c r="C647" s="2">
        <v>0.02</v>
      </c>
      <c r="D647" s="2">
        <v>4.98</v>
      </c>
      <c r="E647" s="2">
        <v>1133.0</v>
      </c>
      <c r="F647" s="1" t="s">
        <v>953</v>
      </c>
      <c r="G647" s="1" t="s">
        <v>51</v>
      </c>
      <c r="H647" s="1" t="s">
        <v>23</v>
      </c>
      <c r="I647" s="1" t="s">
        <v>93</v>
      </c>
      <c r="J647" s="1" t="s">
        <v>140</v>
      </c>
      <c r="K647" s="19" t="s">
        <v>68</v>
      </c>
      <c r="L647" s="20" t="s">
        <v>27</v>
      </c>
      <c r="M647" s="21">
        <f t="shared" si="1"/>
        <v>1</v>
      </c>
      <c r="N647" s="2">
        <v>-46.92</v>
      </c>
      <c r="O647" s="2">
        <v>5.0</v>
      </c>
      <c r="P647" s="2">
        <v>27.76</v>
      </c>
      <c r="Q647" s="2">
        <v>88105.0</v>
      </c>
      <c r="R647" s="15" t="b">
        <f>ISNUMBER(MATCH(Q647,'Returned order'!A:A,0))</f>
        <v>0</v>
      </c>
      <c r="S647" s="22">
        <v>42030.0</v>
      </c>
      <c r="T647" s="15"/>
      <c r="U647" s="15"/>
      <c r="V647" s="15"/>
    </row>
    <row r="648">
      <c r="A648" s="2">
        <v>22119.0</v>
      </c>
      <c r="B648" s="1" t="s">
        <v>28</v>
      </c>
      <c r="C648" s="2">
        <v>0.09</v>
      </c>
      <c r="D648" s="2">
        <v>270.97</v>
      </c>
      <c r="E648" s="2">
        <v>1136.0</v>
      </c>
      <c r="F648" s="1" t="s">
        <v>954</v>
      </c>
      <c r="G648" s="1" t="s">
        <v>22</v>
      </c>
      <c r="H648" s="1" t="s">
        <v>46</v>
      </c>
      <c r="I648" s="1" t="s">
        <v>103</v>
      </c>
      <c r="J648" s="1" t="s">
        <v>955</v>
      </c>
      <c r="K648" s="19" t="s">
        <v>68</v>
      </c>
      <c r="L648" s="20" t="s">
        <v>76</v>
      </c>
      <c r="M648" s="21">
        <f t="shared" si="1"/>
        <v>5</v>
      </c>
      <c r="N648" s="2">
        <v>2660.1432</v>
      </c>
      <c r="O648" s="2">
        <v>15.0</v>
      </c>
      <c r="P648" s="2">
        <v>3855.28</v>
      </c>
      <c r="Q648" s="2">
        <v>87940.0</v>
      </c>
      <c r="R648" s="15" t="b">
        <f>ISNUMBER(MATCH(Q648,'Returned order'!A:A,0))</f>
        <v>0</v>
      </c>
      <c r="S648" s="22">
        <v>42006.0</v>
      </c>
      <c r="T648" s="15"/>
      <c r="U648" s="15"/>
      <c r="V648" s="15"/>
    </row>
    <row r="649">
      <c r="A649" s="2">
        <v>19357.0</v>
      </c>
      <c r="B649" s="1" t="s">
        <v>63</v>
      </c>
      <c r="C649" s="2">
        <v>0.02</v>
      </c>
      <c r="D649" s="2">
        <v>160.98</v>
      </c>
      <c r="E649" s="2">
        <v>1138.0</v>
      </c>
      <c r="F649" s="1" t="s">
        <v>956</v>
      </c>
      <c r="G649" s="1" t="s">
        <v>51</v>
      </c>
      <c r="H649" s="1" t="s">
        <v>37</v>
      </c>
      <c r="I649" s="1" t="s">
        <v>38</v>
      </c>
      <c r="J649" s="1" t="s">
        <v>260</v>
      </c>
      <c r="K649" s="19" t="s">
        <v>68</v>
      </c>
      <c r="L649" s="20" t="s">
        <v>27</v>
      </c>
      <c r="M649" s="21">
        <f t="shared" si="1"/>
        <v>1</v>
      </c>
      <c r="N649" s="2">
        <v>-51.116</v>
      </c>
      <c r="O649" s="2">
        <v>1.0</v>
      </c>
      <c r="P649" s="2">
        <v>192.49</v>
      </c>
      <c r="Q649" s="2">
        <v>86574.0</v>
      </c>
      <c r="R649" s="15" t="b">
        <f>ISNUMBER(MATCH(Q649,'Returned order'!A:A,0))</f>
        <v>0</v>
      </c>
      <c r="S649" s="22">
        <v>42051.0</v>
      </c>
      <c r="T649" s="15"/>
      <c r="U649" s="15"/>
      <c r="V649" s="15"/>
    </row>
    <row r="650">
      <c r="A650" s="2">
        <v>25467.0</v>
      </c>
      <c r="B650" s="1" t="s">
        <v>63</v>
      </c>
      <c r="C650" s="2">
        <v>0.05</v>
      </c>
      <c r="D650" s="2">
        <v>363.25</v>
      </c>
      <c r="E650" s="2">
        <v>1142.0</v>
      </c>
      <c r="F650" s="1" t="s">
        <v>957</v>
      </c>
      <c r="G650" s="1" t="s">
        <v>51</v>
      </c>
      <c r="H650" s="1" t="s">
        <v>23</v>
      </c>
      <c r="I650" s="1" t="s">
        <v>151</v>
      </c>
      <c r="J650" s="1" t="s">
        <v>958</v>
      </c>
      <c r="K650" s="19" t="s">
        <v>68</v>
      </c>
      <c r="L650" s="20" t="s">
        <v>61</v>
      </c>
      <c r="M650" s="21">
        <f t="shared" si="1"/>
        <v>7</v>
      </c>
      <c r="N650" s="2">
        <v>1766.7795</v>
      </c>
      <c r="O650" s="2">
        <v>7.0</v>
      </c>
      <c r="P650" s="2">
        <v>2560.55</v>
      </c>
      <c r="Q650" s="2">
        <v>86573.0</v>
      </c>
      <c r="R650" s="15" t="b">
        <f>ISNUMBER(MATCH(Q650,'Returned order'!A:A,0))</f>
        <v>0</v>
      </c>
      <c r="S650" s="22">
        <v>42008.0</v>
      </c>
      <c r="T650" s="15"/>
      <c r="U650" s="15"/>
      <c r="V650" s="15"/>
    </row>
    <row r="651">
      <c r="A651" s="2">
        <v>24539.0</v>
      </c>
      <c r="B651" s="1" t="s">
        <v>63</v>
      </c>
      <c r="C651" s="2">
        <v>0.01</v>
      </c>
      <c r="D651" s="2">
        <v>18.97</v>
      </c>
      <c r="E651" s="2">
        <v>1142.0</v>
      </c>
      <c r="F651" s="1" t="s">
        <v>957</v>
      </c>
      <c r="G651" s="1" t="s">
        <v>51</v>
      </c>
      <c r="H651" s="1" t="s">
        <v>23</v>
      </c>
      <c r="I651" s="1" t="s">
        <v>93</v>
      </c>
      <c r="J651" s="1" t="s">
        <v>277</v>
      </c>
      <c r="K651" s="19" t="s">
        <v>68</v>
      </c>
      <c r="L651" s="20" t="s">
        <v>53</v>
      </c>
      <c r="M651" s="21">
        <f t="shared" si="1"/>
        <v>6</v>
      </c>
      <c r="N651" s="2">
        <v>85.875</v>
      </c>
      <c r="O651" s="2">
        <v>11.0</v>
      </c>
      <c r="P651" s="2">
        <v>227.67</v>
      </c>
      <c r="Q651" s="2">
        <v>86575.0</v>
      </c>
      <c r="R651" s="15" t="b">
        <f>ISNUMBER(MATCH(Q651,'Returned order'!A:A,0))</f>
        <v>0</v>
      </c>
      <c r="S651" s="22">
        <v>42161.0</v>
      </c>
      <c r="T651" s="15"/>
      <c r="U651" s="15"/>
      <c r="V651" s="15"/>
    </row>
    <row r="652">
      <c r="A652" s="2">
        <v>25179.0</v>
      </c>
      <c r="B652" s="1" t="s">
        <v>170</v>
      </c>
      <c r="C652" s="2">
        <v>0.05</v>
      </c>
      <c r="D652" s="2">
        <v>7.59</v>
      </c>
      <c r="E652" s="2">
        <v>1151.0</v>
      </c>
      <c r="F652" s="1" t="s">
        <v>959</v>
      </c>
      <c r="G652" s="1" t="s">
        <v>32</v>
      </c>
      <c r="H652" s="1" t="s">
        <v>37</v>
      </c>
      <c r="I652" s="1" t="s">
        <v>42</v>
      </c>
      <c r="J652" s="1" t="s">
        <v>413</v>
      </c>
      <c r="K652" s="19" t="s">
        <v>26</v>
      </c>
      <c r="L652" s="20" t="s">
        <v>57</v>
      </c>
      <c r="M652" s="21">
        <f t="shared" si="1"/>
        <v>2</v>
      </c>
      <c r="N652" s="2">
        <v>6.0927</v>
      </c>
      <c r="O652" s="2">
        <v>1.0</v>
      </c>
      <c r="P652" s="2">
        <v>8.83</v>
      </c>
      <c r="Q652" s="2">
        <v>91344.0</v>
      </c>
      <c r="R652" s="15" t="b">
        <f>ISNUMBER(MATCH(Q652,'Returned order'!A:A,0))</f>
        <v>0</v>
      </c>
      <c r="S652" s="22">
        <v>42164.0</v>
      </c>
      <c r="T652" s="15"/>
      <c r="U652" s="15"/>
      <c r="V652" s="15"/>
    </row>
    <row r="653">
      <c r="A653" s="2">
        <v>24224.0</v>
      </c>
      <c r="B653" s="1" t="s">
        <v>58</v>
      </c>
      <c r="C653" s="2">
        <v>0.09</v>
      </c>
      <c r="D653" s="2">
        <v>9.11</v>
      </c>
      <c r="E653" s="2">
        <v>1155.0</v>
      </c>
      <c r="F653" s="1" t="s">
        <v>960</v>
      </c>
      <c r="G653" s="1" t="s">
        <v>22</v>
      </c>
      <c r="H653" s="1" t="s">
        <v>23</v>
      </c>
      <c r="I653" s="1" t="s">
        <v>93</v>
      </c>
      <c r="J653" s="1" t="s">
        <v>961</v>
      </c>
      <c r="K653" s="19" t="s">
        <v>34</v>
      </c>
      <c r="L653" s="20" t="s">
        <v>76</v>
      </c>
      <c r="M653" s="21">
        <f t="shared" si="1"/>
        <v>5</v>
      </c>
      <c r="N653" s="2">
        <v>20.2996</v>
      </c>
      <c r="O653" s="2">
        <v>4.0</v>
      </c>
      <c r="P653" s="2">
        <v>34.41</v>
      </c>
      <c r="Q653" s="2">
        <v>90853.0</v>
      </c>
      <c r="R653" s="15" t="b">
        <f>ISNUMBER(MATCH(Q653,'Returned order'!A:A,0))</f>
        <v>0</v>
      </c>
      <c r="S653" s="22">
        <v>42006.0</v>
      </c>
      <c r="T653" s="15"/>
      <c r="U653" s="15"/>
      <c r="V653" s="15"/>
    </row>
    <row r="654">
      <c r="A654" s="2">
        <v>24225.0</v>
      </c>
      <c r="B654" s="1" t="s">
        <v>58</v>
      </c>
      <c r="C654" s="2">
        <v>0.08</v>
      </c>
      <c r="D654" s="2">
        <v>15.04</v>
      </c>
      <c r="E654" s="2">
        <v>1155.0</v>
      </c>
      <c r="F654" s="1" t="s">
        <v>960</v>
      </c>
      <c r="G654" s="1" t="s">
        <v>22</v>
      </c>
      <c r="H654" s="1" t="s">
        <v>23</v>
      </c>
      <c r="I654" s="1" t="s">
        <v>93</v>
      </c>
      <c r="J654" s="1" t="s">
        <v>559</v>
      </c>
      <c r="K654" s="19" t="s">
        <v>34</v>
      </c>
      <c r="L654" s="20" t="s">
        <v>76</v>
      </c>
      <c r="M654" s="21">
        <f t="shared" si="1"/>
        <v>5</v>
      </c>
      <c r="N654" s="2">
        <v>108.5163</v>
      </c>
      <c r="O654" s="2">
        <v>11.0</v>
      </c>
      <c r="P654" s="2">
        <v>157.27</v>
      </c>
      <c r="Q654" s="2">
        <v>90853.0</v>
      </c>
      <c r="R654" s="15" t="b">
        <f>ISNUMBER(MATCH(Q654,'Returned order'!A:A,0))</f>
        <v>0</v>
      </c>
      <c r="S654" s="22">
        <v>42006.0</v>
      </c>
      <c r="T654" s="15"/>
      <c r="U654" s="15"/>
      <c r="V654" s="15"/>
    </row>
    <row r="655">
      <c r="A655" s="2">
        <v>20212.0</v>
      </c>
      <c r="B655" s="1" t="s">
        <v>28</v>
      </c>
      <c r="C655" s="2">
        <v>0.06</v>
      </c>
      <c r="D655" s="2">
        <v>175.99</v>
      </c>
      <c r="E655" s="2">
        <v>1156.0</v>
      </c>
      <c r="F655" s="1" t="s">
        <v>962</v>
      </c>
      <c r="G655" s="1" t="s">
        <v>22</v>
      </c>
      <c r="H655" s="1" t="s">
        <v>46</v>
      </c>
      <c r="I655" s="1" t="s">
        <v>85</v>
      </c>
      <c r="J655" s="1">
        <v>2180.0</v>
      </c>
      <c r="K655" s="19" t="s">
        <v>26</v>
      </c>
      <c r="L655" s="20" t="s">
        <v>53</v>
      </c>
      <c r="M655" s="21">
        <f t="shared" si="1"/>
        <v>6</v>
      </c>
      <c r="N655" s="2">
        <v>48.47148</v>
      </c>
      <c r="O655" s="2">
        <v>7.0</v>
      </c>
      <c r="P655" s="2">
        <v>1013.84</v>
      </c>
      <c r="Q655" s="2">
        <v>90855.0</v>
      </c>
      <c r="R655" s="15" t="b">
        <f>ISNUMBER(MATCH(Q655,'Returned order'!A:A,0))</f>
        <v>0</v>
      </c>
      <c r="S655" s="22">
        <v>42049.0</v>
      </c>
      <c r="T655" s="15"/>
      <c r="U655" s="15"/>
      <c r="V655" s="15"/>
    </row>
    <row r="656">
      <c r="A656" s="2">
        <v>20897.0</v>
      </c>
      <c r="B656" s="1" t="s">
        <v>28</v>
      </c>
      <c r="C656" s="2">
        <v>0.04</v>
      </c>
      <c r="D656" s="2">
        <v>100.98</v>
      </c>
      <c r="E656" s="2">
        <v>1159.0</v>
      </c>
      <c r="F656" s="1" t="s">
        <v>963</v>
      </c>
      <c r="G656" s="1" t="s">
        <v>22</v>
      </c>
      <c r="H656" s="1" t="s">
        <v>37</v>
      </c>
      <c r="I656" s="1" t="s">
        <v>55</v>
      </c>
      <c r="J656" s="1" t="s">
        <v>298</v>
      </c>
      <c r="K656" s="19" t="s">
        <v>26</v>
      </c>
      <c r="L656" s="20" t="s">
        <v>35</v>
      </c>
      <c r="M656" s="21">
        <f t="shared" si="1"/>
        <v>3</v>
      </c>
      <c r="N656" s="2">
        <v>-152.76</v>
      </c>
      <c r="O656" s="2">
        <v>1.0</v>
      </c>
      <c r="P656" s="2">
        <v>110.75</v>
      </c>
      <c r="Q656" s="2">
        <v>90854.0</v>
      </c>
      <c r="R656" s="15" t="b">
        <f>ISNUMBER(MATCH(Q656,'Returned order'!A:A,0))</f>
        <v>0</v>
      </c>
      <c r="S656" s="22">
        <v>42144.0</v>
      </c>
      <c r="T656" s="15"/>
      <c r="U656" s="15"/>
      <c r="V656" s="15"/>
    </row>
    <row r="657">
      <c r="A657" s="2">
        <v>18860.0</v>
      </c>
      <c r="B657" s="1" t="s">
        <v>49</v>
      </c>
      <c r="C657" s="2">
        <v>0.09</v>
      </c>
      <c r="D657" s="2">
        <v>9.78</v>
      </c>
      <c r="E657" s="2">
        <v>1170.0</v>
      </c>
      <c r="F657" s="1" t="s">
        <v>964</v>
      </c>
      <c r="G657" s="1" t="s">
        <v>22</v>
      </c>
      <c r="H657" s="1" t="s">
        <v>23</v>
      </c>
      <c r="I657" s="1" t="s">
        <v>88</v>
      </c>
      <c r="J657" s="1" t="s">
        <v>965</v>
      </c>
      <c r="K657" s="19" t="s">
        <v>26</v>
      </c>
      <c r="L657" s="20" t="s">
        <v>57</v>
      </c>
      <c r="M657" s="21">
        <f t="shared" si="1"/>
        <v>2</v>
      </c>
      <c r="N657" s="2">
        <v>125.2074</v>
      </c>
      <c r="O657" s="2">
        <v>19.0</v>
      </c>
      <c r="P657" s="2">
        <v>181.46</v>
      </c>
      <c r="Q657" s="2">
        <v>87520.0</v>
      </c>
      <c r="R657" s="15" t="b">
        <f>ISNUMBER(MATCH(Q657,'Returned order'!A:A,0))</f>
        <v>0</v>
      </c>
      <c r="S657" s="22">
        <v>42157.0</v>
      </c>
      <c r="T657" s="15"/>
      <c r="U657" s="15"/>
      <c r="V657" s="15"/>
    </row>
    <row r="658">
      <c r="A658" s="2">
        <v>18861.0</v>
      </c>
      <c r="B658" s="1" t="s">
        <v>49</v>
      </c>
      <c r="C658" s="2">
        <v>0.0</v>
      </c>
      <c r="D658" s="2">
        <v>200.99</v>
      </c>
      <c r="E658" s="2">
        <v>1170.0</v>
      </c>
      <c r="F658" s="1" t="s">
        <v>964</v>
      </c>
      <c r="G658" s="1" t="s">
        <v>22</v>
      </c>
      <c r="H658" s="1" t="s">
        <v>46</v>
      </c>
      <c r="I658" s="1" t="s">
        <v>85</v>
      </c>
      <c r="J658" s="1">
        <v>5125.0</v>
      </c>
      <c r="K658" s="19" t="s">
        <v>26</v>
      </c>
      <c r="L658" s="20" t="s">
        <v>57</v>
      </c>
      <c r="M658" s="21">
        <f t="shared" si="1"/>
        <v>2</v>
      </c>
      <c r="N658" s="2">
        <v>281.5344</v>
      </c>
      <c r="O658" s="2">
        <v>6.0</v>
      </c>
      <c r="P658" s="2">
        <v>1076.3</v>
      </c>
      <c r="Q658" s="2">
        <v>87520.0</v>
      </c>
      <c r="R658" s="15" t="b">
        <f>ISNUMBER(MATCH(Q658,'Returned order'!A:A,0))</f>
        <v>0</v>
      </c>
      <c r="S658" s="22">
        <v>42157.0</v>
      </c>
      <c r="T658" s="15"/>
      <c r="U658" s="15"/>
      <c r="V658" s="15"/>
    </row>
    <row r="659">
      <c r="A659" s="2">
        <v>19182.0</v>
      </c>
      <c r="B659" s="1" t="s">
        <v>28</v>
      </c>
      <c r="C659" s="2">
        <v>0.03</v>
      </c>
      <c r="D659" s="2">
        <v>4.48</v>
      </c>
      <c r="E659" s="2">
        <v>1178.0</v>
      </c>
      <c r="F659" s="1" t="s">
        <v>966</v>
      </c>
      <c r="G659" s="1" t="s">
        <v>22</v>
      </c>
      <c r="H659" s="1" t="s">
        <v>23</v>
      </c>
      <c r="I659" s="1" t="s">
        <v>151</v>
      </c>
      <c r="J659" s="1" t="s">
        <v>573</v>
      </c>
      <c r="K659" s="19" t="s">
        <v>229</v>
      </c>
      <c r="L659" s="20" t="s">
        <v>70</v>
      </c>
      <c r="M659" s="21">
        <f t="shared" si="1"/>
        <v>4</v>
      </c>
      <c r="N659" s="2">
        <v>64.266</v>
      </c>
      <c r="O659" s="2">
        <v>2.0</v>
      </c>
      <c r="P659" s="2">
        <v>21.46</v>
      </c>
      <c r="Q659" s="2">
        <v>89787.0</v>
      </c>
      <c r="R659" s="15" t="b">
        <f>ISNUMBER(MATCH(Q659,'Returned order'!A:A,0))</f>
        <v>0</v>
      </c>
      <c r="S659" s="22">
        <v>42103.0</v>
      </c>
      <c r="T659" s="15"/>
      <c r="U659" s="15"/>
      <c r="V659" s="15"/>
    </row>
    <row r="660">
      <c r="A660" s="2">
        <v>19183.0</v>
      </c>
      <c r="B660" s="1" t="s">
        <v>28</v>
      </c>
      <c r="C660" s="2">
        <v>0.06</v>
      </c>
      <c r="D660" s="2">
        <v>350.99</v>
      </c>
      <c r="E660" s="2">
        <v>1178.0</v>
      </c>
      <c r="F660" s="1" t="s">
        <v>966</v>
      </c>
      <c r="G660" s="1" t="s">
        <v>22</v>
      </c>
      <c r="H660" s="1" t="s">
        <v>37</v>
      </c>
      <c r="I660" s="1" t="s">
        <v>38</v>
      </c>
      <c r="J660" s="1" t="s">
        <v>967</v>
      </c>
      <c r="K660" s="19" t="s">
        <v>229</v>
      </c>
      <c r="L660" s="20" t="s">
        <v>70</v>
      </c>
      <c r="M660" s="21">
        <f t="shared" si="1"/>
        <v>4</v>
      </c>
      <c r="N660" s="2">
        <v>-302.6156</v>
      </c>
      <c r="O660" s="2">
        <v>10.0</v>
      </c>
      <c r="P660" s="2">
        <v>3506.78</v>
      </c>
      <c r="Q660" s="2">
        <v>89787.0</v>
      </c>
      <c r="R660" s="15" t="b">
        <f>ISNUMBER(MATCH(Q660,'Returned order'!A:A,0))</f>
        <v>0</v>
      </c>
      <c r="S660" s="22">
        <v>42103.0</v>
      </c>
      <c r="T660" s="15"/>
      <c r="U660" s="15"/>
      <c r="V660" s="15"/>
    </row>
    <row r="661">
      <c r="A661" s="2">
        <v>19184.0</v>
      </c>
      <c r="B661" s="1" t="s">
        <v>28</v>
      </c>
      <c r="C661" s="2">
        <v>0.09</v>
      </c>
      <c r="D661" s="2">
        <v>40.98</v>
      </c>
      <c r="E661" s="2">
        <v>1178.0</v>
      </c>
      <c r="F661" s="1" t="s">
        <v>966</v>
      </c>
      <c r="G661" s="1" t="s">
        <v>22</v>
      </c>
      <c r="H661" s="1" t="s">
        <v>46</v>
      </c>
      <c r="I661" s="1" t="s">
        <v>47</v>
      </c>
      <c r="J661" s="1" t="s">
        <v>968</v>
      </c>
      <c r="K661" s="19" t="s">
        <v>229</v>
      </c>
      <c r="L661" s="20" t="s">
        <v>70</v>
      </c>
      <c r="M661" s="21">
        <f t="shared" si="1"/>
        <v>4</v>
      </c>
      <c r="N661" s="2">
        <v>5.6916</v>
      </c>
      <c r="O661" s="2">
        <v>7.0</v>
      </c>
      <c r="P661" s="2">
        <v>267.69</v>
      </c>
      <c r="Q661" s="2">
        <v>89787.0</v>
      </c>
      <c r="R661" s="15" t="b">
        <f>ISNUMBER(MATCH(Q661,'Returned order'!A:A,0))</f>
        <v>0</v>
      </c>
      <c r="S661" s="22">
        <v>42103.0</v>
      </c>
      <c r="T661" s="15"/>
      <c r="U661" s="15"/>
      <c r="V661" s="15"/>
    </row>
    <row r="662">
      <c r="A662" s="2">
        <v>19185.0</v>
      </c>
      <c r="B662" s="1" t="s">
        <v>28</v>
      </c>
      <c r="C662" s="2">
        <v>0.09</v>
      </c>
      <c r="D662" s="2">
        <v>349.45</v>
      </c>
      <c r="E662" s="2">
        <v>1178.0</v>
      </c>
      <c r="F662" s="1" t="s">
        <v>966</v>
      </c>
      <c r="G662" s="1" t="s">
        <v>22</v>
      </c>
      <c r="H662" s="1" t="s">
        <v>37</v>
      </c>
      <c r="I662" s="1" t="s">
        <v>73</v>
      </c>
      <c r="J662" s="1" t="s">
        <v>787</v>
      </c>
      <c r="K662" s="19" t="s">
        <v>229</v>
      </c>
      <c r="L662" s="20" t="s">
        <v>70</v>
      </c>
      <c r="M662" s="21">
        <f t="shared" si="1"/>
        <v>4</v>
      </c>
      <c r="N662" s="2">
        <v>-369.11</v>
      </c>
      <c r="O662" s="2">
        <v>7.0</v>
      </c>
      <c r="P662" s="2">
        <v>2307.26</v>
      </c>
      <c r="Q662" s="2">
        <v>89787.0</v>
      </c>
      <c r="R662" s="15" t="b">
        <f>ISNUMBER(MATCH(Q662,'Returned order'!A:A,0))</f>
        <v>0</v>
      </c>
      <c r="S662" s="22">
        <v>42103.0</v>
      </c>
      <c r="T662" s="15"/>
      <c r="U662" s="15"/>
      <c r="V662" s="15"/>
    </row>
    <row r="663">
      <c r="A663" s="2">
        <v>19484.0</v>
      </c>
      <c r="B663" s="1" t="s">
        <v>28</v>
      </c>
      <c r="C663" s="2">
        <v>0.07</v>
      </c>
      <c r="D663" s="2">
        <v>2.61</v>
      </c>
      <c r="E663" s="2">
        <v>1182.0</v>
      </c>
      <c r="F663" s="1" t="s">
        <v>969</v>
      </c>
      <c r="G663" s="1" t="s">
        <v>51</v>
      </c>
      <c r="H663" s="1" t="s">
        <v>23</v>
      </c>
      <c r="I663" s="1" t="s">
        <v>130</v>
      </c>
      <c r="J663" s="1" t="s">
        <v>881</v>
      </c>
      <c r="K663" s="19" t="s">
        <v>34</v>
      </c>
      <c r="L663" s="20" t="s">
        <v>53</v>
      </c>
      <c r="M663" s="21">
        <f t="shared" si="1"/>
        <v>6</v>
      </c>
      <c r="N663" s="2">
        <v>27.0135</v>
      </c>
      <c r="O663" s="2">
        <v>15.0</v>
      </c>
      <c r="P663" s="2">
        <v>39.15</v>
      </c>
      <c r="Q663" s="2">
        <v>86913.0</v>
      </c>
      <c r="R663" s="15" t="b">
        <f>ISNUMBER(MATCH(Q663,'Returned order'!A:A,0))</f>
        <v>0</v>
      </c>
      <c r="S663" s="22">
        <v>42147.0</v>
      </c>
      <c r="T663" s="15"/>
      <c r="U663" s="15"/>
      <c r="V663" s="15"/>
    </row>
    <row r="664">
      <c r="A664" s="2">
        <v>21522.0</v>
      </c>
      <c r="B664" s="1" t="s">
        <v>49</v>
      </c>
      <c r="C664" s="2">
        <v>0.04</v>
      </c>
      <c r="D664" s="2">
        <v>35.99</v>
      </c>
      <c r="E664" s="2">
        <v>1183.0</v>
      </c>
      <c r="F664" s="1" t="s">
        <v>970</v>
      </c>
      <c r="G664" s="1" t="s">
        <v>51</v>
      </c>
      <c r="H664" s="1" t="s">
        <v>46</v>
      </c>
      <c r="I664" s="1" t="s">
        <v>85</v>
      </c>
      <c r="J664" s="1" t="s">
        <v>971</v>
      </c>
      <c r="K664" s="19" t="s">
        <v>34</v>
      </c>
      <c r="L664" s="20" t="s">
        <v>27</v>
      </c>
      <c r="M664" s="21">
        <f t="shared" si="1"/>
        <v>1</v>
      </c>
      <c r="N664" s="2">
        <v>184.1955</v>
      </c>
      <c r="O664" s="2">
        <v>9.0</v>
      </c>
      <c r="P664" s="2">
        <v>266.95</v>
      </c>
      <c r="Q664" s="2">
        <v>86914.0</v>
      </c>
      <c r="R664" s="15" t="b">
        <f>ISNUMBER(MATCH(Q664,'Returned order'!A:A,0))</f>
        <v>0</v>
      </c>
      <c r="S664" s="22">
        <v>42184.0</v>
      </c>
      <c r="T664" s="15"/>
      <c r="U664" s="15"/>
      <c r="V664" s="15"/>
    </row>
    <row r="665">
      <c r="A665" s="2">
        <v>22190.0</v>
      </c>
      <c r="B665" s="1" t="s">
        <v>63</v>
      </c>
      <c r="C665" s="2">
        <v>0.0</v>
      </c>
      <c r="D665" s="2">
        <v>6783.02</v>
      </c>
      <c r="E665" s="2">
        <v>1185.0</v>
      </c>
      <c r="F665" s="1" t="s">
        <v>972</v>
      </c>
      <c r="G665" s="1" t="s">
        <v>22</v>
      </c>
      <c r="H665" s="1" t="s">
        <v>46</v>
      </c>
      <c r="I665" s="1" t="s">
        <v>103</v>
      </c>
      <c r="J665" s="1" t="s">
        <v>973</v>
      </c>
      <c r="K665" s="19" t="s">
        <v>229</v>
      </c>
      <c r="L665" s="20" t="s">
        <v>53</v>
      </c>
      <c r="M665" s="21">
        <f t="shared" si="1"/>
        <v>6</v>
      </c>
      <c r="N665" s="2">
        <v>4.11</v>
      </c>
      <c r="O665" s="2">
        <v>3.0</v>
      </c>
      <c r="P665" s="2">
        <v>20552.55</v>
      </c>
      <c r="Q665" s="2">
        <v>85938.0</v>
      </c>
      <c r="R665" s="15" t="b">
        <f>ISNUMBER(MATCH(Q665,'Returned order'!A:A,0))</f>
        <v>0</v>
      </c>
      <c r="S665" s="22">
        <v>42084.0</v>
      </c>
      <c r="T665" s="15"/>
      <c r="U665" s="15"/>
      <c r="V665" s="15"/>
    </row>
    <row r="666">
      <c r="A666" s="2">
        <v>20764.0</v>
      </c>
      <c r="B666" s="1" t="s">
        <v>49</v>
      </c>
      <c r="C666" s="2">
        <v>0.08</v>
      </c>
      <c r="D666" s="2">
        <v>11.7</v>
      </c>
      <c r="E666" s="2">
        <v>1185.0</v>
      </c>
      <c r="F666" s="1" t="s">
        <v>972</v>
      </c>
      <c r="G666" s="1" t="s">
        <v>22</v>
      </c>
      <c r="H666" s="1" t="s">
        <v>23</v>
      </c>
      <c r="I666" s="1" t="s">
        <v>151</v>
      </c>
      <c r="J666" s="1" t="s">
        <v>974</v>
      </c>
      <c r="K666" s="19" t="s">
        <v>229</v>
      </c>
      <c r="L666" s="20" t="s">
        <v>76</v>
      </c>
      <c r="M666" s="21">
        <f t="shared" si="1"/>
        <v>5</v>
      </c>
      <c r="N666" s="2">
        <v>28.566</v>
      </c>
      <c r="O666" s="2">
        <v>8.0</v>
      </c>
      <c r="P666" s="2">
        <v>87.8</v>
      </c>
      <c r="Q666" s="2">
        <v>85940.0</v>
      </c>
      <c r="R666" s="15" t="b">
        <f>ISNUMBER(MATCH(Q666,'Returned order'!A:A,0))</f>
        <v>0</v>
      </c>
      <c r="S666" s="22">
        <v>42104.0</v>
      </c>
      <c r="T666" s="15"/>
      <c r="U666" s="15"/>
      <c r="V666" s="15"/>
    </row>
    <row r="667">
      <c r="A667" s="2">
        <v>24358.0</v>
      </c>
      <c r="B667" s="1" t="s">
        <v>58</v>
      </c>
      <c r="C667" s="2">
        <v>0.07</v>
      </c>
      <c r="D667" s="2">
        <v>400.97</v>
      </c>
      <c r="E667" s="2">
        <v>1186.0</v>
      </c>
      <c r="F667" s="1" t="s">
        <v>975</v>
      </c>
      <c r="G667" s="1" t="s">
        <v>22</v>
      </c>
      <c r="H667" s="1" t="s">
        <v>46</v>
      </c>
      <c r="I667" s="1" t="s">
        <v>103</v>
      </c>
      <c r="J667" s="1" t="s">
        <v>976</v>
      </c>
      <c r="K667" s="19" t="s">
        <v>34</v>
      </c>
      <c r="L667" s="20" t="s">
        <v>70</v>
      </c>
      <c r="M667" s="21">
        <f t="shared" si="1"/>
        <v>4</v>
      </c>
      <c r="N667" s="2">
        <v>2581.5591</v>
      </c>
      <c r="O667" s="2">
        <v>10.0</v>
      </c>
      <c r="P667" s="2">
        <v>3741.39</v>
      </c>
      <c r="Q667" s="2">
        <v>85939.0</v>
      </c>
      <c r="R667" s="15" t="b">
        <f>ISNUMBER(MATCH(Q667,'Returned order'!A:A,0))</f>
        <v>0</v>
      </c>
      <c r="S667" s="22">
        <v>42103.0</v>
      </c>
      <c r="T667" s="15"/>
      <c r="U667" s="15"/>
      <c r="V667" s="15"/>
    </row>
    <row r="668">
      <c r="A668" s="2">
        <v>18829.0</v>
      </c>
      <c r="B668" s="1" t="s">
        <v>170</v>
      </c>
      <c r="C668" s="2">
        <v>0.06</v>
      </c>
      <c r="D668" s="2">
        <v>10.89</v>
      </c>
      <c r="E668" s="2">
        <v>1189.0</v>
      </c>
      <c r="F668" s="1" t="s">
        <v>977</v>
      </c>
      <c r="G668" s="1" t="s">
        <v>22</v>
      </c>
      <c r="H668" s="1" t="s">
        <v>23</v>
      </c>
      <c r="I668" s="1" t="s">
        <v>151</v>
      </c>
      <c r="J668" s="1" t="s">
        <v>296</v>
      </c>
      <c r="K668" s="19" t="s">
        <v>34</v>
      </c>
      <c r="L668" s="20" t="s">
        <v>35</v>
      </c>
      <c r="M668" s="21">
        <f t="shared" si="1"/>
        <v>3</v>
      </c>
      <c r="N668" s="2">
        <v>-25.112</v>
      </c>
      <c r="O668" s="2">
        <v>14.0</v>
      </c>
      <c r="P668" s="2">
        <v>149.32</v>
      </c>
      <c r="Q668" s="2">
        <v>87584.0</v>
      </c>
      <c r="R668" s="15" t="b">
        <f>ISNUMBER(MATCH(Q668,'Returned order'!A:A,0))</f>
        <v>0</v>
      </c>
      <c r="S668" s="22">
        <v>42172.0</v>
      </c>
      <c r="T668" s="15"/>
      <c r="U668" s="15"/>
      <c r="V668" s="15"/>
    </row>
    <row r="669">
      <c r="A669" s="2">
        <v>18830.0</v>
      </c>
      <c r="B669" s="1" t="s">
        <v>170</v>
      </c>
      <c r="C669" s="2">
        <v>0.03</v>
      </c>
      <c r="D669" s="2">
        <v>10.64</v>
      </c>
      <c r="E669" s="2">
        <v>1189.0</v>
      </c>
      <c r="F669" s="1" t="s">
        <v>977</v>
      </c>
      <c r="G669" s="1" t="s">
        <v>22</v>
      </c>
      <c r="H669" s="1" t="s">
        <v>37</v>
      </c>
      <c r="I669" s="1" t="s">
        <v>42</v>
      </c>
      <c r="J669" s="1" t="s">
        <v>692</v>
      </c>
      <c r="K669" s="19" t="s">
        <v>34</v>
      </c>
      <c r="L669" s="20" t="s">
        <v>35</v>
      </c>
      <c r="M669" s="21">
        <f t="shared" si="1"/>
        <v>3</v>
      </c>
      <c r="N669" s="2">
        <v>17.376</v>
      </c>
      <c r="O669" s="2">
        <v>16.0</v>
      </c>
      <c r="P669" s="2">
        <v>177.01</v>
      </c>
      <c r="Q669" s="2">
        <v>87584.0</v>
      </c>
      <c r="R669" s="15" t="b">
        <f>ISNUMBER(MATCH(Q669,'Returned order'!A:A,0))</f>
        <v>0</v>
      </c>
      <c r="S669" s="22">
        <v>42172.0</v>
      </c>
      <c r="T669" s="15"/>
      <c r="U669" s="15"/>
      <c r="V669" s="15"/>
    </row>
    <row r="670">
      <c r="A670" s="2">
        <v>18831.0</v>
      </c>
      <c r="B670" s="1" t="s">
        <v>170</v>
      </c>
      <c r="C670" s="2">
        <v>0.03</v>
      </c>
      <c r="D670" s="2">
        <v>7.96</v>
      </c>
      <c r="E670" s="2">
        <v>1189.0</v>
      </c>
      <c r="F670" s="1" t="s">
        <v>977</v>
      </c>
      <c r="G670" s="1" t="s">
        <v>22</v>
      </c>
      <c r="H670" s="1" t="s">
        <v>37</v>
      </c>
      <c r="I670" s="1" t="s">
        <v>42</v>
      </c>
      <c r="J670" s="1" t="s">
        <v>978</v>
      </c>
      <c r="K670" s="19" t="s">
        <v>34</v>
      </c>
      <c r="L670" s="20" t="s">
        <v>35</v>
      </c>
      <c r="M670" s="21">
        <f t="shared" si="1"/>
        <v>3</v>
      </c>
      <c r="N670" s="2">
        <v>24.2604</v>
      </c>
      <c r="O670" s="2">
        <v>4.0</v>
      </c>
      <c r="P670" s="2">
        <v>35.16</v>
      </c>
      <c r="Q670" s="2">
        <v>87584.0</v>
      </c>
      <c r="R670" s="15" t="b">
        <f>ISNUMBER(MATCH(Q670,'Returned order'!A:A,0))</f>
        <v>0</v>
      </c>
      <c r="S670" s="22">
        <v>42172.0</v>
      </c>
      <c r="T670" s="15"/>
      <c r="U670" s="15"/>
      <c r="V670" s="15"/>
    </row>
    <row r="671">
      <c r="A671" s="2">
        <v>19553.0</v>
      </c>
      <c r="B671" s="1" t="s">
        <v>170</v>
      </c>
      <c r="C671" s="2">
        <v>0.03</v>
      </c>
      <c r="D671" s="2">
        <v>28.53</v>
      </c>
      <c r="E671" s="2">
        <v>1191.0</v>
      </c>
      <c r="F671" s="1" t="s">
        <v>979</v>
      </c>
      <c r="G671" s="1" t="s">
        <v>66</v>
      </c>
      <c r="H671" s="1" t="s">
        <v>23</v>
      </c>
      <c r="I671" s="1" t="s">
        <v>24</v>
      </c>
      <c r="J671" s="1" t="s">
        <v>341</v>
      </c>
      <c r="K671" s="19" t="s">
        <v>26</v>
      </c>
      <c r="L671" s="20" t="s">
        <v>61</v>
      </c>
      <c r="M671" s="21">
        <f t="shared" si="1"/>
        <v>7</v>
      </c>
      <c r="N671" s="2">
        <v>59.4405</v>
      </c>
      <c r="O671" s="2">
        <v>3.0</v>
      </c>
      <c r="P671" s="2">
        <v>88.84</v>
      </c>
      <c r="Q671" s="2">
        <v>87587.0</v>
      </c>
      <c r="R671" s="15" t="b">
        <f>ISNUMBER(MATCH(Q671,'Returned order'!A:A,0))</f>
        <v>0</v>
      </c>
      <c r="S671" s="22">
        <v>42183.0</v>
      </c>
      <c r="T671" s="15"/>
      <c r="U671" s="15"/>
      <c r="V671" s="15"/>
    </row>
    <row r="672">
      <c r="A672" s="2">
        <v>830.0</v>
      </c>
      <c r="B672" s="1" t="s">
        <v>170</v>
      </c>
      <c r="C672" s="2">
        <v>0.03</v>
      </c>
      <c r="D672" s="2">
        <v>10.64</v>
      </c>
      <c r="E672" s="2">
        <v>1193.0</v>
      </c>
      <c r="F672" s="1" t="s">
        <v>980</v>
      </c>
      <c r="G672" s="1" t="s">
        <v>22</v>
      </c>
      <c r="H672" s="1" t="s">
        <v>37</v>
      </c>
      <c r="I672" s="1" t="s">
        <v>42</v>
      </c>
      <c r="J672" s="1" t="s">
        <v>692</v>
      </c>
      <c r="K672" s="19" t="s">
        <v>26</v>
      </c>
      <c r="L672" s="20" t="s">
        <v>35</v>
      </c>
      <c r="M672" s="21">
        <f t="shared" si="1"/>
        <v>3</v>
      </c>
      <c r="N672" s="2">
        <v>14.48</v>
      </c>
      <c r="O672" s="2">
        <v>63.0</v>
      </c>
      <c r="P672" s="2">
        <v>696.96</v>
      </c>
      <c r="Q672" s="2">
        <v>5984.0</v>
      </c>
      <c r="R672" s="15" t="b">
        <f>ISNUMBER(MATCH(Q672,'Returned order'!A:A,0))</f>
        <v>0</v>
      </c>
      <c r="S672" s="22">
        <v>42172.0</v>
      </c>
      <c r="T672" s="15"/>
      <c r="U672" s="15"/>
      <c r="V672" s="15"/>
    </row>
    <row r="673">
      <c r="A673" s="2">
        <v>831.0</v>
      </c>
      <c r="B673" s="1" t="s">
        <v>170</v>
      </c>
      <c r="C673" s="2">
        <v>0.03</v>
      </c>
      <c r="D673" s="2">
        <v>7.96</v>
      </c>
      <c r="E673" s="2">
        <v>1193.0</v>
      </c>
      <c r="F673" s="1" t="s">
        <v>980</v>
      </c>
      <c r="G673" s="1" t="s">
        <v>22</v>
      </c>
      <c r="H673" s="1" t="s">
        <v>37</v>
      </c>
      <c r="I673" s="1" t="s">
        <v>42</v>
      </c>
      <c r="J673" s="1" t="s">
        <v>978</v>
      </c>
      <c r="K673" s="19" t="s">
        <v>26</v>
      </c>
      <c r="L673" s="20" t="s">
        <v>35</v>
      </c>
      <c r="M673" s="21">
        <f t="shared" si="1"/>
        <v>3</v>
      </c>
      <c r="N673" s="2">
        <v>22.25</v>
      </c>
      <c r="O673" s="2">
        <v>17.0</v>
      </c>
      <c r="P673" s="2">
        <v>149.41</v>
      </c>
      <c r="Q673" s="2">
        <v>5984.0</v>
      </c>
      <c r="R673" s="15" t="b">
        <f>ISNUMBER(MATCH(Q673,'Returned order'!A:A,0))</f>
        <v>0</v>
      </c>
      <c r="S673" s="22">
        <v>42172.0</v>
      </c>
      <c r="T673" s="15"/>
      <c r="U673" s="15"/>
      <c r="V673" s="15"/>
    </row>
    <row r="674">
      <c r="A674" s="2">
        <v>4131.0</v>
      </c>
      <c r="B674" s="1" t="s">
        <v>28</v>
      </c>
      <c r="C674" s="2">
        <v>0.05</v>
      </c>
      <c r="D674" s="2">
        <v>52.4</v>
      </c>
      <c r="E674" s="2">
        <v>1193.0</v>
      </c>
      <c r="F674" s="1" t="s">
        <v>980</v>
      </c>
      <c r="G674" s="1" t="s">
        <v>22</v>
      </c>
      <c r="H674" s="1" t="s">
        <v>23</v>
      </c>
      <c r="I674" s="1" t="s">
        <v>24</v>
      </c>
      <c r="J674" s="1" t="s">
        <v>981</v>
      </c>
      <c r="K674" s="19" t="s">
        <v>26</v>
      </c>
      <c r="L674" s="20" t="s">
        <v>35</v>
      </c>
      <c r="M674" s="21">
        <f t="shared" si="1"/>
        <v>3</v>
      </c>
      <c r="N674" s="2">
        <v>592.5265</v>
      </c>
      <c r="O674" s="2">
        <v>85.0</v>
      </c>
      <c r="P674" s="2">
        <v>4556.63</v>
      </c>
      <c r="Q674" s="2">
        <v>29350.0</v>
      </c>
      <c r="R674" s="15" t="b">
        <f>ISNUMBER(MATCH(Q674,'Returned order'!A:A,0))</f>
        <v>0</v>
      </c>
      <c r="S674" s="22">
        <v>42060.0</v>
      </c>
      <c r="T674" s="15"/>
      <c r="U674" s="15"/>
      <c r="V674" s="15"/>
    </row>
    <row r="675">
      <c r="A675" s="2">
        <v>4133.0</v>
      </c>
      <c r="B675" s="1" t="s">
        <v>28</v>
      </c>
      <c r="C675" s="2">
        <v>0.05</v>
      </c>
      <c r="D675" s="2">
        <v>36.55</v>
      </c>
      <c r="E675" s="2">
        <v>1193.0</v>
      </c>
      <c r="F675" s="1" t="s">
        <v>980</v>
      </c>
      <c r="G675" s="1" t="s">
        <v>22</v>
      </c>
      <c r="H675" s="1" t="s">
        <v>23</v>
      </c>
      <c r="I675" s="1" t="s">
        <v>29</v>
      </c>
      <c r="J675" s="1" t="s">
        <v>982</v>
      </c>
      <c r="K675" s="19" t="s">
        <v>26</v>
      </c>
      <c r="L675" s="20" t="s">
        <v>35</v>
      </c>
      <c r="M675" s="21">
        <f t="shared" si="1"/>
        <v>3</v>
      </c>
      <c r="N675" s="2">
        <v>232.8</v>
      </c>
      <c r="O675" s="2">
        <v>83.0</v>
      </c>
      <c r="P675" s="2">
        <v>2948.61</v>
      </c>
      <c r="Q675" s="2">
        <v>29350.0</v>
      </c>
      <c r="R675" s="15" t="b">
        <f>ISNUMBER(MATCH(Q675,'Returned order'!A:A,0))</f>
        <v>0</v>
      </c>
      <c r="S675" s="22">
        <v>42060.0</v>
      </c>
      <c r="T675" s="15"/>
      <c r="U675" s="15"/>
      <c r="V675" s="15"/>
    </row>
    <row r="676">
      <c r="A676" s="2">
        <v>5468.0</v>
      </c>
      <c r="B676" s="1" t="s">
        <v>49</v>
      </c>
      <c r="C676" s="2">
        <v>0.03</v>
      </c>
      <c r="D676" s="2">
        <v>5.98</v>
      </c>
      <c r="E676" s="2">
        <v>1193.0</v>
      </c>
      <c r="F676" s="1" t="s">
        <v>980</v>
      </c>
      <c r="G676" s="1" t="s">
        <v>66</v>
      </c>
      <c r="H676" s="1" t="s">
        <v>23</v>
      </c>
      <c r="I676" s="1" t="s">
        <v>24</v>
      </c>
      <c r="J676" s="1" t="s">
        <v>173</v>
      </c>
      <c r="K676" s="19" t="s">
        <v>26</v>
      </c>
      <c r="L676" s="20" t="s">
        <v>76</v>
      </c>
      <c r="M676" s="21">
        <f t="shared" si="1"/>
        <v>5</v>
      </c>
      <c r="N676" s="2">
        <v>38.08</v>
      </c>
      <c r="O676" s="2">
        <v>85.0</v>
      </c>
      <c r="P676" s="2">
        <v>517.85</v>
      </c>
      <c r="Q676" s="2">
        <v>38852.0</v>
      </c>
      <c r="R676" s="15" t="b">
        <f>ISNUMBER(MATCH(Q676,'Returned order'!A:A,0))</f>
        <v>0</v>
      </c>
      <c r="S676" s="22">
        <v>42125.0</v>
      </c>
      <c r="T676" s="15"/>
      <c r="U676" s="15"/>
      <c r="V676" s="15"/>
    </row>
    <row r="677">
      <c r="A677" s="2">
        <v>1552.0</v>
      </c>
      <c r="B677" s="1" t="s">
        <v>170</v>
      </c>
      <c r="C677" s="2">
        <v>0.09</v>
      </c>
      <c r="D677" s="2">
        <v>49.99</v>
      </c>
      <c r="E677" s="2">
        <v>1193.0</v>
      </c>
      <c r="F677" s="1" t="s">
        <v>980</v>
      </c>
      <c r="G677" s="1" t="s">
        <v>66</v>
      </c>
      <c r="H677" s="1" t="s">
        <v>46</v>
      </c>
      <c r="I677" s="1" t="s">
        <v>47</v>
      </c>
      <c r="J677" s="1" t="s">
        <v>307</v>
      </c>
      <c r="K677" s="19" t="s">
        <v>26</v>
      </c>
      <c r="L677" s="20" t="s">
        <v>61</v>
      </c>
      <c r="M677" s="21">
        <f t="shared" si="1"/>
        <v>7</v>
      </c>
      <c r="N677" s="2">
        <v>-17.03</v>
      </c>
      <c r="O677" s="2">
        <v>48.0</v>
      </c>
      <c r="P677" s="2">
        <v>2373.32</v>
      </c>
      <c r="Q677" s="2">
        <v>11206.0</v>
      </c>
      <c r="R677" s="15" t="b">
        <f>ISNUMBER(MATCH(Q677,'Returned order'!A:A,0))</f>
        <v>0</v>
      </c>
      <c r="S677" s="22">
        <v>42183.0</v>
      </c>
      <c r="T677" s="15"/>
      <c r="U677" s="15"/>
      <c r="V677" s="15"/>
    </row>
    <row r="678">
      <c r="A678" s="2">
        <v>1553.0</v>
      </c>
      <c r="B678" s="1" t="s">
        <v>170</v>
      </c>
      <c r="C678" s="2">
        <v>0.03</v>
      </c>
      <c r="D678" s="2">
        <v>28.53</v>
      </c>
      <c r="E678" s="2">
        <v>1193.0</v>
      </c>
      <c r="F678" s="1" t="s">
        <v>980</v>
      </c>
      <c r="G678" s="1" t="s">
        <v>66</v>
      </c>
      <c r="H678" s="1" t="s">
        <v>23</v>
      </c>
      <c r="I678" s="1" t="s">
        <v>24</v>
      </c>
      <c r="J678" s="1" t="s">
        <v>341</v>
      </c>
      <c r="K678" s="19" t="s">
        <v>26</v>
      </c>
      <c r="L678" s="20" t="s">
        <v>61</v>
      </c>
      <c r="M678" s="21">
        <f t="shared" si="1"/>
        <v>7</v>
      </c>
      <c r="N678" s="2">
        <v>39.627</v>
      </c>
      <c r="O678" s="2">
        <v>11.0</v>
      </c>
      <c r="P678" s="2">
        <v>325.73</v>
      </c>
      <c r="Q678" s="2">
        <v>11206.0</v>
      </c>
      <c r="R678" s="15" t="b">
        <f>ISNUMBER(MATCH(Q678,'Returned order'!A:A,0))</f>
        <v>0</v>
      </c>
      <c r="S678" s="22">
        <v>42183.0</v>
      </c>
      <c r="T678" s="15"/>
      <c r="U678" s="15"/>
      <c r="V678" s="15"/>
    </row>
    <row r="679">
      <c r="A679" s="2">
        <v>23468.0</v>
      </c>
      <c r="B679" s="1" t="s">
        <v>49</v>
      </c>
      <c r="C679" s="2">
        <v>0.03</v>
      </c>
      <c r="D679" s="2">
        <v>5.98</v>
      </c>
      <c r="E679" s="2">
        <v>1194.0</v>
      </c>
      <c r="F679" s="1" t="s">
        <v>983</v>
      </c>
      <c r="G679" s="1" t="s">
        <v>66</v>
      </c>
      <c r="H679" s="1" t="s">
        <v>23</v>
      </c>
      <c r="I679" s="1" t="s">
        <v>24</v>
      </c>
      <c r="J679" s="1" t="s">
        <v>173</v>
      </c>
      <c r="K679" s="19" t="s">
        <v>229</v>
      </c>
      <c r="L679" s="20" t="s">
        <v>76</v>
      </c>
      <c r="M679" s="21">
        <f t="shared" si="1"/>
        <v>5</v>
      </c>
      <c r="N679" s="2">
        <v>20.496</v>
      </c>
      <c r="O679" s="2">
        <v>21.0</v>
      </c>
      <c r="P679" s="2">
        <v>127.94</v>
      </c>
      <c r="Q679" s="2">
        <v>87586.0</v>
      </c>
      <c r="R679" s="15" t="b">
        <f>ISNUMBER(MATCH(Q679,'Returned order'!A:A,0))</f>
        <v>0</v>
      </c>
      <c r="S679" s="22">
        <v>42125.0</v>
      </c>
      <c r="T679" s="15"/>
      <c r="U679" s="15"/>
      <c r="V679" s="15"/>
    </row>
    <row r="680">
      <c r="A680" s="2">
        <v>19358.0</v>
      </c>
      <c r="B680" s="1" t="s">
        <v>28</v>
      </c>
      <c r="C680" s="2">
        <v>0.08</v>
      </c>
      <c r="D680" s="2">
        <v>355.98</v>
      </c>
      <c r="E680" s="2">
        <v>1197.0</v>
      </c>
      <c r="F680" s="1" t="s">
        <v>984</v>
      </c>
      <c r="G680" s="1" t="s">
        <v>66</v>
      </c>
      <c r="H680" s="1" t="s">
        <v>37</v>
      </c>
      <c r="I680" s="1" t="s">
        <v>38</v>
      </c>
      <c r="J680" s="1" t="s">
        <v>224</v>
      </c>
      <c r="K680" s="19" t="s">
        <v>26</v>
      </c>
      <c r="L680" s="20" t="s">
        <v>35</v>
      </c>
      <c r="M680" s="21">
        <f t="shared" si="1"/>
        <v>3</v>
      </c>
      <c r="N680" s="2">
        <v>103.83</v>
      </c>
      <c r="O680" s="2">
        <v>4.0</v>
      </c>
      <c r="P680" s="2">
        <v>1350.94</v>
      </c>
      <c r="Q680" s="2">
        <v>87583.0</v>
      </c>
      <c r="R680" s="15" t="b">
        <f>ISNUMBER(MATCH(Q680,'Returned order'!A:A,0))</f>
        <v>0</v>
      </c>
      <c r="S680" s="22">
        <v>42081.0</v>
      </c>
      <c r="T680" s="15"/>
      <c r="U680" s="15"/>
      <c r="V680" s="15"/>
    </row>
    <row r="681">
      <c r="A681" s="2">
        <v>22132.0</v>
      </c>
      <c r="B681" s="1" t="s">
        <v>28</v>
      </c>
      <c r="C681" s="2">
        <v>0.1</v>
      </c>
      <c r="D681" s="2">
        <v>15.14</v>
      </c>
      <c r="E681" s="2">
        <v>1199.0</v>
      </c>
      <c r="F681" s="1" t="s">
        <v>985</v>
      </c>
      <c r="G681" s="1" t="s">
        <v>22</v>
      </c>
      <c r="H681" s="1" t="s">
        <v>23</v>
      </c>
      <c r="I681" s="1" t="s">
        <v>120</v>
      </c>
      <c r="J681" s="1" t="s">
        <v>925</v>
      </c>
      <c r="K681" s="19" t="s">
        <v>26</v>
      </c>
      <c r="L681" s="20" t="s">
        <v>35</v>
      </c>
      <c r="M681" s="21">
        <f t="shared" si="1"/>
        <v>3</v>
      </c>
      <c r="N681" s="2">
        <v>-24.8976</v>
      </c>
      <c r="O681" s="2">
        <v>5.0</v>
      </c>
      <c r="P681" s="2">
        <v>75.17</v>
      </c>
      <c r="Q681" s="2">
        <v>87585.0</v>
      </c>
      <c r="R681" s="15" t="b">
        <f>ISNUMBER(MATCH(Q681,'Returned order'!A:A,0))</f>
        <v>0</v>
      </c>
      <c r="S681" s="22">
        <v>42060.0</v>
      </c>
      <c r="T681" s="15"/>
      <c r="U681" s="15"/>
      <c r="V681" s="15"/>
    </row>
    <row r="682">
      <c r="A682" s="2">
        <v>22131.0</v>
      </c>
      <c r="B682" s="1" t="s">
        <v>28</v>
      </c>
      <c r="C682" s="2">
        <v>0.05</v>
      </c>
      <c r="D682" s="2">
        <v>52.4</v>
      </c>
      <c r="E682" s="2">
        <v>1200.0</v>
      </c>
      <c r="F682" s="1" t="s">
        <v>986</v>
      </c>
      <c r="G682" s="1" t="s">
        <v>22</v>
      </c>
      <c r="H682" s="1" t="s">
        <v>23</v>
      </c>
      <c r="I682" s="1" t="s">
        <v>24</v>
      </c>
      <c r="J682" s="1" t="s">
        <v>981</v>
      </c>
      <c r="K682" s="19" t="s">
        <v>26</v>
      </c>
      <c r="L682" s="20" t="s">
        <v>35</v>
      </c>
      <c r="M682" s="21">
        <f t="shared" si="1"/>
        <v>3</v>
      </c>
      <c r="N682" s="2">
        <v>776.7744</v>
      </c>
      <c r="O682" s="2">
        <v>21.0</v>
      </c>
      <c r="P682" s="2">
        <v>1125.76</v>
      </c>
      <c r="Q682" s="2">
        <v>87585.0</v>
      </c>
      <c r="R682" s="15" t="b">
        <f>ISNUMBER(MATCH(Q682,'Returned order'!A:A,0))</f>
        <v>0</v>
      </c>
      <c r="S682" s="22">
        <v>42060.0</v>
      </c>
      <c r="T682" s="15"/>
      <c r="U682" s="15"/>
      <c r="V682" s="15"/>
    </row>
    <row r="683">
      <c r="A683" s="2">
        <v>22133.0</v>
      </c>
      <c r="B683" s="1" t="s">
        <v>28</v>
      </c>
      <c r="C683" s="2">
        <v>0.05</v>
      </c>
      <c r="D683" s="2">
        <v>36.55</v>
      </c>
      <c r="E683" s="2">
        <v>1202.0</v>
      </c>
      <c r="F683" s="1" t="s">
        <v>987</v>
      </c>
      <c r="G683" s="1" t="s">
        <v>22</v>
      </c>
      <c r="H683" s="1" t="s">
        <v>23</v>
      </c>
      <c r="I683" s="1" t="s">
        <v>29</v>
      </c>
      <c r="J683" s="1" t="s">
        <v>982</v>
      </c>
      <c r="K683" s="19" t="s">
        <v>26</v>
      </c>
      <c r="L683" s="20" t="s">
        <v>35</v>
      </c>
      <c r="M683" s="21">
        <f t="shared" si="1"/>
        <v>3</v>
      </c>
      <c r="N683" s="2">
        <v>344.544</v>
      </c>
      <c r="O683" s="2">
        <v>21.0</v>
      </c>
      <c r="P683" s="2">
        <v>746.03</v>
      </c>
      <c r="Q683" s="2">
        <v>87585.0</v>
      </c>
      <c r="R683" s="15" t="b">
        <f>ISNUMBER(MATCH(Q683,'Returned order'!A:A,0))</f>
        <v>0</v>
      </c>
      <c r="S683" s="22">
        <v>42060.0</v>
      </c>
      <c r="T683" s="15"/>
      <c r="U683" s="15"/>
      <c r="V683" s="15"/>
    </row>
    <row r="684">
      <c r="A684" s="2">
        <v>19552.0</v>
      </c>
      <c r="B684" s="1" t="s">
        <v>170</v>
      </c>
      <c r="C684" s="2">
        <v>0.09</v>
      </c>
      <c r="D684" s="2">
        <v>49.99</v>
      </c>
      <c r="E684" s="2">
        <v>1203.0</v>
      </c>
      <c r="F684" s="1" t="s">
        <v>988</v>
      </c>
      <c r="G684" s="1" t="s">
        <v>66</v>
      </c>
      <c r="H684" s="1" t="s">
        <v>46</v>
      </c>
      <c r="I684" s="1" t="s">
        <v>47</v>
      </c>
      <c r="J684" s="1" t="s">
        <v>307</v>
      </c>
      <c r="K684" s="19" t="s">
        <v>26</v>
      </c>
      <c r="L684" s="20" t="s">
        <v>61</v>
      </c>
      <c r="M684" s="21">
        <f t="shared" si="1"/>
        <v>7</v>
      </c>
      <c r="N684" s="2">
        <v>-8.515</v>
      </c>
      <c r="O684" s="2">
        <v>12.0</v>
      </c>
      <c r="P684" s="2">
        <v>593.33</v>
      </c>
      <c r="Q684" s="2">
        <v>87587.0</v>
      </c>
      <c r="R684" s="15" t="b">
        <f>ISNUMBER(MATCH(Q684,'Returned order'!A:A,0))</f>
        <v>0</v>
      </c>
      <c r="S684" s="22">
        <v>42183.0</v>
      </c>
      <c r="T684" s="15"/>
      <c r="U684" s="15"/>
      <c r="V684" s="15"/>
    </row>
    <row r="685">
      <c r="A685" s="2">
        <v>18636.0</v>
      </c>
      <c r="B685" s="1" t="s">
        <v>170</v>
      </c>
      <c r="C685" s="2">
        <v>0.01</v>
      </c>
      <c r="D685" s="2">
        <v>3.08</v>
      </c>
      <c r="E685" s="2">
        <v>1211.0</v>
      </c>
      <c r="F685" s="1" t="s">
        <v>989</v>
      </c>
      <c r="G685" s="1" t="s">
        <v>32</v>
      </c>
      <c r="H685" s="1" t="s">
        <v>23</v>
      </c>
      <c r="I685" s="1" t="s">
        <v>130</v>
      </c>
      <c r="J685" s="1" t="s">
        <v>990</v>
      </c>
      <c r="K685" s="19" t="s">
        <v>68</v>
      </c>
      <c r="L685" s="20" t="s">
        <v>61</v>
      </c>
      <c r="M685" s="21">
        <f t="shared" si="1"/>
        <v>7</v>
      </c>
      <c r="N685" s="2">
        <v>9.0045</v>
      </c>
      <c r="O685" s="2">
        <v>4.0</v>
      </c>
      <c r="P685" s="2">
        <v>13.05</v>
      </c>
      <c r="Q685" s="2">
        <v>88598.0</v>
      </c>
      <c r="R685" s="15" t="b">
        <f>ISNUMBER(MATCH(Q685,'Returned order'!A:A,0))</f>
        <v>0</v>
      </c>
      <c r="S685" s="22">
        <v>42036.0</v>
      </c>
      <c r="T685" s="15"/>
      <c r="U685" s="15"/>
      <c r="V685" s="15"/>
    </row>
    <row r="686">
      <c r="A686" s="2">
        <v>22528.0</v>
      </c>
      <c r="B686" s="1" t="s">
        <v>28</v>
      </c>
      <c r="C686" s="2">
        <v>0.08</v>
      </c>
      <c r="D686" s="2">
        <v>4.91</v>
      </c>
      <c r="E686" s="2">
        <v>1212.0</v>
      </c>
      <c r="F686" s="1" t="s">
        <v>991</v>
      </c>
      <c r="G686" s="1" t="s">
        <v>32</v>
      </c>
      <c r="H686" s="1" t="s">
        <v>23</v>
      </c>
      <c r="I686" s="1" t="s">
        <v>24</v>
      </c>
      <c r="J686" s="1" t="s">
        <v>992</v>
      </c>
      <c r="K686" s="19" t="s">
        <v>68</v>
      </c>
      <c r="L686" s="20" t="s">
        <v>70</v>
      </c>
      <c r="M686" s="21">
        <f t="shared" si="1"/>
        <v>4</v>
      </c>
      <c r="N686" s="2">
        <v>-99.7625</v>
      </c>
      <c r="O686" s="2">
        <v>12.0</v>
      </c>
      <c r="P686" s="2">
        <v>58.95</v>
      </c>
      <c r="Q686" s="2">
        <v>88600.0</v>
      </c>
      <c r="R686" s="15" t="b">
        <f>ISNUMBER(MATCH(Q686,'Returned order'!A:A,0))</f>
        <v>0</v>
      </c>
      <c r="S686" s="22">
        <v>42019.0</v>
      </c>
      <c r="T686" s="15"/>
      <c r="U686" s="15"/>
      <c r="V686" s="15"/>
    </row>
    <row r="687">
      <c r="A687" s="2">
        <v>22529.0</v>
      </c>
      <c r="B687" s="1" t="s">
        <v>28</v>
      </c>
      <c r="C687" s="2">
        <v>0.01</v>
      </c>
      <c r="D687" s="2">
        <v>3499.99</v>
      </c>
      <c r="E687" s="2">
        <v>1212.0</v>
      </c>
      <c r="F687" s="1" t="s">
        <v>991</v>
      </c>
      <c r="G687" s="1" t="s">
        <v>32</v>
      </c>
      <c r="H687" s="1" t="s">
        <v>46</v>
      </c>
      <c r="I687" s="1" t="s">
        <v>138</v>
      </c>
      <c r="J687" s="1" t="s">
        <v>993</v>
      </c>
      <c r="K687" s="19" t="s">
        <v>68</v>
      </c>
      <c r="L687" s="20" t="s">
        <v>70</v>
      </c>
      <c r="M687" s="21">
        <f t="shared" si="1"/>
        <v>4</v>
      </c>
      <c r="N687" s="2">
        <v>-3061.82</v>
      </c>
      <c r="O687" s="2">
        <v>1.0</v>
      </c>
      <c r="P687" s="2">
        <v>3672.89</v>
      </c>
      <c r="Q687" s="2">
        <v>88600.0</v>
      </c>
      <c r="R687" s="15" t="b">
        <f>ISNUMBER(MATCH(Q687,'Returned order'!A:A,0))</f>
        <v>0</v>
      </c>
      <c r="S687" s="22">
        <v>42019.0</v>
      </c>
      <c r="T687" s="15"/>
      <c r="U687" s="15"/>
      <c r="V687" s="15"/>
    </row>
    <row r="688">
      <c r="A688" s="2">
        <v>24270.0</v>
      </c>
      <c r="B688" s="1" t="s">
        <v>170</v>
      </c>
      <c r="C688" s="2">
        <v>0.07</v>
      </c>
      <c r="D688" s="2">
        <v>29.89</v>
      </c>
      <c r="E688" s="2">
        <v>1213.0</v>
      </c>
      <c r="F688" s="1" t="s">
        <v>994</v>
      </c>
      <c r="G688" s="1" t="s">
        <v>32</v>
      </c>
      <c r="H688" s="1" t="s">
        <v>46</v>
      </c>
      <c r="I688" s="1" t="s">
        <v>47</v>
      </c>
      <c r="J688" s="1" t="s">
        <v>995</v>
      </c>
      <c r="K688" s="19" t="s">
        <v>68</v>
      </c>
      <c r="L688" s="20" t="s">
        <v>35</v>
      </c>
      <c r="M688" s="21">
        <f t="shared" si="1"/>
        <v>3</v>
      </c>
      <c r="N688" s="2">
        <v>258.6189</v>
      </c>
      <c r="O688" s="2">
        <v>13.0</v>
      </c>
      <c r="P688" s="2">
        <v>374.81</v>
      </c>
      <c r="Q688" s="2">
        <v>88599.0</v>
      </c>
      <c r="R688" s="15" t="b">
        <f>ISNUMBER(MATCH(Q688,'Returned order'!A:A,0))</f>
        <v>0</v>
      </c>
      <c r="S688" s="22">
        <v>42039.0</v>
      </c>
      <c r="T688" s="15"/>
      <c r="U688" s="15"/>
      <c r="V688" s="15"/>
    </row>
    <row r="689">
      <c r="A689" s="2">
        <v>24271.0</v>
      </c>
      <c r="B689" s="1" t="s">
        <v>170</v>
      </c>
      <c r="C689" s="2">
        <v>0.03</v>
      </c>
      <c r="D689" s="2">
        <v>8.34</v>
      </c>
      <c r="E689" s="2">
        <v>1213.0</v>
      </c>
      <c r="F689" s="1" t="s">
        <v>994</v>
      </c>
      <c r="G689" s="1" t="s">
        <v>32</v>
      </c>
      <c r="H689" s="1" t="s">
        <v>23</v>
      </c>
      <c r="I689" s="1" t="s">
        <v>93</v>
      </c>
      <c r="J689" s="1" t="s">
        <v>739</v>
      </c>
      <c r="K689" s="19" t="s">
        <v>68</v>
      </c>
      <c r="L689" s="20" t="s">
        <v>35</v>
      </c>
      <c r="M689" s="21">
        <f t="shared" si="1"/>
        <v>3</v>
      </c>
      <c r="N689" s="2">
        <v>-6.71</v>
      </c>
      <c r="O689" s="2">
        <v>5.0</v>
      </c>
      <c r="P689" s="2">
        <v>43.27</v>
      </c>
      <c r="Q689" s="2">
        <v>88599.0</v>
      </c>
      <c r="R689" s="15" t="b">
        <f>ISNUMBER(MATCH(Q689,'Returned order'!A:A,0))</f>
        <v>0</v>
      </c>
      <c r="S689" s="22">
        <v>42039.0</v>
      </c>
      <c r="T689" s="15"/>
      <c r="U689" s="15"/>
      <c r="V689" s="15"/>
    </row>
    <row r="690">
      <c r="A690" s="2">
        <v>22530.0</v>
      </c>
      <c r="B690" s="1" t="s">
        <v>28</v>
      </c>
      <c r="C690" s="2">
        <v>0.03</v>
      </c>
      <c r="D690" s="2">
        <v>5.84</v>
      </c>
      <c r="E690" s="2">
        <v>1213.0</v>
      </c>
      <c r="F690" s="1" t="s">
        <v>994</v>
      </c>
      <c r="G690" s="1" t="s">
        <v>32</v>
      </c>
      <c r="H690" s="1" t="s">
        <v>23</v>
      </c>
      <c r="I690" s="1" t="s">
        <v>29</v>
      </c>
      <c r="J690" s="1" t="s">
        <v>996</v>
      </c>
      <c r="K690" s="19" t="s">
        <v>68</v>
      </c>
      <c r="L690" s="20" t="s">
        <v>70</v>
      </c>
      <c r="M690" s="21">
        <f t="shared" si="1"/>
        <v>4</v>
      </c>
      <c r="N690" s="2">
        <v>-0.01</v>
      </c>
      <c r="O690" s="2">
        <v>2.0</v>
      </c>
      <c r="P690" s="2">
        <v>11.74</v>
      </c>
      <c r="Q690" s="2">
        <v>88600.0</v>
      </c>
      <c r="R690" s="15" t="b">
        <f>ISNUMBER(MATCH(Q690,'Returned order'!A:A,0))</f>
        <v>0</v>
      </c>
      <c r="S690" s="22">
        <v>42019.0</v>
      </c>
      <c r="T690" s="15"/>
      <c r="U690" s="15"/>
      <c r="V690" s="15"/>
    </row>
    <row r="691">
      <c r="A691" s="2">
        <v>7632.0</v>
      </c>
      <c r="B691" s="1" t="s">
        <v>63</v>
      </c>
      <c r="C691" s="2">
        <v>0.09</v>
      </c>
      <c r="D691" s="2">
        <v>130.98</v>
      </c>
      <c r="E691" s="2">
        <v>1217.0</v>
      </c>
      <c r="F691" s="1" t="s">
        <v>997</v>
      </c>
      <c r="G691" s="1" t="s">
        <v>66</v>
      </c>
      <c r="H691" s="1" t="s">
        <v>37</v>
      </c>
      <c r="I691" s="1" t="s">
        <v>38</v>
      </c>
      <c r="J691" s="1" t="s">
        <v>485</v>
      </c>
      <c r="K691" s="19" t="s">
        <v>26</v>
      </c>
      <c r="L691" s="20" t="s">
        <v>57</v>
      </c>
      <c r="M691" s="21">
        <f t="shared" si="1"/>
        <v>2</v>
      </c>
      <c r="N691" s="2">
        <v>-421.76</v>
      </c>
      <c r="O691" s="2">
        <v>41.0</v>
      </c>
      <c r="P691" s="2">
        <v>5258.94</v>
      </c>
      <c r="Q691" s="2">
        <v>54595.0</v>
      </c>
      <c r="R691" s="15" t="b">
        <f>ISNUMBER(MATCH(Q691,'Returned order'!A:A,0))</f>
        <v>1</v>
      </c>
      <c r="S691" s="22">
        <v>42122.0</v>
      </c>
      <c r="T691" s="15"/>
      <c r="U691" s="15"/>
      <c r="V691" s="15"/>
    </row>
    <row r="692">
      <c r="A692" s="2">
        <v>25631.0</v>
      </c>
      <c r="B692" s="1" t="s">
        <v>63</v>
      </c>
      <c r="C692" s="2">
        <v>0.02</v>
      </c>
      <c r="D692" s="2">
        <v>8.34</v>
      </c>
      <c r="E692" s="2">
        <v>1226.0</v>
      </c>
      <c r="F692" s="1" t="s">
        <v>998</v>
      </c>
      <c r="G692" s="1" t="s">
        <v>66</v>
      </c>
      <c r="H692" s="1" t="s">
        <v>23</v>
      </c>
      <c r="I692" s="1" t="s">
        <v>257</v>
      </c>
      <c r="J692" s="1" t="s">
        <v>361</v>
      </c>
      <c r="K692" s="19" t="s">
        <v>26</v>
      </c>
      <c r="L692" s="20" t="s">
        <v>57</v>
      </c>
      <c r="M692" s="21">
        <f t="shared" si="1"/>
        <v>2</v>
      </c>
      <c r="N692" s="2">
        <v>6.79</v>
      </c>
      <c r="O692" s="2">
        <v>8.0</v>
      </c>
      <c r="P692" s="2">
        <v>66.74</v>
      </c>
      <c r="Q692" s="2">
        <v>90800.0</v>
      </c>
      <c r="R692" s="15" t="b">
        <f>ISNUMBER(MATCH(Q692,'Returned order'!A:A,0))</f>
        <v>0</v>
      </c>
      <c r="S692" s="22">
        <v>42122.0</v>
      </c>
      <c r="T692" s="15"/>
      <c r="U692" s="15"/>
      <c r="V692" s="15"/>
    </row>
    <row r="693">
      <c r="A693" s="2">
        <v>25632.0</v>
      </c>
      <c r="B693" s="1" t="s">
        <v>63</v>
      </c>
      <c r="C693" s="2">
        <v>0.09</v>
      </c>
      <c r="D693" s="2">
        <v>130.98</v>
      </c>
      <c r="E693" s="2">
        <v>1227.0</v>
      </c>
      <c r="F693" s="1" t="s">
        <v>999</v>
      </c>
      <c r="G693" s="1" t="s">
        <v>66</v>
      </c>
      <c r="H693" s="1" t="s">
        <v>37</v>
      </c>
      <c r="I693" s="1" t="s">
        <v>38</v>
      </c>
      <c r="J693" s="1" t="s">
        <v>485</v>
      </c>
      <c r="K693" s="19" t="s">
        <v>26</v>
      </c>
      <c r="L693" s="20" t="s">
        <v>57</v>
      </c>
      <c r="M693" s="21">
        <f t="shared" si="1"/>
        <v>2</v>
      </c>
      <c r="N693" s="2">
        <v>-421.76</v>
      </c>
      <c r="O693" s="2">
        <v>10.0</v>
      </c>
      <c r="P693" s="2">
        <v>1282.67</v>
      </c>
      <c r="Q693" s="2">
        <v>90800.0</v>
      </c>
      <c r="R693" s="15" t="b">
        <f>ISNUMBER(MATCH(Q693,'Returned order'!A:A,0))</f>
        <v>0</v>
      </c>
      <c r="S693" s="22">
        <v>42122.0</v>
      </c>
      <c r="T693" s="15"/>
      <c r="U693" s="15"/>
      <c r="V693" s="15"/>
    </row>
    <row r="694">
      <c r="A694" s="2">
        <v>7810.0</v>
      </c>
      <c r="B694" s="1" t="s">
        <v>63</v>
      </c>
      <c r="C694" s="2">
        <v>0.0</v>
      </c>
      <c r="D694" s="2">
        <v>7.1</v>
      </c>
      <c r="E694" s="2">
        <v>1228.0</v>
      </c>
      <c r="F694" s="1" t="s">
        <v>142</v>
      </c>
      <c r="G694" s="1" t="s">
        <v>66</v>
      </c>
      <c r="H694" s="1" t="s">
        <v>23</v>
      </c>
      <c r="I694" s="1" t="s">
        <v>24</v>
      </c>
      <c r="J694" s="1" t="s">
        <v>143</v>
      </c>
      <c r="K694" s="19" t="s">
        <v>26</v>
      </c>
      <c r="L694" s="20" t="s">
        <v>27</v>
      </c>
      <c r="M694" s="21">
        <f t="shared" si="1"/>
        <v>1</v>
      </c>
      <c r="N694" s="2">
        <v>-60.145</v>
      </c>
      <c r="O694" s="2">
        <v>28.0</v>
      </c>
      <c r="P694" s="2">
        <v>208.83</v>
      </c>
      <c r="Q694" s="2">
        <v>55874.0</v>
      </c>
      <c r="R694" s="15" t="b">
        <f>ISNUMBER(MATCH(Q694,'Returned order'!A:A,0))</f>
        <v>1</v>
      </c>
      <c r="S694" s="22">
        <v>42051.0</v>
      </c>
      <c r="T694" s="15"/>
      <c r="U694" s="15"/>
      <c r="V694" s="15"/>
    </row>
    <row r="695">
      <c r="A695" s="2">
        <v>7811.0</v>
      </c>
      <c r="B695" s="1" t="s">
        <v>63</v>
      </c>
      <c r="C695" s="2">
        <v>0.01</v>
      </c>
      <c r="D695" s="2">
        <v>4.98</v>
      </c>
      <c r="E695" s="2">
        <v>1228.0</v>
      </c>
      <c r="F695" s="1" t="s">
        <v>142</v>
      </c>
      <c r="G695" s="1" t="s">
        <v>66</v>
      </c>
      <c r="H695" s="1" t="s">
        <v>46</v>
      </c>
      <c r="I695" s="1" t="s">
        <v>47</v>
      </c>
      <c r="J695" s="1" t="s">
        <v>144</v>
      </c>
      <c r="K695" s="19" t="s">
        <v>26</v>
      </c>
      <c r="L695" s="20" t="s">
        <v>27</v>
      </c>
      <c r="M695" s="21">
        <f t="shared" si="1"/>
        <v>1</v>
      </c>
      <c r="N695" s="2">
        <v>-111.72</v>
      </c>
      <c r="O695" s="2">
        <v>41.0</v>
      </c>
      <c r="P695" s="2">
        <v>228.3</v>
      </c>
      <c r="Q695" s="2">
        <v>55874.0</v>
      </c>
      <c r="R695" s="15" t="b">
        <f>ISNUMBER(MATCH(Q695,'Returned order'!A:A,0))</f>
        <v>1</v>
      </c>
      <c r="S695" s="22">
        <v>42051.0</v>
      </c>
      <c r="T695" s="15"/>
      <c r="U695" s="15"/>
      <c r="V695" s="15"/>
    </row>
    <row r="696">
      <c r="A696" s="2">
        <v>7812.0</v>
      </c>
      <c r="B696" s="1" t="s">
        <v>63</v>
      </c>
      <c r="C696" s="2">
        <v>0.06</v>
      </c>
      <c r="D696" s="2">
        <v>5.68</v>
      </c>
      <c r="E696" s="2">
        <v>1228.0</v>
      </c>
      <c r="F696" s="1" t="s">
        <v>142</v>
      </c>
      <c r="G696" s="1" t="s">
        <v>66</v>
      </c>
      <c r="H696" s="1" t="s">
        <v>23</v>
      </c>
      <c r="I696" s="1" t="s">
        <v>88</v>
      </c>
      <c r="J696" s="1" t="s">
        <v>145</v>
      </c>
      <c r="K696" s="19" t="s">
        <v>26</v>
      </c>
      <c r="L696" s="20" t="s">
        <v>27</v>
      </c>
      <c r="M696" s="21">
        <f t="shared" si="1"/>
        <v>1</v>
      </c>
      <c r="N696" s="2">
        <v>33.01</v>
      </c>
      <c r="O696" s="2">
        <v>24.0</v>
      </c>
      <c r="P696" s="2">
        <v>129.53</v>
      </c>
      <c r="Q696" s="2">
        <v>55874.0</v>
      </c>
      <c r="R696" s="15" t="b">
        <f>ISNUMBER(MATCH(Q696,'Returned order'!A:A,0))</f>
        <v>1</v>
      </c>
      <c r="S696" s="22">
        <v>42051.0</v>
      </c>
      <c r="T696" s="15"/>
      <c r="U696" s="15"/>
      <c r="V696" s="15"/>
    </row>
    <row r="697">
      <c r="A697" s="2">
        <v>25811.0</v>
      </c>
      <c r="B697" s="1" t="s">
        <v>63</v>
      </c>
      <c r="C697" s="2">
        <v>0.01</v>
      </c>
      <c r="D697" s="2">
        <v>4.98</v>
      </c>
      <c r="E697" s="2">
        <v>1229.0</v>
      </c>
      <c r="F697" s="1" t="s">
        <v>1000</v>
      </c>
      <c r="G697" s="1" t="s">
        <v>66</v>
      </c>
      <c r="H697" s="1" t="s">
        <v>46</v>
      </c>
      <c r="I697" s="1" t="s">
        <v>47</v>
      </c>
      <c r="J697" s="1" t="s">
        <v>144</v>
      </c>
      <c r="K697" s="19" t="s">
        <v>68</v>
      </c>
      <c r="L697" s="20" t="s">
        <v>27</v>
      </c>
      <c r="M697" s="21">
        <f t="shared" si="1"/>
        <v>1</v>
      </c>
      <c r="N697" s="2">
        <v>-111.72</v>
      </c>
      <c r="O697" s="2">
        <v>10.0</v>
      </c>
      <c r="P697" s="2">
        <v>55.68</v>
      </c>
      <c r="Q697" s="2">
        <v>90378.0</v>
      </c>
      <c r="R697" s="15" t="b">
        <f>ISNUMBER(MATCH(Q697,'Returned order'!A:A,0))</f>
        <v>0</v>
      </c>
      <c r="S697" s="22">
        <v>42051.0</v>
      </c>
      <c r="T697" s="15"/>
      <c r="U697" s="15"/>
      <c r="V697" s="15"/>
    </row>
    <row r="698">
      <c r="A698" s="2">
        <v>21206.0</v>
      </c>
      <c r="B698" s="1" t="s">
        <v>58</v>
      </c>
      <c r="C698" s="2">
        <v>0.1</v>
      </c>
      <c r="D698" s="2">
        <v>120.98</v>
      </c>
      <c r="E698" s="2">
        <v>1233.0</v>
      </c>
      <c r="F698" s="1" t="s">
        <v>1001</v>
      </c>
      <c r="G698" s="1" t="s">
        <v>22</v>
      </c>
      <c r="H698" s="1" t="s">
        <v>23</v>
      </c>
      <c r="I698" s="1" t="s">
        <v>24</v>
      </c>
      <c r="J698" s="1" t="s">
        <v>1002</v>
      </c>
      <c r="K698" s="19" t="s">
        <v>68</v>
      </c>
      <c r="L698" s="20" t="s">
        <v>70</v>
      </c>
      <c r="M698" s="21">
        <f t="shared" si="1"/>
        <v>4</v>
      </c>
      <c r="N698" s="2">
        <v>297.45716</v>
      </c>
      <c r="O698" s="2">
        <v>5.0</v>
      </c>
      <c r="P698" s="2">
        <v>568.24</v>
      </c>
      <c r="Q698" s="2">
        <v>89375.0</v>
      </c>
      <c r="R698" s="15" t="b">
        <f>ISNUMBER(MATCH(Q698,'Returned order'!A:A,0))</f>
        <v>0</v>
      </c>
      <c r="S698" s="22">
        <v>42103.0</v>
      </c>
      <c r="T698" s="15"/>
      <c r="U698" s="15"/>
      <c r="V698" s="15"/>
    </row>
    <row r="699">
      <c r="A699" s="2">
        <v>21207.0</v>
      </c>
      <c r="B699" s="1" t="s">
        <v>58</v>
      </c>
      <c r="C699" s="2">
        <v>0.02</v>
      </c>
      <c r="D699" s="2">
        <v>152.48</v>
      </c>
      <c r="E699" s="2">
        <v>1233.0</v>
      </c>
      <c r="F699" s="1" t="s">
        <v>1001</v>
      </c>
      <c r="G699" s="1" t="s">
        <v>22</v>
      </c>
      <c r="H699" s="1" t="s">
        <v>46</v>
      </c>
      <c r="I699" s="1" t="s">
        <v>47</v>
      </c>
      <c r="J699" s="1" t="s">
        <v>524</v>
      </c>
      <c r="K699" s="19" t="s">
        <v>68</v>
      </c>
      <c r="L699" s="20" t="s">
        <v>70</v>
      </c>
      <c r="M699" s="21">
        <f t="shared" si="1"/>
        <v>4</v>
      </c>
      <c r="N699" s="2">
        <v>-564.6024</v>
      </c>
      <c r="O699" s="2">
        <v>1.0</v>
      </c>
      <c r="P699" s="2">
        <v>162.91</v>
      </c>
      <c r="Q699" s="2">
        <v>89375.0</v>
      </c>
      <c r="R699" s="15" t="b">
        <f>ISNUMBER(MATCH(Q699,'Returned order'!A:A,0))</f>
        <v>0</v>
      </c>
      <c r="S699" s="22">
        <v>42103.0</v>
      </c>
      <c r="T699" s="15"/>
      <c r="U699" s="15"/>
      <c r="V699" s="15"/>
    </row>
    <row r="700">
      <c r="A700" s="2">
        <v>19874.0</v>
      </c>
      <c r="B700" s="1" t="s">
        <v>28</v>
      </c>
      <c r="C700" s="2">
        <v>0.09</v>
      </c>
      <c r="D700" s="2">
        <v>99.99</v>
      </c>
      <c r="E700" s="2">
        <v>1233.0</v>
      </c>
      <c r="F700" s="1" t="s">
        <v>1001</v>
      </c>
      <c r="G700" s="1" t="s">
        <v>22</v>
      </c>
      <c r="H700" s="1" t="s">
        <v>46</v>
      </c>
      <c r="I700" s="1" t="s">
        <v>47</v>
      </c>
      <c r="J700" s="1" t="s">
        <v>891</v>
      </c>
      <c r="K700" s="19" t="s">
        <v>68</v>
      </c>
      <c r="L700" s="20" t="s">
        <v>70</v>
      </c>
      <c r="M700" s="21">
        <f t="shared" si="1"/>
        <v>4</v>
      </c>
      <c r="N700" s="2">
        <v>-161.475</v>
      </c>
      <c r="O700" s="2">
        <v>1.0</v>
      </c>
      <c r="P700" s="2">
        <v>97.65</v>
      </c>
      <c r="Q700" s="2">
        <v>89376.0</v>
      </c>
      <c r="R700" s="15" t="b">
        <f>ISNUMBER(MATCH(Q700,'Returned order'!A:A,0))</f>
        <v>0</v>
      </c>
      <c r="S700" s="22">
        <v>42159.0</v>
      </c>
      <c r="T700" s="15"/>
      <c r="U700" s="15"/>
      <c r="V700" s="15"/>
    </row>
    <row r="701">
      <c r="A701" s="2">
        <v>19875.0</v>
      </c>
      <c r="B701" s="1" t="s">
        <v>28</v>
      </c>
      <c r="C701" s="2">
        <v>0.04</v>
      </c>
      <c r="D701" s="2">
        <v>205.99</v>
      </c>
      <c r="E701" s="2">
        <v>1233.0</v>
      </c>
      <c r="F701" s="1" t="s">
        <v>1001</v>
      </c>
      <c r="G701" s="1" t="s">
        <v>22</v>
      </c>
      <c r="H701" s="1" t="s">
        <v>46</v>
      </c>
      <c r="I701" s="1" t="s">
        <v>85</v>
      </c>
      <c r="J701" s="1" t="s">
        <v>671</v>
      </c>
      <c r="K701" s="19" t="s">
        <v>68</v>
      </c>
      <c r="L701" s="20" t="s">
        <v>70</v>
      </c>
      <c r="M701" s="21">
        <f t="shared" si="1"/>
        <v>4</v>
      </c>
      <c r="N701" s="2">
        <v>-0.814</v>
      </c>
      <c r="O701" s="2">
        <v>6.0</v>
      </c>
      <c r="P701" s="2">
        <v>1018.61</v>
      </c>
      <c r="Q701" s="2">
        <v>89376.0</v>
      </c>
      <c r="R701" s="15" t="b">
        <f>ISNUMBER(MATCH(Q701,'Returned order'!A:A,0))</f>
        <v>0</v>
      </c>
      <c r="S701" s="22">
        <v>42159.0</v>
      </c>
      <c r="T701" s="15"/>
      <c r="U701" s="15"/>
      <c r="V701" s="15"/>
    </row>
    <row r="702">
      <c r="A702" s="2">
        <v>20592.0</v>
      </c>
      <c r="B702" s="1" t="s">
        <v>63</v>
      </c>
      <c r="C702" s="2">
        <v>0.03</v>
      </c>
      <c r="D702" s="2">
        <v>128.24</v>
      </c>
      <c r="E702" s="2">
        <v>1237.0</v>
      </c>
      <c r="F702" s="1" t="s">
        <v>1003</v>
      </c>
      <c r="G702" s="1" t="s">
        <v>32</v>
      </c>
      <c r="H702" s="1" t="s">
        <v>37</v>
      </c>
      <c r="I702" s="1" t="s">
        <v>38</v>
      </c>
      <c r="J702" s="1" t="s">
        <v>530</v>
      </c>
      <c r="K702" s="19" t="s">
        <v>68</v>
      </c>
      <c r="L702" s="20" t="s">
        <v>53</v>
      </c>
      <c r="M702" s="21">
        <f t="shared" si="1"/>
        <v>6</v>
      </c>
      <c r="N702" s="2">
        <v>790.464</v>
      </c>
      <c r="O702" s="2">
        <v>9.0</v>
      </c>
      <c r="P702" s="2">
        <v>1145.6</v>
      </c>
      <c r="Q702" s="2">
        <v>86075.0</v>
      </c>
      <c r="R702" s="15" t="b">
        <f>ISNUMBER(MATCH(Q702,'Returned order'!A:A,0))</f>
        <v>0</v>
      </c>
      <c r="S702" s="22">
        <v>42035.0</v>
      </c>
      <c r="T702" s="15"/>
      <c r="U702" s="15"/>
      <c r="V702" s="15"/>
    </row>
    <row r="703">
      <c r="A703" s="2">
        <v>18625.0</v>
      </c>
      <c r="B703" s="1" t="s">
        <v>49</v>
      </c>
      <c r="C703" s="2">
        <v>0.02</v>
      </c>
      <c r="D703" s="2">
        <v>7.38</v>
      </c>
      <c r="E703" s="2">
        <v>1237.0</v>
      </c>
      <c r="F703" s="1" t="s">
        <v>1003</v>
      </c>
      <c r="G703" s="1" t="s">
        <v>32</v>
      </c>
      <c r="H703" s="1" t="s">
        <v>37</v>
      </c>
      <c r="I703" s="1" t="s">
        <v>42</v>
      </c>
      <c r="J703" s="1" t="s">
        <v>400</v>
      </c>
      <c r="K703" s="19" t="s">
        <v>68</v>
      </c>
      <c r="L703" s="20" t="s">
        <v>61</v>
      </c>
      <c r="M703" s="21">
        <f t="shared" si="1"/>
        <v>7</v>
      </c>
      <c r="N703" s="2">
        <v>7.74</v>
      </c>
      <c r="O703" s="2">
        <v>3.0</v>
      </c>
      <c r="P703" s="2">
        <v>24.52</v>
      </c>
      <c r="Q703" s="2">
        <v>86076.0</v>
      </c>
      <c r="R703" s="15" t="b">
        <f>ISNUMBER(MATCH(Q703,'Returned order'!A:A,0))</f>
        <v>0</v>
      </c>
      <c r="S703" s="22">
        <v>42092.0</v>
      </c>
      <c r="T703" s="15"/>
      <c r="U703" s="15"/>
      <c r="V703" s="15"/>
    </row>
    <row r="704">
      <c r="A704" s="2">
        <v>20432.0</v>
      </c>
      <c r="B704" s="1" t="s">
        <v>63</v>
      </c>
      <c r="C704" s="2">
        <v>0.05</v>
      </c>
      <c r="D704" s="2">
        <v>300.98</v>
      </c>
      <c r="E704" s="2">
        <v>1237.0</v>
      </c>
      <c r="F704" s="1" t="s">
        <v>1003</v>
      </c>
      <c r="G704" s="1" t="s">
        <v>32</v>
      </c>
      <c r="H704" s="1" t="s">
        <v>46</v>
      </c>
      <c r="I704" s="1" t="s">
        <v>103</v>
      </c>
      <c r="J704" s="1" t="s">
        <v>1004</v>
      </c>
      <c r="K704" s="19" t="s">
        <v>68</v>
      </c>
      <c r="L704" s="20" t="s">
        <v>27</v>
      </c>
      <c r="M704" s="21">
        <f t="shared" si="1"/>
        <v>1</v>
      </c>
      <c r="N704" s="2">
        <v>3985.3089</v>
      </c>
      <c r="O704" s="2">
        <v>20.0</v>
      </c>
      <c r="P704" s="2">
        <v>5775.81</v>
      </c>
      <c r="Q704" s="2">
        <v>86077.0</v>
      </c>
      <c r="R704" s="15" t="b">
        <f>ISNUMBER(MATCH(Q704,'Returned order'!A:A,0))</f>
        <v>0</v>
      </c>
      <c r="S704" s="22">
        <v>42149.0</v>
      </c>
      <c r="T704" s="15"/>
      <c r="U704" s="15"/>
      <c r="V704" s="15"/>
    </row>
    <row r="705">
      <c r="A705" s="2">
        <v>20433.0</v>
      </c>
      <c r="B705" s="1" t="s">
        <v>63</v>
      </c>
      <c r="C705" s="2">
        <v>0.04</v>
      </c>
      <c r="D705" s="2">
        <v>205.99</v>
      </c>
      <c r="E705" s="2">
        <v>1237.0</v>
      </c>
      <c r="F705" s="1" t="s">
        <v>1003</v>
      </c>
      <c r="G705" s="1" t="s">
        <v>32</v>
      </c>
      <c r="H705" s="1" t="s">
        <v>46</v>
      </c>
      <c r="I705" s="1" t="s">
        <v>85</v>
      </c>
      <c r="J705" s="1" t="s">
        <v>1005</v>
      </c>
      <c r="K705" s="19" t="s">
        <v>68</v>
      </c>
      <c r="L705" s="20" t="s">
        <v>27</v>
      </c>
      <c r="M705" s="21">
        <f t="shared" si="1"/>
        <v>1</v>
      </c>
      <c r="N705" s="2">
        <v>13.9568</v>
      </c>
      <c r="O705" s="2">
        <v>11.0</v>
      </c>
      <c r="P705" s="2">
        <v>1878.24</v>
      </c>
      <c r="Q705" s="2">
        <v>86077.0</v>
      </c>
      <c r="R705" s="15" t="b">
        <f>ISNUMBER(MATCH(Q705,'Returned order'!A:A,0))</f>
        <v>0</v>
      </c>
      <c r="S705" s="22">
        <v>42149.0</v>
      </c>
      <c r="T705" s="15"/>
      <c r="U705" s="15"/>
      <c r="V705" s="15"/>
    </row>
    <row r="706">
      <c r="A706" s="2">
        <v>20593.0</v>
      </c>
      <c r="B706" s="1" t="s">
        <v>63</v>
      </c>
      <c r="C706" s="2">
        <v>0.01</v>
      </c>
      <c r="D706" s="2">
        <v>160.98</v>
      </c>
      <c r="E706" s="2">
        <v>1238.0</v>
      </c>
      <c r="F706" s="1" t="s">
        <v>1006</v>
      </c>
      <c r="G706" s="1" t="s">
        <v>32</v>
      </c>
      <c r="H706" s="1" t="s">
        <v>37</v>
      </c>
      <c r="I706" s="1" t="s">
        <v>38</v>
      </c>
      <c r="J706" s="1" t="s">
        <v>260</v>
      </c>
      <c r="K706" s="19" t="s">
        <v>68</v>
      </c>
      <c r="L706" s="20" t="s">
        <v>53</v>
      </c>
      <c r="M706" s="21">
        <f t="shared" si="1"/>
        <v>6</v>
      </c>
      <c r="N706" s="2">
        <v>788.79</v>
      </c>
      <c r="O706" s="2">
        <v>10.0</v>
      </c>
      <c r="P706" s="2">
        <v>1634.67</v>
      </c>
      <c r="Q706" s="2">
        <v>86075.0</v>
      </c>
      <c r="R706" s="15" t="b">
        <f>ISNUMBER(MATCH(Q706,'Returned order'!A:A,0))</f>
        <v>0</v>
      </c>
      <c r="S706" s="22">
        <v>42035.0</v>
      </c>
      <c r="T706" s="15"/>
      <c r="U706" s="15"/>
      <c r="V706" s="15"/>
    </row>
    <row r="707">
      <c r="A707" s="2">
        <v>20920.0</v>
      </c>
      <c r="B707" s="1" t="s">
        <v>49</v>
      </c>
      <c r="C707" s="2">
        <v>0.0</v>
      </c>
      <c r="D707" s="2">
        <v>387.99</v>
      </c>
      <c r="E707" s="2">
        <v>1241.0</v>
      </c>
      <c r="F707" s="1" t="s">
        <v>1007</v>
      </c>
      <c r="G707" s="1" t="s">
        <v>32</v>
      </c>
      <c r="H707" s="1" t="s">
        <v>23</v>
      </c>
      <c r="I707" s="1" t="s">
        <v>24</v>
      </c>
      <c r="J707" s="1" t="s">
        <v>1008</v>
      </c>
      <c r="K707" s="19" t="s">
        <v>229</v>
      </c>
      <c r="L707" s="20" t="s">
        <v>27</v>
      </c>
      <c r="M707" s="21">
        <f t="shared" si="1"/>
        <v>1</v>
      </c>
      <c r="N707" s="2">
        <v>-70.14</v>
      </c>
      <c r="O707" s="2">
        <v>23.0</v>
      </c>
      <c r="P707" s="2">
        <v>9280.72</v>
      </c>
      <c r="Q707" s="2">
        <v>90880.0</v>
      </c>
      <c r="R707" s="15" t="b">
        <f>ISNUMBER(MATCH(Q707,'Returned order'!A:A,0))</f>
        <v>0</v>
      </c>
      <c r="S707" s="22">
        <v>42079.0</v>
      </c>
      <c r="T707" s="15"/>
      <c r="U707" s="15"/>
      <c r="V707" s="15"/>
    </row>
    <row r="708">
      <c r="A708" s="2">
        <v>20233.0</v>
      </c>
      <c r="B708" s="1" t="s">
        <v>58</v>
      </c>
      <c r="C708" s="2">
        <v>0.06</v>
      </c>
      <c r="D708" s="2">
        <v>200.97</v>
      </c>
      <c r="E708" s="2">
        <v>1241.0</v>
      </c>
      <c r="F708" s="1" t="s">
        <v>1007</v>
      </c>
      <c r="G708" s="1" t="s">
        <v>66</v>
      </c>
      <c r="H708" s="1" t="s">
        <v>46</v>
      </c>
      <c r="I708" s="1" t="s">
        <v>103</v>
      </c>
      <c r="J708" s="1" t="s">
        <v>1009</v>
      </c>
      <c r="K708" s="19" t="s">
        <v>229</v>
      </c>
      <c r="L708" s="20" t="s">
        <v>35</v>
      </c>
      <c r="M708" s="21">
        <f t="shared" si="1"/>
        <v>3</v>
      </c>
      <c r="N708" s="2">
        <v>531.618</v>
      </c>
      <c r="O708" s="2">
        <v>7.0</v>
      </c>
      <c r="P708" s="2">
        <v>1348.83</v>
      </c>
      <c r="Q708" s="2">
        <v>90881.0</v>
      </c>
      <c r="R708" s="15" t="b">
        <f>ISNUMBER(MATCH(Q708,'Returned order'!A:A,0))</f>
        <v>0</v>
      </c>
      <c r="S708" s="22">
        <v>42088.0</v>
      </c>
      <c r="T708" s="15"/>
      <c r="U708" s="15"/>
      <c r="V708" s="15"/>
    </row>
    <row r="709">
      <c r="A709" s="2">
        <v>5117.0</v>
      </c>
      <c r="B709" s="1" t="s">
        <v>28</v>
      </c>
      <c r="C709" s="2">
        <v>0.1</v>
      </c>
      <c r="D709" s="2">
        <v>22.38</v>
      </c>
      <c r="E709" s="2">
        <v>1246.0</v>
      </c>
      <c r="F709" s="1" t="s">
        <v>1010</v>
      </c>
      <c r="G709" s="1" t="s">
        <v>51</v>
      </c>
      <c r="H709" s="1" t="s">
        <v>23</v>
      </c>
      <c r="I709" s="1" t="s">
        <v>24</v>
      </c>
      <c r="J709" s="1" t="s">
        <v>909</v>
      </c>
      <c r="K709" s="19" t="s">
        <v>26</v>
      </c>
      <c r="L709" s="20" t="s">
        <v>61</v>
      </c>
      <c r="M709" s="21">
        <f t="shared" si="1"/>
        <v>7</v>
      </c>
      <c r="N709" s="2">
        <v>-107.5135</v>
      </c>
      <c r="O709" s="2">
        <v>26.0</v>
      </c>
      <c r="P709" s="2">
        <v>564.98</v>
      </c>
      <c r="Q709" s="2">
        <v>36452.0</v>
      </c>
      <c r="R709" s="15" t="b">
        <f>ISNUMBER(MATCH(Q709,'Returned order'!A:A,0))</f>
        <v>0</v>
      </c>
      <c r="S709" s="22">
        <v>42099.0</v>
      </c>
      <c r="T709" s="15"/>
      <c r="U709" s="15"/>
      <c r="V709" s="15"/>
    </row>
    <row r="710">
      <c r="A710" s="2">
        <v>5118.0</v>
      </c>
      <c r="B710" s="1" t="s">
        <v>28</v>
      </c>
      <c r="C710" s="2">
        <v>0.04</v>
      </c>
      <c r="D710" s="2">
        <v>6.98</v>
      </c>
      <c r="E710" s="2">
        <v>1246.0</v>
      </c>
      <c r="F710" s="1" t="s">
        <v>1010</v>
      </c>
      <c r="G710" s="1" t="s">
        <v>51</v>
      </c>
      <c r="H710" s="1" t="s">
        <v>37</v>
      </c>
      <c r="I710" s="1" t="s">
        <v>42</v>
      </c>
      <c r="J710" s="1" t="s">
        <v>1011</v>
      </c>
      <c r="K710" s="19" t="s">
        <v>26</v>
      </c>
      <c r="L710" s="20" t="s">
        <v>61</v>
      </c>
      <c r="M710" s="21">
        <f t="shared" si="1"/>
        <v>7</v>
      </c>
      <c r="N710" s="2">
        <v>46.01</v>
      </c>
      <c r="O710" s="2">
        <v>18.0</v>
      </c>
      <c r="P710" s="2">
        <v>129.48</v>
      </c>
      <c r="Q710" s="2">
        <v>36452.0</v>
      </c>
      <c r="R710" s="15" t="b">
        <f>ISNUMBER(MATCH(Q710,'Returned order'!A:A,0))</f>
        <v>0</v>
      </c>
      <c r="S710" s="22">
        <v>42099.0</v>
      </c>
      <c r="T710" s="15"/>
      <c r="U710" s="15"/>
      <c r="V710" s="15"/>
    </row>
    <row r="711">
      <c r="A711" s="2">
        <v>6581.0</v>
      </c>
      <c r="B711" s="1" t="s">
        <v>170</v>
      </c>
      <c r="C711" s="2">
        <v>0.03</v>
      </c>
      <c r="D711" s="2">
        <v>256.99</v>
      </c>
      <c r="E711" s="2">
        <v>1246.0</v>
      </c>
      <c r="F711" s="1" t="s">
        <v>1010</v>
      </c>
      <c r="G711" s="1" t="s">
        <v>51</v>
      </c>
      <c r="H711" s="1" t="s">
        <v>46</v>
      </c>
      <c r="I711" s="1" t="s">
        <v>47</v>
      </c>
      <c r="J711" s="1" t="s">
        <v>1012</v>
      </c>
      <c r="K711" s="19" t="s">
        <v>26</v>
      </c>
      <c r="L711" s="20" t="s">
        <v>76</v>
      </c>
      <c r="M711" s="21">
        <f t="shared" si="1"/>
        <v>5</v>
      </c>
      <c r="N711" s="2">
        <v>1489.8</v>
      </c>
      <c r="O711" s="2">
        <v>32.0</v>
      </c>
      <c r="P711" s="2">
        <v>8216.28</v>
      </c>
      <c r="Q711" s="2">
        <v>46853.0</v>
      </c>
      <c r="R711" s="15" t="b">
        <f>ISNUMBER(MATCH(Q711,'Returned order'!A:A,0))</f>
        <v>0</v>
      </c>
      <c r="S711" s="22">
        <v>42146.0</v>
      </c>
      <c r="T711" s="15"/>
      <c r="U711" s="15"/>
      <c r="V711" s="15"/>
    </row>
    <row r="712">
      <c r="A712" s="2">
        <v>23117.0</v>
      </c>
      <c r="B712" s="1" t="s">
        <v>28</v>
      </c>
      <c r="C712" s="2">
        <v>0.1</v>
      </c>
      <c r="D712" s="2">
        <v>22.38</v>
      </c>
      <c r="E712" s="2">
        <v>1247.0</v>
      </c>
      <c r="F712" s="1" t="s">
        <v>1013</v>
      </c>
      <c r="G712" s="1" t="s">
        <v>51</v>
      </c>
      <c r="H712" s="1" t="s">
        <v>23</v>
      </c>
      <c r="I712" s="1" t="s">
        <v>24</v>
      </c>
      <c r="J712" s="1" t="s">
        <v>909</v>
      </c>
      <c r="K712" s="19" t="s">
        <v>68</v>
      </c>
      <c r="L712" s="20" t="s">
        <v>61</v>
      </c>
      <c r="M712" s="21">
        <f t="shared" si="1"/>
        <v>7</v>
      </c>
      <c r="N712" s="2">
        <v>-107.5135</v>
      </c>
      <c r="O712" s="2">
        <v>7.0</v>
      </c>
      <c r="P712" s="2">
        <v>152.11</v>
      </c>
      <c r="Q712" s="2">
        <v>91555.0</v>
      </c>
      <c r="R712" s="15" t="b">
        <f>ISNUMBER(MATCH(Q712,'Returned order'!A:A,0))</f>
        <v>0</v>
      </c>
      <c r="S712" s="22">
        <v>42099.0</v>
      </c>
      <c r="T712" s="15"/>
      <c r="U712" s="15"/>
      <c r="V712" s="15"/>
    </row>
    <row r="713">
      <c r="A713" s="2">
        <v>23118.0</v>
      </c>
      <c r="B713" s="1" t="s">
        <v>28</v>
      </c>
      <c r="C713" s="2">
        <v>0.04</v>
      </c>
      <c r="D713" s="2">
        <v>6.98</v>
      </c>
      <c r="E713" s="2">
        <v>1247.0</v>
      </c>
      <c r="F713" s="1" t="s">
        <v>1013</v>
      </c>
      <c r="G713" s="1" t="s">
        <v>51</v>
      </c>
      <c r="H713" s="1" t="s">
        <v>37</v>
      </c>
      <c r="I713" s="1" t="s">
        <v>42</v>
      </c>
      <c r="J713" s="1" t="s">
        <v>1011</v>
      </c>
      <c r="K713" s="19" t="s">
        <v>68</v>
      </c>
      <c r="L713" s="20" t="s">
        <v>61</v>
      </c>
      <c r="M713" s="21">
        <f t="shared" si="1"/>
        <v>7</v>
      </c>
      <c r="N713" s="2">
        <v>24.8193</v>
      </c>
      <c r="O713" s="2">
        <v>5.0</v>
      </c>
      <c r="P713" s="2">
        <v>35.97</v>
      </c>
      <c r="Q713" s="2">
        <v>91555.0</v>
      </c>
      <c r="R713" s="15" t="b">
        <f>ISNUMBER(MATCH(Q713,'Returned order'!A:A,0))</f>
        <v>0</v>
      </c>
      <c r="S713" s="22">
        <v>42099.0</v>
      </c>
      <c r="T713" s="15"/>
      <c r="U713" s="15"/>
      <c r="V713" s="15"/>
    </row>
    <row r="714">
      <c r="A714" s="2">
        <v>18413.0</v>
      </c>
      <c r="B714" s="1" t="s">
        <v>28</v>
      </c>
      <c r="C714" s="2">
        <v>0.0</v>
      </c>
      <c r="D714" s="2">
        <v>3.89</v>
      </c>
      <c r="E714" s="2">
        <v>1250.0</v>
      </c>
      <c r="F714" s="1" t="s">
        <v>1014</v>
      </c>
      <c r="G714" s="1" t="s">
        <v>32</v>
      </c>
      <c r="H714" s="1" t="s">
        <v>23</v>
      </c>
      <c r="I714" s="1" t="s">
        <v>24</v>
      </c>
      <c r="J714" s="1" t="s">
        <v>1015</v>
      </c>
      <c r="K714" s="19" t="s">
        <v>68</v>
      </c>
      <c r="L714" s="20" t="s">
        <v>70</v>
      </c>
      <c r="M714" s="21">
        <f t="shared" si="1"/>
        <v>4</v>
      </c>
      <c r="N714" s="2">
        <v>-255.1689</v>
      </c>
      <c r="O714" s="2">
        <v>21.0</v>
      </c>
      <c r="P714" s="2">
        <v>85.64</v>
      </c>
      <c r="Q714" s="2">
        <v>87877.0</v>
      </c>
      <c r="R714" s="15" t="b">
        <f>ISNUMBER(MATCH(Q714,'Returned order'!A:A,0))</f>
        <v>0</v>
      </c>
      <c r="S714" s="22">
        <v>42103.0</v>
      </c>
      <c r="T714" s="15"/>
      <c r="U714" s="15"/>
      <c r="V714" s="15"/>
    </row>
    <row r="715">
      <c r="A715" s="2">
        <v>18414.0</v>
      </c>
      <c r="B715" s="1" t="s">
        <v>28</v>
      </c>
      <c r="C715" s="2">
        <v>0.09</v>
      </c>
      <c r="D715" s="2">
        <v>120.98</v>
      </c>
      <c r="E715" s="2">
        <v>1250.0</v>
      </c>
      <c r="F715" s="1" t="s">
        <v>1014</v>
      </c>
      <c r="G715" s="1" t="s">
        <v>32</v>
      </c>
      <c r="H715" s="1" t="s">
        <v>37</v>
      </c>
      <c r="I715" s="1" t="s">
        <v>38</v>
      </c>
      <c r="J715" s="1" t="s">
        <v>1016</v>
      </c>
      <c r="K715" s="19" t="s">
        <v>68</v>
      </c>
      <c r="L715" s="20" t="s">
        <v>70</v>
      </c>
      <c r="M715" s="21">
        <f t="shared" si="1"/>
        <v>4</v>
      </c>
      <c r="N715" s="2">
        <v>74.0048</v>
      </c>
      <c r="O715" s="2">
        <v>22.0</v>
      </c>
      <c r="P715" s="2">
        <v>2508.15</v>
      </c>
      <c r="Q715" s="2">
        <v>87877.0</v>
      </c>
      <c r="R715" s="15" t="b">
        <f>ISNUMBER(MATCH(Q715,'Returned order'!A:A,0))</f>
        <v>0</v>
      </c>
      <c r="S715" s="22">
        <v>42103.0</v>
      </c>
      <c r="T715" s="15"/>
      <c r="U715" s="15"/>
      <c r="V715" s="15"/>
    </row>
    <row r="716">
      <c r="A716" s="2">
        <v>18415.0</v>
      </c>
      <c r="B716" s="1" t="s">
        <v>28</v>
      </c>
      <c r="C716" s="2">
        <v>0.1</v>
      </c>
      <c r="D716" s="2">
        <v>30.98</v>
      </c>
      <c r="E716" s="2">
        <v>1250.0</v>
      </c>
      <c r="F716" s="1" t="s">
        <v>1014</v>
      </c>
      <c r="G716" s="1" t="s">
        <v>32</v>
      </c>
      <c r="H716" s="1" t="s">
        <v>23</v>
      </c>
      <c r="I716" s="1" t="s">
        <v>93</v>
      </c>
      <c r="J716" s="1" t="s">
        <v>1017</v>
      </c>
      <c r="K716" s="19" t="s">
        <v>68</v>
      </c>
      <c r="L716" s="20" t="s">
        <v>70</v>
      </c>
      <c r="M716" s="21">
        <f t="shared" si="1"/>
        <v>4</v>
      </c>
      <c r="N716" s="2">
        <v>109.4248</v>
      </c>
      <c r="O716" s="2">
        <v>8.0</v>
      </c>
      <c r="P716" s="2">
        <v>225.62</v>
      </c>
      <c r="Q716" s="2">
        <v>87877.0</v>
      </c>
      <c r="R716" s="15" t="b">
        <f>ISNUMBER(MATCH(Q716,'Returned order'!A:A,0))</f>
        <v>0</v>
      </c>
      <c r="S716" s="22">
        <v>42103.0</v>
      </c>
      <c r="T716" s="15"/>
      <c r="U716" s="15"/>
      <c r="V716" s="15"/>
    </row>
    <row r="717">
      <c r="A717" s="2">
        <v>19322.0</v>
      </c>
      <c r="B717" s="1" t="s">
        <v>170</v>
      </c>
      <c r="C717" s="2">
        <v>0.02</v>
      </c>
      <c r="D717" s="2">
        <v>46.89</v>
      </c>
      <c r="E717" s="2">
        <v>1253.0</v>
      </c>
      <c r="F717" s="1" t="s">
        <v>1018</v>
      </c>
      <c r="G717" s="1" t="s">
        <v>51</v>
      </c>
      <c r="H717" s="1" t="s">
        <v>23</v>
      </c>
      <c r="I717" s="1" t="s">
        <v>151</v>
      </c>
      <c r="J717" s="1" t="s">
        <v>1019</v>
      </c>
      <c r="K717" s="19" t="s">
        <v>68</v>
      </c>
      <c r="L717" s="20" t="s">
        <v>70</v>
      </c>
      <c r="M717" s="21">
        <f t="shared" si="1"/>
        <v>4</v>
      </c>
      <c r="N717" s="2">
        <v>421.3485</v>
      </c>
      <c r="O717" s="2">
        <v>13.0</v>
      </c>
      <c r="P717" s="2">
        <v>610.65</v>
      </c>
      <c r="Q717" s="2">
        <v>89981.0</v>
      </c>
      <c r="R717" s="15" t="b">
        <f>ISNUMBER(MATCH(Q717,'Returned order'!A:A,0))</f>
        <v>0</v>
      </c>
      <c r="S717" s="22">
        <v>42117.0</v>
      </c>
      <c r="T717" s="15"/>
      <c r="U717" s="15"/>
      <c r="V717" s="15"/>
    </row>
    <row r="718">
      <c r="A718" s="2">
        <v>19323.0</v>
      </c>
      <c r="B718" s="1" t="s">
        <v>170</v>
      </c>
      <c r="C718" s="2">
        <v>0.05</v>
      </c>
      <c r="D718" s="2">
        <v>140.98</v>
      </c>
      <c r="E718" s="2">
        <v>1253.0</v>
      </c>
      <c r="F718" s="1" t="s">
        <v>1018</v>
      </c>
      <c r="G718" s="1" t="s">
        <v>51</v>
      </c>
      <c r="H718" s="1" t="s">
        <v>37</v>
      </c>
      <c r="I718" s="1" t="s">
        <v>55</v>
      </c>
      <c r="J718" s="1" t="s">
        <v>1020</v>
      </c>
      <c r="K718" s="19" t="s">
        <v>68</v>
      </c>
      <c r="L718" s="20" t="s">
        <v>70</v>
      </c>
      <c r="M718" s="21">
        <f t="shared" si="1"/>
        <v>4</v>
      </c>
      <c r="N718" s="2">
        <v>-373.09</v>
      </c>
      <c r="O718" s="2">
        <v>5.0</v>
      </c>
      <c r="P718" s="2">
        <v>699.24</v>
      </c>
      <c r="Q718" s="2">
        <v>89981.0</v>
      </c>
      <c r="R718" s="15" t="b">
        <f>ISNUMBER(MATCH(Q718,'Returned order'!A:A,0))</f>
        <v>0</v>
      </c>
      <c r="S718" s="22">
        <v>42117.0</v>
      </c>
      <c r="T718" s="15"/>
      <c r="U718" s="15"/>
      <c r="V718" s="15"/>
    </row>
    <row r="719">
      <c r="A719" s="2">
        <v>19324.0</v>
      </c>
      <c r="B719" s="1" t="s">
        <v>170</v>
      </c>
      <c r="C719" s="2">
        <v>0.1</v>
      </c>
      <c r="D719" s="2">
        <v>212.6</v>
      </c>
      <c r="E719" s="2">
        <v>1253.0</v>
      </c>
      <c r="F719" s="1" t="s">
        <v>1018</v>
      </c>
      <c r="G719" s="1" t="s">
        <v>51</v>
      </c>
      <c r="H719" s="1" t="s">
        <v>37</v>
      </c>
      <c r="I719" s="1" t="s">
        <v>73</v>
      </c>
      <c r="J719" s="1" t="s">
        <v>1021</v>
      </c>
      <c r="K719" s="19" t="s">
        <v>68</v>
      </c>
      <c r="L719" s="20" t="s">
        <v>70</v>
      </c>
      <c r="M719" s="21">
        <f t="shared" si="1"/>
        <v>4</v>
      </c>
      <c r="N719" s="2">
        <v>-3465.072</v>
      </c>
      <c r="O719" s="2">
        <v>12.0</v>
      </c>
      <c r="P719" s="2">
        <v>2346.03</v>
      </c>
      <c r="Q719" s="2">
        <v>89981.0</v>
      </c>
      <c r="R719" s="15" t="b">
        <f>ISNUMBER(MATCH(Q719,'Returned order'!A:A,0))</f>
        <v>0</v>
      </c>
      <c r="S719" s="22">
        <v>42117.0</v>
      </c>
      <c r="T719" s="15"/>
      <c r="U719" s="15"/>
      <c r="V719" s="15"/>
    </row>
    <row r="720">
      <c r="A720" s="2">
        <v>23455.0</v>
      </c>
      <c r="B720" s="1" t="s">
        <v>63</v>
      </c>
      <c r="C720" s="2">
        <v>0.04</v>
      </c>
      <c r="D720" s="2">
        <v>2.08</v>
      </c>
      <c r="E720" s="2">
        <v>1254.0</v>
      </c>
      <c r="F720" s="1" t="s">
        <v>1022</v>
      </c>
      <c r="G720" s="1" t="s">
        <v>51</v>
      </c>
      <c r="H720" s="1" t="s">
        <v>23</v>
      </c>
      <c r="I720" s="1" t="s">
        <v>24</v>
      </c>
      <c r="J720" s="1" t="s">
        <v>1023</v>
      </c>
      <c r="K720" s="19" t="s">
        <v>68</v>
      </c>
      <c r="L720" s="20" t="s">
        <v>70</v>
      </c>
      <c r="M720" s="21">
        <f t="shared" si="1"/>
        <v>4</v>
      </c>
      <c r="N720" s="2">
        <v>-11.2815</v>
      </c>
      <c r="O720" s="2">
        <v>16.0</v>
      </c>
      <c r="P720" s="2">
        <v>33.77</v>
      </c>
      <c r="Q720" s="2">
        <v>89982.0</v>
      </c>
      <c r="R720" s="15" t="b">
        <f>ISNUMBER(MATCH(Q720,'Returned order'!A:A,0))</f>
        <v>0</v>
      </c>
      <c r="S720" s="22">
        <v>42145.0</v>
      </c>
      <c r="T720" s="15"/>
      <c r="U720" s="15"/>
      <c r="V720" s="15"/>
    </row>
    <row r="721">
      <c r="A721" s="2">
        <v>23815.0</v>
      </c>
      <c r="B721" s="1" t="s">
        <v>58</v>
      </c>
      <c r="C721" s="2">
        <v>0.06</v>
      </c>
      <c r="D721" s="2">
        <v>80.98</v>
      </c>
      <c r="E721" s="2">
        <v>1254.0</v>
      </c>
      <c r="F721" s="1" t="s">
        <v>1022</v>
      </c>
      <c r="G721" s="1" t="s">
        <v>51</v>
      </c>
      <c r="H721" s="1" t="s">
        <v>23</v>
      </c>
      <c r="I721" s="1" t="s">
        <v>120</v>
      </c>
      <c r="J721" s="1" t="s">
        <v>1024</v>
      </c>
      <c r="K721" s="19" t="s">
        <v>68</v>
      </c>
      <c r="L721" s="20" t="s">
        <v>70</v>
      </c>
      <c r="M721" s="21">
        <f t="shared" si="1"/>
        <v>4</v>
      </c>
      <c r="N721" s="2">
        <v>-218.77</v>
      </c>
      <c r="O721" s="2">
        <v>2.0</v>
      </c>
      <c r="P721" s="2">
        <v>172.79</v>
      </c>
      <c r="Q721" s="2">
        <v>89983.0</v>
      </c>
      <c r="R721" s="15" t="b">
        <f>ISNUMBER(MATCH(Q721,'Returned order'!A:A,0))</f>
        <v>0</v>
      </c>
      <c r="S721" s="22">
        <v>42075.0</v>
      </c>
      <c r="T721" s="15"/>
      <c r="U721" s="15"/>
      <c r="V721" s="15"/>
    </row>
    <row r="722">
      <c r="A722" s="2">
        <v>23926.0</v>
      </c>
      <c r="B722" s="1" t="s">
        <v>63</v>
      </c>
      <c r="C722" s="2">
        <v>0.06</v>
      </c>
      <c r="D722" s="2">
        <v>3.95</v>
      </c>
      <c r="E722" s="2">
        <v>1254.0</v>
      </c>
      <c r="F722" s="1" t="s">
        <v>1022</v>
      </c>
      <c r="G722" s="1" t="s">
        <v>51</v>
      </c>
      <c r="H722" s="1" t="s">
        <v>23</v>
      </c>
      <c r="I722" s="1" t="s">
        <v>81</v>
      </c>
      <c r="J722" s="1" t="s">
        <v>1025</v>
      </c>
      <c r="K722" s="19" t="s">
        <v>68</v>
      </c>
      <c r="L722" s="20" t="s">
        <v>57</v>
      </c>
      <c r="M722" s="21">
        <f t="shared" si="1"/>
        <v>2</v>
      </c>
      <c r="N722" s="2">
        <v>-9.68</v>
      </c>
      <c r="O722" s="2">
        <v>5.0</v>
      </c>
      <c r="P722" s="2">
        <v>19.66</v>
      </c>
      <c r="Q722" s="2">
        <v>89984.0</v>
      </c>
      <c r="R722" s="15" t="b">
        <f>ISNUMBER(MATCH(Q722,'Returned order'!A:A,0))</f>
        <v>0</v>
      </c>
      <c r="S722" s="22">
        <v>42087.0</v>
      </c>
      <c r="T722" s="15"/>
      <c r="U722" s="15"/>
      <c r="V722" s="15"/>
    </row>
    <row r="723">
      <c r="A723" s="2">
        <v>18131.0</v>
      </c>
      <c r="B723" s="1" t="s">
        <v>63</v>
      </c>
      <c r="C723" s="2">
        <v>0.01</v>
      </c>
      <c r="D723" s="2">
        <v>115.99</v>
      </c>
      <c r="E723" s="2">
        <v>1257.0</v>
      </c>
      <c r="F723" s="1" t="s">
        <v>1026</v>
      </c>
      <c r="G723" s="1" t="s">
        <v>51</v>
      </c>
      <c r="H723" s="1" t="s">
        <v>46</v>
      </c>
      <c r="I723" s="1" t="s">
        <v>103</v>
      </c>
      <c r="J723" s="1" t="s">
        <v>1027</v>
      </c>
      <c r="K723" s="19" t="s">
        <v>34</v>
      </c>
      <c r="L723" s="20" t="s">
        <v>76</v>
      </c>
      <c r="M723" s="21">
        <f t="shared" si="1"/>
        <v>5</v>
      </c>
      <c r="N723" s="2">
        <v>-164.3952</v>
      </c>
      <c r="O723" s="2">
        <v>5.0</v>
      </c>
      <c r="P723" s="2">
        <v>604.35</v>
      </c>
      <c r="Q723" s="2">
        <v>86535.0</v>
      </c>
      <c r="R723" s="15" t="b">
        <f>ISNUMBER(MATCH(Q723,'Returned order'!A:A,0))</f>
        <v>0</v>
      </c>
      <c r="S723" s="22">
        <v>42146.0</v>
      </c>
      <c r="T723" s="15"/>
      <c r="U723" s="15"/>
      <c r="V723" s="15"/>
    </row>
    <row r="724">
      <c r="A724" s="2">
        <v>18693.0</v>
      </c>
      <c r="B724" s="1" t="s">
        <v>58</v>
      </c>
      <c r="C724" s="2">
        <v>0.04</v>
      </c>
      <c r="D724" s="2">
        <v>2.52</v>
      </c>
      <c r="E724" s="2">
        <v>1257.0</v>
      </c>
      <c r="F724" s="1" t="s">
        <v>1026</v>
      </c>
      <c r="G724" s="1" t="s">
        <v>51</v>
      </c>
      <c r="H724" s="1" t="s">
        <v>23</v>
      </c>
      <c r="I724" s="1" t="s">
        <v>257</v>
      </c>
      <c r="J724" s="1" t="s">
        <v>1028</v>
      </c>
      <c r="K724" s="19" t="s">
        <v>34</v>
      </c>
      <c r="L724" s="20" t="s">
        <v>76</v>
      </c>
      <c r="M724" s="21">
        <f t="shared" si="1"/>
        <v>5</v>
      </c>
      <c r="N724" s="2">
        <v>-8.208</v>
      </c>
      <c r="O724" s="2">
        <v>1.0</v>
      </c>
      <c r="P724" s="2">
        <v>3.13</v>
      </c>
      <c r="Q724" s="2">
        <v>86536.0</v>
      </c>
      <c r="R724" s="15" t="b">
        <f>ISNUMBER(MATCH(Q724,'Returned order'!A:A,0))</f>
        <v>0</v>
      </c>
      <c r="S724" s="22">
        <v>42118.0</v>
      </c>
      <c r="T724" s="15"/>
      <c r="U724" s="15"/>
      <c r="V724" s="15"/>
    </row>
    <row r="725">
      <c r="A725" s="2">
        <v>24939.0</v>
      </c>
      <c r="B725" s="1" t="s">
        <v>28</v>
      </c>
      <c r="C725" s="2">
        <v>0.03</v>
      </c>
      <c r="D725" s="2">
        <v>3.69</v>
      </c>
      <c r="E725" s="2">
        <v>1259.0</v>
      </c>
      <c r="F725" s="1" t="s">
        <v>1029</v>
      </c>
      <c r="G725" s="1" t="s">
        <v>51</v>
      </c>
      <c r="H725" s="1" t="s">
        <v>23</v>
      </c>
      <c r="I725" s="1" t="s">
        <v>88</v>
      </c>
      <c r="J725" s="1" t="s">
        <v>1030</v>
      </c>
      <c r="K725" s="19" t="s">
        <v>229</v>
      </c>
      <c r="L725" s="20" t="s">
        <v>27</v>
      </c>
      <c r="M725" s="21">
        <f t="shared" si="1"/>
        <v>1</v>
      </c>
      <c r="N725" s="2">
        <v>-2196.684</v>
      </c>
      <c r="O725" s="2">
        <v>9.0</v>
      </c>
      <c r="P725" s="2">
        <v>38.65</v>
      </c>
      <c r="Q725" s="2">
        <v>86534.0</v>
      </c>
      <c r="R725" s="15" t="b">
        <f>ISNUMBER(MATCH(Q725,'Returned order'!A:A,0))</f>
        <v>0</v>
      </c>
      <c r="S725" s="22">
        <v>42114.0</v>
      </c>
      <c r="T725" s="15"/>
      <c r="U725" s="15"/>
      <c r="V725" s="15"/>
    </row>
    <row r="726">
      <c r="A726" s="2">
        <v>21771.0</v>
      </c>
      <c r="B726" s="1" t="s">
        <v>58</v>
      </c>
      <c r="C726" s="2">
        <v>0.02</v>
      </c>
      <c r="D726" s="2">
        <v>73.98</v>
      </c>
      <c r="E726" s="2">
        <v>1261.0</v>
      </c>
      <c r="F726" s="1" t="s">
        <v>1031</v>
      </c>
      <c r="G726" s="1" t="s">
        <v>51</v>
      </c>
      <c r="H726" s="1" t="s">
        <v>46</v>
      </c>
      <c r="I726" s="1" t="s">
        <v>47</v>
      </c>
      <c r="J726" s="1" t="s">
        <v>883</v>
      </c>
      <c r="K726" s="19" t="s">
        <v>34</v>
      </c>
      <c r="L726" s="20" t="s">
        <v>70</v>
      </c>
      <c r="M726" s="21">
        <f t="shared" si="1"/>
        <v>4</v>
      </c>
      <c r="N726" s="2">
        <v>43.538</v>
      </c>
      <c r="O726" s="2">
        <v>5.0</v>
      </c>
      <c r="P726" s="2">
        <v>378.23</v>
      </c>
      <c r="Q726" s="2">
        <v>89730.0</v>
      </c>
      <c r="R726" s="15" t="b">
        <f>ISNUMBER(MATCH(Q726,'Returned order'!A:A,0))</f>
        <v>0</v>
      </c>
      <c r="S726" s="22">
        <v>42131.0</v>
      </c>
      <c r="T726" s="15"/>
      <c r="U726" s="15"/>
      <c r="V726" s="15"/>
    </row>
    <row r="727">
      <c r="A727" s="2">
        <v>24559.0</v>
      </c>
      <c r="B727" s="1" t="s">
        <v>58</v>
      </c>
      <c r="C727" s="2">
        <v>0.05</v>
      </c>
      <c r="D727" s="2">
        <v>5.28</v>
      </c>
      <c r="E727" s="2">
        <v>1265.0</v>
      </c>
      <c r="F727" s="1" t="s">
        <v>1032</v>
      </c>
      <c r="G727" s="1" t="s">
        <v>51</v>
      </c>
      <c r="H727" s="1" t="s">
        <v>23</v>
      </c>
      <c r="I727" s="1" t="s">
        <v>93</v>
      </c>
      <c r="J727" s="1" t="s">
        <v>1033</v>
      </c>
      <c r="K727" s="19" t="s">
        <v>68</v>
      </c>
      <c r="L727" s="20" t="s">
        <v>70</v>
      </c>
      <c r="M727" s="21">
        <f t="shared" si="1"/>
        <v>4</v>
      </c>
      <c r="N727" s="2">
        <v>-11.376</v>
      </c>
      <c r="O727" s="2">
        <v>1.0</v>
      </c>
      <c r="P727" s="2">
        <v>7.15</v>
      </c>
      <c r="Q727" s="2">
        <v>89729.0</v>
      </c>
      <c r="R727" s="15" t="b">
        <f>ISNUMBER(MATCH(Q727,'Returned order'!A:A,0))</f>
        <v>0</v>
      </c>
      <c r="S727" s="22">
        <v>42166.0</v>
      </c>
      <c r="T727" s="15"/>
      <c r="U727" s="15"/>
      <c r="V727" s="15"/>
    </row>
    <row r="728">
      <c r="A728" s="2">
        <v>22363.0</v>
      </c>
      <c r="B728" s="1" t="s">
        <v>58</v>
      </c>
      <c r="C728" s="2">
        <v>0.01</v>
      </c>
      <c r="D728" s="2">
        <v>13.99</v>
      </c>
      <c r="E728" s="2">
        <v>1267.0</v>
      </c>
      <c r="F728" s="1" t="s">
        <v>1034</v>
      </c>
      <c r="G728" s="1" t="s">
        <v>32</v>
      </c>
      <c r="H728" s="1" t="s">
        <v>46</v>
      </c>
      <c r="I728" s="1" t="s">
        <v>103</v>
      </c>
      <c r="J728" s="1" t="s">
        <v>1035</v>
      </c>
      <c r="K728" s="19" t="s">
        <v>229</v>
      </c>
      <c r="L728" s="20" t="s">
        <v>57</v>
      </c>
      <c r="M728" s="21">
        <f t="shared" si="1"/>
        <v>2</v>
      </c>
      <c r="N728" s="2">
        <v>533.742</v>
      </c>
      <c r="O728" s="2">
        <v>2.0</v>
      </c>
      <c r="P728" s="2">
        <v>29.85</v>
      </c>
      <c r="Q728" s="2">
        <v>89514.0</v>
      </c>
      <c r="R728" s="15" t="b">
        <f>ISNUMBER(MATCH(Q728,'Returned order'!A:A,0))</f>
        <v>0</v>
      </c>
      <c r="S728" s="22">
        <v>42045.0</v>
      </c>
      <c r="T728" s="15"/>
      <c r="U728" s="15"/>
      <c r="V728" s="15"/>
    </row>
    <row r="729">
      <c r="A729" s="2">
        <v>21848.0</v>
      </c>
      <c r="B729" s="1" t="s">
        <v>49</v>
      </c>
      <c r="C729" s="2">
        <v>0.08</v>
      </c>
      <c r="D729" s="2">
        <v>128.24</v>
      </c>
      <c r="E729" s="2">
        <v>1267.0</v>
      </c>
      <c r="F729" s="1" t="s">
        <v>1034</v>
      </c>
      <c r="G729" s="1" t="s">
        <v>32</v>
      </c>
      <c r="H729" s="1" t="s">
        <v>37</v>
      </c>
      <c r="I729" s="1" t="s">
        <v>38</v>
      </c>
      <c r="J729" s="1" t="s">
        <v>530</v>
      </c>
      <c r="K729" s="19" t="s">
        <v>229</v>
      </c>
      <c r="L729" s="20" t="s">
        <v>57</v>
      </c>
      <c r="M729" s="21">
        <f t="shared" si="1"/>
        <v>2</v>
      </c>
      <c r="N729" s="2">
        <v>-379.344</v>
      </c>
      <c r="O729" s="2">
        <v>3.0</v>
      </c>
      <c r="P729" s="2">
        <v>366.44</v>
      </c>
      <c r="Q729" s="2">
        <v>89515.0</v>
      </c>
      <c r="R729" s="15" t="b">
        <f>ISNUMBER(MATCH(Q729,'Returned order'!A:A,0))</f>
        <v>0</v>
      </c>
      <c r="S729" s="22">
        <v>42136.0</v>
      </c>
      <c r="T729" s="15"/>
      <c r="U729" s="15"/>
      <c r="V729" s="15"/>
    </row>
    <row r="730">
      <c r="A730" s="2">
        <v>21849.0</v>
      </c>
      <c r="B730" s="1" t="s">
        <v>49</v>
      </c>
      <c r="C730" s="2">
        <v>0.04</v>
      </c>
      <c r="D730" s="2">
        <v>5.98</v>
      </c>
      <c r="E730" s="2">
        <v>1267.0</v>
      </c>
      <c r="F730" s="1" t="s">
        <v>1034</v>
      </c>
      <c r="G730" s="1" t="s">
        <v>32</v>
      </c>
      <c r="H730" s="1" t="s">
        <v>46</v>
      </c>
      <c r="I730" s="1" t="s">
        <v>47</v>
      </c>
      <c r="J730" s="1" t="s">
        <v>1036</v>
      </c>
      <c r="K730" s="19" t="s">
        <v>229</v>
      </c>
      <c r="L730" s="20" t="s">
        <v>57</v>
      </c>
      <c r="M730" s="21">
        <f t="shared" si="1"/>
        <v>2</v>
      </c>
      <c r="N730" s="2">
        <v>-1522.304</v>
      </c>
      <c r="O730" s="2">
        <v>11.0</v>
      </c>
      <c r="P730" s="2">
        <v>69.75</v>
      </c>
      <c r="Q730" s="2">
        <v>89515.0</v>
      </c>
      <c r="R730" s="15" t="b">
        <f>ISNUMBER(MATCH(Q730,'Returned order'!A:A,0))</f>
        <v>0</v>
      </c>
      <c r="S730" s="22">
        <v>42136.0</v>
      </c>
      <c r="T730" s="15"/>
      <c r="U730" s="15"/>
      <c r="V730" s="15"/>
    </row>
    <row r="731">
      <c r="A731" s="2">
        <v>19550.0</v>
      </c>
      <c r="B731" s="1" t="s">
        <v>63</v>
      </c>
      <c r="C731" s="2">
        <v>0.07</v>
      </c>
      <c r="D731" s="2">
        <v>125.99</v>
      </c>
      <c r="E731" s="2">
        <v>1271.0</v>
      </c>
      <c r="F731" s="1" t="s">
        <v>1037</v>
      </c>
      <c r="G731" s="1" t="s">
        <v>32</v>
      </c>
      <c r="H731" s="1" t="s">
        <v>46</v>
      </c>
      <c r="I731" s="1" t="s">
        <v>85</v>
      </c>
      <c r="J731" s="1" t="s">
        <v>165</v>
      </c>
      <c r="K731" s="19" t="s">
        <v>34</v>
      </c>
      <c r="L731" s="20" t="s">
        <v>70</v>
      </c>
      <c r="M731" s="21">
        <f t="shared" si="1"/>
        <v>4</v>
      </c>
      <c r="N731" s="2">
        <v>588.2457</v>
      </c>
      <c r="O731" s="2">
        <v>8.0</v>
      </c>
      <c r="P731" s="2">
        <v>852.53</v>
      </c>
      <c r="Q731" s="2">
        <v>88410.0</v>
      </c>
      <c r="R731" s="15" t="b">
        <f>ISNUMBER(MATCH(Q731,'Returned order'!A:A,0))</f>
        <v>0</v>
      </c>
      <c r="S731" s="22">
        <v>42103.0</v>
      </c>
      <c r="T731" s="15"/>
      <c r="U731" s="15"/>
      <c r="V731" s="15"/>
    </row>
    <row r="732">
      <c r="A732" s="2">
        <v>19398.0</v>
      </c>
      <c r="B732" s="1" t="s">
        <v>170</v>
      </c>
      <c r="C732" s="2">
        <v>0.1</v>
      </c>
      <c r="D732" s="2">
        <v>34.23</v>
      </c>
      <c r="E732" s="2">
        <v>1271.0</v>
      </c>
      <c r="F732" s="1" t="s">
        <v>1037</v>
      </c>
      <c r="G732" s="1" t="s">
        <v>32</v>
      </c>
      <c r="H732" s="1" t="s">
        <v>37</v>
      </c>
      <c r="I732" s="1" t="s">
        <v>42</v>
      </c>
      <c r="J732" s="1" t="s">
        <v>1038</v>
      </c>
      <c r="K732" s="19" t="s">
        <v>34</v>
      </c>
      <c r="L732" s="20" t="s">
        <v>76</v>
      </c>
      <c r="M732" s="21">
        <f t="shared" si="1"/>
        <v>5</v>
      </c>
      <c r="N732" s="2">
        <v>151.5654</v>
      </c>
      <c r="O732" s="2">
        <v>7.0</v>
      </c>
      <c r="P732" s="2">
        <v>219.66</v>
      </c>
      <c r="Q732" s="2">
        <v>88411.0</v>
      </c>
      <c r="R732" s="15" t="b">
        <f>ISNUMBER(MATCH(Q732,'Returned order'!A:A,0))</f>
        <v>0</v>
      </c>
      <c r="S732" s="22">
        <v>42125.0</v>
      </c>
      <c r="T732" s="15"/>
      <c r="U732" s="15"/>
      <c r="V732" s="15"/>
    </row>
    <row r="733">
      <c r="A733" s="2">
        <v>20628.0</v>
      </c>
      <c r="B733" s="1" t="s">
        <v>58</v>
      </c>
      <c r="C733" s="2">
        <v>0.07</v>
      </c>
      <c r="D733" s="2">
        <v>40.98</v>
      </c>
      <c r="E733" s="2">
        <v>1279.0</v>
      </c>
      <c r="F733" s="1" t="s">
        <v>1039</v>
      </c>
      <c r="G733" s="1" t="s">
        <v>32</v>
      </c>
      <c r="H733" s="1" t="s">
        <v>23</v>
      </c>
      <c r="I733" s="1" t="s">
        <v>24</v>
      </c>
      <c r="J733" s="1" t="s">
        <v>1040</v>
      </c>
      <c r="K733" s="19" t="s">
        <v>68</v>
      </c>
      <c r="L733" s="20" t="s">
        <v>61</v>
      </c>
      <c r="M733" s="21">
        <f t="shared" si="1"/>
        <v>7</v>
      </c>
      <c r="N733" s="2">
        <v>54.9015</v>
      </c>
      <c r="O733" s="2">
        <v>2.0</v>
      </c>
      <c r="P733" s="2">
        <v>81.9</v>
      </c>
      <c r="Q733" s="2">
        <v>90114.0</v>
      </c>
      <c r="R733" s="15" t="b">
        <f>ISNUMBER(MATCH(Q733,'Returned order'!A:A,0))</f>
        <v>0</v>
      </c>
      <c r="S733" s="22">
        <v>42064.0</v>
      </c>
      <c r="T733" s="15"/>
      <c r="U733" s="15"/>
      <c r="V733" s="15"/>
    </row>
    <row r="734">
      <c r="A734" s="2">
        <v>25005.0</v>
      </c>
      <c r="B734" s="1" t="s">
        <v>49</v>
      </c>
      <c r="C734" s="2">
        <v>0.0</v>
      </c>
      <c r="D734" s="2">
        <v>442.14</v>
      </c>
      <c r="E734" s="2">
        <v>1279.0</v>
      </c>
      <c r="F734" s="1" t="s">
        <v>1039</v>
      </c>
      <c r="G734" s="1" t="s">
        <v>32</v>
      </c>
      <c r="H734" s="1" t="s">
        <v>46</v>
      </c>
      <c r="I734" s="1" t="s">
        <v>103</v>
      </c>
      <c r="J734" s="1" t="s">
        <v>345</v>
      </c>
      <c r="K734" s="19" t="s">
        <v>68</v>
      </c>
      <c r="L734" s="20" t="s">
        <v>70</v>
      </c>
      <c r="M734" s="21">
        <f t="shared" si="1"/>
        <v>4</v>
      </c>
      <c r="N734" s="2">
        <v>501.51</v>
      </c>
      <c r="O734" s="2">
        <v>5.0</v>
      </c>
      <c r="P734" s="2">
        <v>2343.34</v>
      </c>
      <c r="Q734" s="2">
        <v>90115.0</v>
      </c>
      <c r="R734" s="15" t="b">
        <f>ISNUMBER(MATCH(Q734,'Returned order'!A:A,0))</f>
        <v>0</v>
      </c>
      <c r="S734" s="22">
        <v>42068.0</v>
      </c>
      <c r="T734" s="15"/>
      <c r="U734" s="15"/>
      <c r="V734" s="15"/>
    </row>
    <row r="735">
      <c r="A735" s="2">
        <v>2628.0</v>
      </c>
      <c r="B735" s="1" t="s">
        <v>58</v>
      </c>
      <c r="C735" s="2">
        <v>0.07</v>
      </c>
      <c r="D735" s="2">
        <v>40.98</v>
      </c>
      <c r="E735" s="2">
        <v>1280.0</v>
      </c>
      <c r="F735" s="1" t="s">
        <v>1041</v>
      </c>
      <c r="G735" s="1" t="s">
        <v>32</v>
      </c>
      <c r="H735" s="1" t="s">
        <v>23</v>
      </c>
      <c r="I735" s="1" t="s">
        <v>24</v>
      </c>
      <c r="J735" s="1" t="s">
        <v>1040</v>
      </c>
      <c r="K735" s="19" t="s">
        <v>34</v>
      </c>
      <c r="L735" s="20" t="s">
        <v>61</v>
      </c>
      <c r="M735" s="21">
        <f t="shared" si="1"/>
        <v>7</v>
      </c>
      <c r="N735" s="2">
        <v>54.9015</v>
      </c>
      <c r="O735" s="2">
        <v>8.0</v>
      </c>
      <c r="P735" s="2">
        <v>327.61</v>
      </c>
      <c r="Q735" s="2">
        <v>19042.0</v>
      </c>
      <c r="R735" s="15" t="b">
        <f>ISNUMBER(MATCH(Q735,'Returned order'!A:A,0))</f>
        <v>0</v>
      </c>
      <c r="S735" s="22">
        <v>42064.0</v>
      </c>
      <c r="T735" s="15"/>
      <c r="U735" s="15"/>
      <c r="V735" s="15"/>
    </row>
    <row r="736">
      <c r="A736" s="2">
        <v>22125.0</v>
      </c>
      <c r="B736" s="1" t="s">
        <v>170</v>
      </c>
      <c r="C736" s="2">
        <v>0.1</v>
      </c>
      <c r="D736" s="2">
        <v>238.4</v>
      </c>
      <c r="E736" s="2">
        <v>1281.0</v>
      </c>
      <c r="F736" s="1" t="s">
        <v>1042</v>
      </c>
      <c r="G736" s="1" t="s">
        <v>66</v>
      </c>
      <c r="H736" s="1" t="s">
        <v>37</v>
      </c>
      <c r="I736" s="1" t="s">
        <v>38</v>
      </c>
      <c r="J736" s="1" t="s">
        <v>1043</v>
      </c>
      <c r="K736" s="19" t="s">
        <v>68</v>
      </c>
      <c r="L736" s="20" t="s">
        <v>53</v>
      </c>
      <c r="M736" s="21">
        <f t="shared" si="1"/>
        <v>6</v>
      </c>
      <c r="N736" s="2">
        <v>875.2844</v>
      </c>
      <c r="O736" s="2">
        <v>8.0</v>
      </c>
      <c r="P736" s="2">
        <v>1774.5</v>
      </c>
      <c r="Q736" s="2">
        <v>89112.0</v>
      </c>
      <c r="R736" s="15" t="b">
        <f>ISNUMBER(MATCH(Q736,'Returned order'!A:A,0))</f>
        <v>0</v>
      </c>
      <c r="S736" s="22">
        <v>42028.0</v>
      </c>
      <c r="T736" s="15"/>
      <c r="U736" s="15"/>
      <c r="V736" s="15"/>
    </row>
    <row r="737">
      <c r="A737" s="2">
        <v>22126.0</v>
      </c>
      <c r="B737" s="1" t="s">
        <v>170</v>
      </c>
      <c r="C737" s="2">
        <v>0.03</v>
      </c>
      <c r="D737" s="2">
        <v>199.99</v>
      </c>
      <c r="E737" s="2">
        <v>1281.0</v>
      </c>
      <c r="F737" s="1" t="s">
        <v>1042</v>
      </c>
      <c r="G737" s="1" t="s">
        <v>66</v>
      </c>
      <c r="H737" s="1" t="s">
        <v>46</v>
      </c>
      <c r="I737" s="1" t="s">
        <v>138</v>
      </c>
      <c r="J737" s="1" t="s">
        <v>1044</v>
      </c>
      <c r="K737" s="19" t="s">
        <v>68</v>
      </c>
      <c r="L737" s="20" t="s">
        <v>53</v>
      </c>
      <c r="M737" s="21">
        <f t="shared" si="1"/>
        <v>6</v>
      </c>
      <c r="N737" s="2">
        <v>727.7361</v>
      </c>
      <c r="O737" s="2">
        <v>5.0</v>
      </c>
      <c r="P737" s="2">
        <v>1054.69</v>
      </c>
      <c r="Q737" s="2">
        <v>89112.0</v>
      </c>
      <c r="R737" s="15" t="b">
        <f>ISNUMBER(MATCH(Q737,'Returned order'!A:A,0))</f>
        <v>0</v>
      </c>
      <c r="S737" s="22">
        <v>42028.0</v>
      </c>
      <c r="T737" s="15"/>
      <c r="U737" s="15"/>
      <c r="V737" s="15"/>
    </row>
    <row r="738">
      <c r="A738" s="2">
        <v>4125.0</v>
      </c>
      <c r="B738" s="1" t="s">
        <v>170</v>
      </c>
      <c r="C738" s="2">
        <v>0.1</v>
      </c>
      <c r="D738" s="2">
        <v>238.4</v>
      </c>
      <c r="E738" s="2">
        <v>1282.0</v>
      </c>
      <c r="F738" s="1" t="s">
        <v>1045</v>
      </c>
      <c r="G738" s="1" t="s">
        <v>66</v>
      </c>
      <c r="H738" s="1" t="s">
        <v>37</v>
      </c>
      <c r="I738" s="1" t="s">
        <v>38</v>
      </c>
      <c r="J738" s="1" t="s">
        <v>1043</v>
      </c>
      <c r="K738" s="19" t="s">
        <v>26</v>
      </c>
      <c r="L738" s="20" t="s">
        <v>53</v>
      </c>
      <c r="M738" s="21">
        <f t="shared" si="1"/>
        <v>6</v>
      </c>
      <c r="N738" s="2">
        <v>460.676</v>
      </c>
      <c r="O738" s="2">
        <v>30.0</v>
      </c>
      <c r="P738" s="2">
        <v>6654.39</v>
      </c>
      <c r="Q738" s="2">
        <v>29319.0</v>
      </c>
      <c r="R738" s="15" t="b">
        <f>ISNUMBER(MATCH(Q738,'Returned order'!A:A,0))</f>
        <v>0</v>
      </c>
      <c r="S738" s="22">
        <v>42028.0</v>
      </c>
      <c r="T738" s="15"/>
      <c r="U738" s="15"/>
      <c r="V738" s="15"/>
    </row>
    <row r="739">
      <c r="A739" s="2">
        <v>4126.0</v>
      </c>
      <c r="B739" s="1" t="s">
        <v>170</v>
      </c>
      <c r="C739" s="2">
        <v>0.03</v>
      </c>
      <c r="D739" s="2">
        <v>199.99</v>
      </c>
      <c r="E739" s="2">
        <v>1282.0</v>
      </c>
      <c r="F739" s="1" t="s">
        <v>1045</v>
      </c>
      <c r="G739" s="1" t="s">
        <v>66</v>
      </c>
      <c r="H739" s="1" t="s">
        <v>46</v>
      </c>
      <c r="I739" s="1" t="s">
        <v>138</v>
      </c>
      <c r="J739" s="1" t="s">
        <v>1044</v>
      </c>
      <c r="K739" s="19" t="s">
        <v>26</v>
      </c>
      <c r="L739" s="20" t="s">
        <v>53</v>
      </c>
      <c r="M739" s="21">
        <f t="shared" si="1"/>
        <v>6</v>
      </c>
      <c r="N739" s="2">
        <v>393.42</v>
      </c>
      <c r="O739" s="2">
        <v>21.0</v>
      </c>
      <c r="P739" s="2">
        <v>4429.69</v>
      </c>
      <c r="Q739" s="2">
        <v>29319.0</v>
      </c>
      <c r="R739" s="15" t="b">
        <f>ISNUMBER(MATCH(Q739,'Returned order'!A:A,0))</f>
        <v>0</v>
      </c>
      <c r="S739" s="22">
        <v>42028.0</v>
      </c>
      <c r="T739" s="15"/>
      <c r="U739" s="15"/>
      <c r="V739" s="15"/>
    </row>
    <row r="740">
      <c r="A740" s="2">
        <v>19990.0</v>
      </c>
      <c r="B740" s="1" t="s">
        <v>49</v>
      </c>
      <c r="C740" s="2">
        <v>0.04</v>
      </c>
      <c r="D740" s="2">
        <v>150.98</v>
      </c>
      <c r="E740" s="2">
        <v>1298.0</v>
      </c>
      <c r="F740" s="1" t="s">
        <v>1046</v>
      </c>
      <c r="G740" s="1" t="s">
        <v>51</v>
      </c>
      <c r="H740" s="1" t="s">
        <v>46</v>
      </c>
      <c r="I740" s="1" t="s">
        <v>103</v>
      </c>
      <c r="J740" s="1" t="s">
        <v>537</v>
      </c>
      <c r="K740" s="19" t="s">
        <v>68</v>
      </c>
      <c r="L740" s="20" t="s">
        <v>70</v>
      </c>
      <c r="M740" s="21">
        <f t="shared" si="1"/>
        <v>4</v>
      </c>
      <c r="N740" s="2">
        <v>606.0546</v>
      </c>
      <c r="O740" s="2">
        <v>6.0</v>
      </c>
      <c r="P740" s="2">
        <v>878.34</v>
      </c>
      <c r="Q740" s="2">
        <v>90662.0</v>
      </c>
      <c r="R740" s="15" t="b">
        <f>ISNUMBER(MATCH(Q740,'Returned order'!A:A,0))</f>
        <v>0</v>
      </c>
      <c r="S740" s="22">
        <v>42047.0</v>
      </c>
      <c r="T740" s="15"/>
      <c r="U740" s="15"/>
      <c r="V740" s="15"/>
    </row>
    <row r="741">
      <c r="A741" s="2">
        <v>19991.0</v>
      </c>
      <c r="B741" s="1" t="s">
        <v>49</v>
      </c>
      <c r="C741" s="2">
        <v>0.04</v>
      </c>
      <c r="D741" s="2">
        <v>176.19</v>
      </c>
      <c r="E741" s="2">
        <v>1298.0</v>
      </c>
      <c r="F741" s="1" t="s">
        <v>1046</v>
      </c>
      <c r="G741" s="1" t="s">
        <v>51</v>
      </c>
      <c r="H741" s="1" t="s">
        <v>23</v>
      </c>
      <c r="I741" s="1" t="s">
        <v>120</v>
      </c>
      <c r="J741" s="1" t="s">
        <v>1047</v>
      </c>
      <c r="K741" s="19" t="s">
        <v>68</v>
      </c>
      <c r="L741" s="20" t="s">
        <v>70</v>
      </c>
      <c r="M741" s="21">
        <f t="shared" si="1"/>
        <v>4</v>
      </c>
      <c r="N741" s="2">
        <v>320.1</v>
      </c>
      <c r="O741" s="2">
        <v>4.0</v>
      </c>
      <c r="P741" s="2">
        <v>676.57</v>
      </c>
      <c r="Q741" s="2">
        <v>90662.0</v>
      </c>
      <c r="R741" s="15" t="b">
        <f>ISNUMBER(MATCH(Q741,'Returned order'!A:A,0))</f>
        <v>0</v>
      </c>
      <c r="S741" s="22">
        <v>42047.0</v>
      </c>
      <c r="T741" s="15"/>
      <c r="U741" s="15"/>
      <c r="V741" s="15"/>
    </row>
    <row r="742">
      <c r="A742" s="2">
        <v>23120.0</v>
      </c>
      <c r="B742" s="1" t="s">
        <v>28</v>
      </c>
      <c r="C742" s="2">
        <v>0.03</v>
      </c>
      <c r="D742" s="2">
        <v>39.48</v>
      </c>
      <c r="E742" s="2">
        <v>1303.0</v>
      </c>
      <c r="F742" s="1" t="s">
        <v>1048</v>
      </c>
      <c r="G742" s="1" t="s">
        <v>22</v>
      </c>
      <c r="H742" s="1" t="s">
        <v>46</v>
      </c>
      <c r="I742" s="1" t="s">
        <v>47</v>
      </c>
      <c r="J742" s="1" t="s">
        <v>588</v>
      </c>
      <c r="K742" s="19" t="s">
        <v>34</v>
      </c>
      <c r="L742" s="20" t="s">
        <v>70</v>
      </c>
      <c r="M742" s="21">
        <f t="shared" si="1"/>
        <v>4</v>
      </c>
      <c r="N742" s="2">
        <v>317.0895</v>
      </c>
      <c r="O742" s="2">
        <v>12.0</v>
      </c>
      <c r="P742" s="2">
        <v>459.55</v>
      </c>
      <c r="Q742" s="2">
        <v>87003.0</v>
      </c>
      <c r="R742" s="15" t="b">
        <f>ISNUMBER(MATCH(Q742,'Returned order'!A:A,0))</f>
        <v>0</v>
      </c>
      <c r="S742" s="22">
        <v>42054.0</v>
      </c>
      <c r="T742" s="15"/>
      <c r="U742" s="15"/>
      <c r="V742" s="15"/>
    </row>
    <row r="743">
      <c r="A743" s="2">
        <v>20652.0</v>
      </c>
      <c r="B743" s="1" t="s">
        <v>170</v>
      </c>
      <c r="C743" s="2">
        <v>0.01</v>
      </c>
      <c r="D743" s="2">
        <v>65.99</v>
      </c>
      <c r="E743" s="2">
        <v>1303.0</v>
      </c>
      <c r="F743" s="1" t="s">
        <v>1048</v>
      </c>
      <c r="G743" s="1" t="s">
        <v>22</v>
      </c>
      <c r="H743" s="1" t="s">
        <v>46</v>
      </c>
      <c r="I743" s="1" t="s">
        <v>85</v>
      </c>
      <c r="J743" s="1">
        <v>3390.0</v>
      </c>
      <c r="K743" s="19" t="s">
        <v>34</v>
      </c>
      <c r="L743" s="20" t="s">
        <v>70</v>
      </c>
      <c r="M743" s="21">
        <f t="shared" si="1"/>
        <v>4</v>
      </c>
      <c r="N743" s="2">
        <v>250.36272</v>
      </c>
      <c r="O743" s="2">
        <v>9.0</v>
      </c>
      <c r="P743" s="2">
        <v>536.9</v>
      </c>
      <c r="Q743" s="2">
        <v>87005.0</v>
      </c>
      <c r="R743" s="15" t="b">
        <f>ISNUMBER(MATCH(Q743,'Returned order'!A:A,0))</f>
        <v>0</v>
      </c>
      <c r="S743" s="22">
        <v>42054.0</v>
      </c>
      <c r="T743" s="15"/>
      <c r="U743" s="15"/>
      <c r="V743" s="15"/>
    </row>
    <row r="744">
      <c r="A744" s="2">
        <v>25092.0</v>
      </c>
      <c r="B744" s="1" t="s">
        <v>63</v>
      </c>
      <c r="C744" s="2">
        <v>0.08</v>
      </c>
      <c r="D744" s="2">
        <v>2.88</v>
      </c>
      <c r="E744" s="2">
        <v>1304.0</v>
      </c>
      <c r="F744" s="1" t="s">
        <v>1049</v>
      </c>
      <c r="G744" s="1" t="s">
        <v>22</v>
      </c>
      <c r="H744" s="1" t="s">
        <v>23</v>
      </c>
      <c r="I744" s="1" t="s">
        <v>130</v>
      </c>
      <c r="J744" s="1" t="s">
        <v>1050</v>
      </c>
      <c r="K744" s="19" t="s">
        <v>34</v>
      </c>
      <c r="L744" s="20" t="s">
        <v>70</v>
      </c>
      <c r="M744" s="21">
        <f t="shared" si="1"/>
        <v>4</v>
      </c>
      <c r="N744" s="2">
        <v>6.0306</v>
      </c>
      <c r="O744" s="2">
        <v>3.0</v>
      </c>
      <c r="P744" s="2">
        <v>8.74</v>
      </c>
      <c r="Q744" s="2">
        <v>87004.0</v>
      </c>
      <c r="R744" s="15" t="b">
        <f>ISNUMBER(MATCH(Q744,'Returned order'!A:A,0))</f>
        <v>0</v>
      </c>
      <c r="S744" s="22">
        <v>42117.0</v>
      </c>
      <c r="T744" s="15"/>
      <c r="U744" s="15"/>
      <c r="V744" s="15"/>
    </row>
    <row r="745">
      <c r="A745" s="2">
        <v>26274.0</v>
      </c>
      <c r="B745" s="1" t="s">
        <v>28</v>
      </c>
      <c r="C745" s="2">
        <v>0.04</v>
      </c>
      <c r="D745" s="2">
        <v>62.18</v>
      </c>
      <c r="E745" s="2">
        <v>1305.0</v>
      </c>
      <c r="F745" s="1" t="s">
        <v>1051</v>
      </c>
      <c r="G745" s="1" t="s">
        <v>22</v>
      </c>
      <c r="H745" s="1" t="s">
        <v>37</v>
      </c>
      <c r="I745" s="1" t="s">
        <v>42</v>
      </c>
      <c r="J745" s="1" t="s">
        <v>1052</v>
      </c>
      <c r="K745" s="19" t="s">
        <v>34</v>
      </c>
      <c r="L745" s="20" t="s">
        <v>57</v>
      </c>
      <c r="M745" s="21">
        <f t="shared" si="1"/>
        <v>2</v>
      </c>
      <c r="N745" s="2">
        <v>125.8077</v>
      </c>
      <c r="O745" s="2">
        <v>3.0</v>
      </c>
      <c r="P745" s="2">
        <v>182.33</v>
      </c>
      <c r="Q745" s="2">
        <v>87002.0</v>
      </c>
      <c r="R745" s="15" t="b">
        <f>ISNUMBER(MATCH(Q745,'Returned order'!A:A,0))</f>
        <v>0</v>
      </c>
      <c r="S745" s="22">
        <v>42052.0</v>
      </c>
      <c r="T745" s="15"/>
      <c r="U745" s="15"/>
      <c r="V745" s="15"/>
    </row>
    <row r="746">
      <c r="A746" s="2">
        <v>22832.0</v>
      </c>
      <c r="B746" s="1" t="s">
        <v>170</v>
      </c>
      <c r="C746" s="2">
        <v>0.04</v>
      </c>
      <c r="D746" s="2">
        <v>8.33</v>
      </c>
      <c r="E746" s="2">
        <v>1307.0</v>
      </c>
      <c r="F746" s="1" t="s">
        <v>1053</v>
      </c>
      <c r="G746" s="1" t="s">
        <v>66</v>
      </c>
      <c r="H746" s="1" t="s">
        <v>46</v>
      </c>
      <c r="I746" s="1" t="s">
        <v>47</v>
      </c>
      <c r="J746" s="1" t="s">
        <v>218</v>
      </c>
      <c r="K746" s="19" t="s">
        <v>34</v>
      </c>
      <c r="L746" s="20" t="s">
        <v>57</v>
      </c>
      <c r="M746" s="21">
        <f t="shared" si="1"/>
        <v>2</v>
      </c>
      <c r="N746" s="2">
        <v>44.892</v>
      </c>
      <c r="O746" s="2">
        <v>16.0</v>
      </c>
      <c r="P746" s="2">
        <v>131.26</v>
      </c>
      <c r="Q746" s="2">
        <v>91451.0</v>
      </c>
      <c r="R746" s="15" t="b">
        <f>ISNUMBER(MATCH(Q746,'Returned order'!A:A,0))</f>
        <v>0</v>
      </c>
      <c r="S746" s="22">
        <v>42185.0</v>
      </c>
      <c r="T746" s="15"/>
      <c r="U746" s="15"/>
      <c r="V746" s="15"/>
    </row>
    <row r="747">
      <c r="A747" s="2">
        <v>3167.0</v>
      </c>
      <c r="B747" s="1" t="s">
        <v>63</v>
      </c>
      <c r="C747" s="2">
        <v>0.04</v>
      </c>
      <c r="D747" s="2">
        <v>5.34</v>
      </c>
      <c r="E747" s="2">
        <v>1314.0</v>
      </c>
      <c r="F747" s="1" t="s">
        <v>1054</v>
      </c>
      <c r="G747" s="1" t="s">
        <v>51</v>
      </c>
      <c r="H747" s="1" t="s">
        <v>23</v>
      </c>
      <c r="I747" s="1" t="s">
        <v>24</v>
      </c>
      <c r="J747" s="1" t="s">
        <v>669</v>
      </c>
      <c r="K747" s="19" t="s">
        <v>34</v>
      </c>
      <c r="L747" s="20" t="s">
        <v>27</v>
      </c>
      <c r="M747" s="21">
        <f t="shared" si="1"/>
        <v>1</v>
      </c>
      <c r="N747" s="2">
        <v>3.451</v>
      </c>
      <c r="O747" s="2">
        <v>45.0</v>
      </c>
      <c r="P747" s="2">
        <v>240.6</v>
      </c>
      <c r="Q747" s="2">
        <v>22755.0</v>
      </c>
      <c r="R747" s="15" t="b">
        <f>ISNUMBER(MATCH(Q747,'Returned order'!A:A,0))</f>
        <v>0</v>
      </c>
      <c r="S747" s="22">
        <v>42093.0</v>
      </c>
      <c r="T747" s="15"/>
      <c r="U747" s="15"/>
      <c r="V747" s="15"/>
    </row>
    <row r="748">
      <c r="A748" s="2">
        <v>3168.0</v>
      </c>
      <c r="B748" s="1" t="s">
        <v>63</v>
      </c>
      <c r="C748" s="2">
        <v>0.06</v>
      </c>
      <c r="D748" s="2">
        <v>55.99</v>
      </c>
      <c r="E748" s="2">
        <v>1314.0</v>
      </c>
      <c r="F748" s="1" t="s">
        <v>1054</v>
      </c>
      <c r="G748" s="1" t="s">
        <v>51</v>
      </c>
      <c r="H748" s="1" t="s">
        <v>46</v>
      </c>
      <c r="I748" s="1" t="s">
        <v>85</v>
      </c>
      <c r="J748" s="1" t="s">
        <v>578</v>
      </c>
      <c r="K748" s="19" t="s">
        <v>34</v>
      </c>
      <c r="L748" s="20" t="s">
        <v>27</v>
      </c>
      <c r="M748" s="21">
        <f t="shared" si="1"/>
        <v>1</v>
      </c>
      <c r="N748" s="2">
        <v>-275.253</v>
      </c>
      <c r="O748" s="2">
        <v>5.0</v>
      </c>
      <c r="P748" s="2">
        <v>236.88</v>
      </c>
      <c r="Q748" s="2">
        <v>22755.0</v>
      </c>
      <c r="R748" s="15" t="b">
        <f>ISNUMBER(MATCH(Q748,'Returned order'!A:A,0))</f>
        <v>0</v>
      </c>
      <c r="S748" s="22">
        <v>42093.0</v>
      </c>
      <c r="T748" s="15"/>
      <c r="U748" s="15"/>
      <c r="V748" s="15"/>
    </row>
    <row r="749">
      <c r="A749" s="2">
        <v>3791.0</v>
      </c>
      <c r="B749" s="1" t="s">
        <v>170</v>
      </c>
      <c r="C749" s="2">
        <v>0.05</v>
      </c>
      <c r="D749" s="2">
        <v>80.98</v>
      </c>
      <c r="E749" s="2">
        <v>1314.0</v>
      </c>
      <c r="F749" s="1" t="s">
        <v>1054</v>
      </c>
      <c r="G749" s="1" t="s">
        <v>51</v>
      </c>
      <c r="H749" s="1" t="s">
        <v>23</v>
      </c>
      <c r="I749" s="1" t="s">
        <v>120</v>
      </c>
      <c r="J749" s="1" t="s">
        <v>1024</v>
      </c>
      <c r="K749" s="19" t="s">
        <v>34</v>
      </c>
      <c r="L749" s="20" t="s">
        <v>27</v>
      </c>
      <c r="M749" s="21">
        <f t="shared" si="1"/>
        <v>1</v>
      </c>
      <c r="N749" s="2">
        <v>-746.44</v>
      </c>
      <c r="O749" s="2">
        <v>34.0</v>
      </c>
      <c r="P749" s="2">
        <v>2710.47</v>
      </c>
      <c r="Q749" s="2">
        <v>27013.0</v>
      </c>
      <c r="R749" s="15" t="b">
        <f>ISNUMBER(MATCH(Q749,'Returned order'!A:A,0))</f>
        <v>0</v>
      </c>
      <c r="S749" s="22">
        <v>42009.0</v>
      </c>
      <c r="T749" s="15"/>
      <c r="U749" s="15"/>
      <c r="V749" s="15"/>
    </row>
    <row r="750">
      <c r="A750" s="2">
        <v>3792.0</v>
      </c>
      <c r="B750" s="1" t="s">
        <v>170</v>
      </c>
      <c r="C750" s="2">
        <v>0.05</v>
      </c>
      <c r="D750" s="2">
        <v>279.48</v>
      </c>
      <c r="E750" s="2">
        <v>1314.0</v>
      </c>
      <c r="F750" s="1" t="s">
        <v>1054</v>
      </c>
      <c r="G750" s="1" t="s">
        <v>51</v>
      </c>
      <c r="H750" s="1" t="s">
        <v>23</v>
      </c>
      <c r="I750" s="1" t="s">
        <v>120</v>
      </c>
      <c r="J750" s="1" t="s">
        <v>661</v>
      </c>
      <c r="K750" s="19" t="s">
        <v>34</v>
      </c>
      <c r="L750" s="20" t="s">
        <v>27</v>
      </c>
      <c r="M750" s="21">
        <f t="shared" si="1"/>
        <v>1</v>
      </c>
      <c r="N750" s="2">
        <v>-274.95</v>
      </c>
      <c r="O750" s="2">
        <v>31.0</v>
      </c>
      <c r="P750" s="2">
        <v>8354.73</v>
      </c>
      <c r="Q750" s="2">
        <v>27013.0</v>
      </c>
      <c r="R750" s="15" t="b">
        <f>ISNUMBER(MATCH(Q750,'Returned order'!A:A,0))</f>
        <v>0</v>
      </c>
      <c r="S750" s="22">
        <v>42009.0</v>
      </c>
      <c r="T750" s="15"/>
      <c r="U750" s="15"/>
      <c r="V750" s="15"/>
    </row>
    <row r="751">
      <c r="A751" s="2">
        <v>21166.0</v>
      </c>
      <c r="B751" s="1" t="s">
        <v>63</v>
      </c>
      <c r="C751" s="2">
        <v>0.0</v>
      </c>
      <c r="D751" s="2">
        <v>4.91</v>
      </c>
      <c r="E751" s="2">
        <v>1315.0</v>
      </c>
      <c r="F751" s="1" t="s">
        <v>1055</v>
      </c>
      <c r="G751" s="1" t="s">
        <v>51</v>
      </c>
      <c r="H751" s="1" t="s">
        <v>23</v>
      </c>
      <c r="I751" s="1" t="s">
        <v>24</v>
      </c>
      <c r="J751" s="1" t="s">
        <v>1056</v>
      </c>
      <c r="K751" s="19" t="s">
        <v>34</v>
      </c>
      <c r="L751" s="20" t="s">
        <v>27</v>
      </c>
      <c r="M751" s="21">
        <f t="shared" si="1"/>
        <v>1</v>
      </c>
      <c r="N751" s="2">
        <v>-95.0475</v>
      </c>
      <c r="O751" s="2">
        <v>9.0</v>
      </c>
      <c r="P751" s="2">
        <v>48.3</v>
      </c>
      <c r="Q751" s="2">
        <v>87602.0</v>
      </c>
      <c r="R751" s="15" t="b">
        <f>ISNUMBER(MATCH(Q751,'Returned order'!A:A,0))</f>
        <v>0</v>
      </c>
      <c r="S751" s="22">
        <v>42093.0</v>
      </c>
      <c r="T751" s="15"/>
      <c r="U751" s="15"/>
      <c r="V751" s="15"/>
    </row>
    <row r="752">
      <c r="A752" s="2">
        <v>21167.0</v>
      </c>
      <c r="B752" s="1" t="s">
        <v>63</v>
      </c>
      <c r="C752" s="2">
        <v>0.04</v>
      </c>
      <c r="D752" s="2">
        <v>5.34</v>
      </c>
      <c r="E752" s="2">
        <v>1316.0</v>
      </c>
      <c r="F752" s="1" t="s">
        <v>1057</v>
      </c>
      <c r="G752" s="1" t="s">
        <v>51</v>
      </c>
      <c r="H752" s="1" t="s">
        <v>23</v>
      </c>
      <c r="I752" s="1" t="s">
        <v>24</v>
      </c>
      <c r="J752" s="1" t="s">
        <v>669</v>
      </c>
      <c r="K752" s="19" t="s">
        <v>34</v>
      </c>
      <c r="L752" s="20" t="s">
        <v>27</v>
      </c>
      <c r="M752" s="21">
        <f t="shared" si="1"/>
        <v>1</v>
      </c>
      <c r="N752" s="2">
        <v>3.451</v>
      </c>
      <c r="O752" s="2">
        <v>11.0</v>
      </c>
      <c r="P752" s="2">
        <v>58.81</v>
      </c>
      <c r="Q752" s="2">
        <v>87602.0</v>
      </c>
      <c r="R752" s="15" t="b">
        <f>ISNUMBER(MATCH(Q752,'Returned order'!A:A,0))</f>
        <v>0</v>
      </c>
      <c r="S752" s="22">
        <v>42093.0</v>
      </c>
      <c r="T752" s="15"/>
      <c r="U752" s="15"/>
      <c r="V752" s="15"/>
    </row>
    <row r="753">
      <c r="A753" s="2">
        <v>21168.0</v>
      </c>
      <c r="B753" s="1" t="s">
        <v>63</v>
      </c>
      <c r="C753" s="2">
        <v>0.06</v>
      </c>
      <c r="D753" s="2">
        <v>55.99</v>
      </c>
      <c r="E753" s="2">
        <v>1316.0</v>
      </c>
      <c r="F753" s="1" t="s">
        <v>1057</v>
      </c>
      <c r="G753" s="1" t="s">
        <v>51</v>
      </c>
      <c r="H753" s="1" t="s">
        <v>46</v>
      </c>
      <c r="I753" s="1" t="s">
        <v>85</v>
      </c>
      <c r="J753" s="1" t="s">
        <v>578</v>
      </c>
      <c r="K753" s="19" t="s">
        <v>34</v>
      </c>
      <c r="L753" s="20" t="s">
        <v>27</v>
      </c>
      <c r="M753" s="21">
        <f t="shared" si="1"/>
        <v>1</v>
      </c>
      <c r="N753" s="2">
        <v>-275.253</v>
      </c>
      <c r="O753" s="2">
        <v>1.0</v>
      </c>
      <c r="P753" s="2">
        <v>47.38</v>
      </c>
      <c r="Q753" s="2">
        <v>87602.0</v>
      </c>
      <c r="R753" s="15" t="b">
        <f>ISNUMBER(MATCH(Q753,'Returned order'!A:A,0))</f>
        <v>0</v>
      </c>
      <c r="S753" s="22">
        <v>42093.0</v>
      </c>
      <c r="T753" s="15"/>
      <c r="U753" s="15"/>
      <c r="V753" s="15"/>
    </row>
    <row r="754">
      <c r="A754" s="2">
        <v>21791.0</v>
      </c>
      <c r="B754" s="1" t="s">
        <v>170</v>
      </c>
      <c r="C754" s="2">
        <v>0.05</v>
      </c>
      <c r="D754" s="2">
        <v>80.98</v>
      </c>
      <c r="E754" s="2">
        <v>1316.0</v>
      </c>
      <c r="F754" s="1" t="s">
        <v>1057</v>
      </c>
      <c r="G754" s="1" t="s">
        <v>51</v>
      </c>
      <c r="H754" s="1" t="s">
        <v>23</v>
      </c>
      <c r="I754" s="1" t="s">
        <v>120</v>
      </c>
      <c r="J754" s="1" t="s">
        <v>1024</v>
      </c>
      <c r="K754" s="19" t="s">
        <v>34</v>
      </c>
      <c r="L754" s="20" t="s">
        <v>27</v>
      </c>
      <c r="M754" s="21">
        <f t="shared" si="1"/>
        <v>1</v>
      </c>
      <c r="N754" s="2">
        <v>-746.44</v>
      </c>
      <c r="O754" s="2">
        <v>8.0</v>
      </c>
      <c r="P754" s="2">
        <v>637.76</v>
      </c>
      <c r="Q754" s="2">
        <v>87603.0</v>
      </c>
      <c r="R754" s="15" t="b">
        <f>ISNUMBER(MATCH(Q754,'Returned order'!A:A,0))</f>
        <v>0</v>
      </c>
      <c r="S754" s="22">
        <v>42009.0</v>
      </c>
      <c r="T754" s="15"/>
      <c r="U754" s="15"/>
      <c r="V754" s="15"/>
    </row>
    <row r="755">
      <c r="A755" s="2">
        <v>21792.0</v>
      </c>
      <c r="B755" s="1" t="s">
        <v>170</v>
      </c>
      <c r="C755" s="2">
        <v>0.05</v>
      </c>
      <c r="D755" s="2">
        <v>279.48</v>
      </c>
      <c r="E755" s="2">
        <v>1316.0</v>
      </c>
      <c r="F755" s="1" t="s">
        <v>1057</v>
      </c>
      <c r="G755" s="1" t="s">
        <v>51</v>
      </c>
      <c r="H755" s="1" t="s">
        <v>23</v>
      </c>
      <c r="I755" s="1" t="s">
        <v>120</v>
      </c>
      <c r="J755" s="1" t="s">
        <v>661</v>
      </c>
      <c r="K755" s="19" t="s">
        <v>34</v>
      </c>
      <c r="L755" s="20" t="s">
        <v>27</v>
      </c>
      <c r="M755" s="21">
        <f t="shared" si="1"/>
        <v>1</v>
      </c>
      <c r="N755" s="2">
        <v>-274.95</v>
      </c>
      <c r="O755" s="2">
        <v>8.0</v>
      </c>
      <c r="P755" s="2">
        <v>2156.06</v>
      </c>
      <c r="Q755" s="2">
        <v>87603.0</v>
      </c>
      <c r="R755" s="15" t="b">
        <f>ISNUMBER(MATCH(Q755,'Returned order'!A:A,0))</f>
        <v>0</v>
      </c>
      <c r="S755" s="22">
        <v>42009.0</v>
      </c>
      <c r="T755" s="15"/>
      <c r="U755" s="15"/>
      <c r="V755" s="15"/>
    </row>
    <row r="756">
      <c r="A756" s="2">
        <v>21006.0</v>
      </c>
      <c r="B756" s="1" t="s">
        <v>170</v>
      </c>
      <c r="C756" s="2">
        <v>0.02</v>
      </c>
      <c r="D756" s="2">
        <v>55.99</v>
      </c>
      <c r="E756" s="2">
        <v>1338.0</v>
      </c>
      <c r="F756" s="1" t="s">
        <v>1058</v>
      </c>
      <c r="G756" s="1" t="s">
        <v>51</v>
      </c>
      <c r="H756" s="1" t="s">
        <v>46</v>
      </c>
      <c r="I756" s="1" t="s">
        <v>85</v>
      </c>
      <c r="J756" s="1" t="s">
        <v>1059</v>
      </c>
      <c r="K756" s="19" t="s">
        <v>68</v>
      </c>
      <c r="L756" s="20" t="s">
        <v>57</v>
      </c>
      <c r="M756" s="21">
        <f t="shared" si="1"/>
        <v>2</v>
      </c>
      <c r="N756" s="2">
        <v>525.2004</v>
      </c>
      <c r="O756" s="2">
        <v>16.0</v>
      </c>
      <c r="P756" s="2">
        <v>761.16</v>
      </c>
      <c r="Q756" s="2">
        <v>91244.0</v>
      </c>
      <c r="R756" s="15" t="b">
        <f>ISNUMBER(MATCH(Q756,'Returned order'!A:A,0))</f>
        <v>0</v>
      </c>
      <c r="S756" s="22">
        <v>42045.0</v>
      </c>
      <c r="T756" s="15"/>
      <c r="U756" s="15"/>
      <c r="V756" s="15"/>
    </row>
    <row r="757">
      <c r="A757" s="2">
        <v>3004.0</v>
      </c>
      <c r="B757" s="1" t="s">
        <v>170</v>
      </c>
      <c r="C757" s="2">
        <v>0.0</v>
      </c>
      <c r="D757" s="2">
        <v>22.38</v>
      </c>
      <c r="E757" s="2">
        <v>1340.0</v>
      </c>
      <c r="F757" s="1" t="s">
        <v>1060</v>
      </c>
      <c r="G757" s="1" t="s">
        <v>51</v>
      </c>
      <c r="H757" s="1" t="s">
        <v>23</v>
      </c>
      <c r="I757" s="1" t="s">
        <v>24</v>
      </c>
      <c r="J757" s="1" t="s">
        <v>909</v>
      </c>
      <c r="K757" s="19" t="s">
        <v>26</v>
      </c>
      <c r="L757" s="20" t="s">
        <v>57</v>
      </c>
      <c r="M757" s="21">
        <f t="shared" si="1"/>
        <v>2</v>
      </c>
      <c r="N757" s="2">
        <v>-52.647</v>
      </c>
      <c r="O757" s="2">
        <v>29.0</v>
      </c>
      <c r="P757" s="2">
        <v>682.68</v>
      </c>
      <c r="Q757" s="2">
        <v>21636.0</v>
      </c>
      <c r="R757" s="15" t="b">
        <f>ISNUMBER(MATCH(Q757,'Returned order'!A:A,0))</f>
        <v>0</v>
      </c>
      <c r="S757" s="22">
        <v>42045.0</v>
      </c>
      <c r="T757" s="15"/>
      <c r="U757" s="15"/>
      <c r="V757" s="15"/>
    </row>
    <row r="758">
      <c r="A758" s="2">
        <v>3005.0</v>
      </c>
      <c r="B758" s="1" t="s">
        <v>170</v>
      </c>
      <c r="C758" s="2">
        <v>0.07</v>
      </c>
      <c r="D758" s="2">
        <v>5.98</v>
      </c>
      <c r="E758" s="2">
        <v>1340.0</v>
      </c>
      <c r="F758" s="1" t="s">
        <v>1060</v>
      </c>
      <c r="G758" s="1" t="s">
        <v>51</v>
      </c>
      <c r="H758" s="1" t="s">
        <v>23</v>
      </c>
      <c r="I758" s="1" t="s">
        <v>120</v>
      </c>
      <c r="J758" s="1" t="s">
        <v>1061</v>
      </c>
      <c r="K758" s="19" t="s">
        <v>26</v>
      </c>
      <c r="L758" s="20" t="s">
        <v>57</v>
      </c>
      <c r="M758" s="21">
        <f t="shared" si="1"/>
        <v>2</v>
      </c>
      <c r="N758" s="2">
        <v>-24.44</v>
      </c>
      <c r="O758" s="2">
        <v>11.0</v>
      </c>
      <c r="P758" s="2">
        <v>73.44</v>
      </c>
      <c r="Q758" s="2">
        <v>21636.0</v>
      </c>
      <c r="R758" s="15" t="b">
        <f>ISNUMBER(MATCH(Q758,'Returned order'!A:A,0))</f>
        <v>0</v>
      </c>
      <c r="S758" s="22">
        <v>42045.0</v>
      </c>
      <c r="T758" s="15"/>
      <c r="U758" s="15"/>
      <c r="V758" s="15"/>
    </row>
    <row r="759">
      <c r="A759" s="2">
        <v>3006.0</v>
      </c>
      <c r="B759" s="1" t="s">
        <v>170</v>
      </c>
      <c r="C759" s="2">
        <v>0.02</v>
      </c>
      <c r="D759" s="2">
        <v>55.99</v>
      </c>
      <c r="E759" s="2">
        <v>1340.0</v>
      </c>
      <c r="F759" s="1" t="s">
        <v>1060</v>
      </c>
      <c r="G759" s="1" t="s">
        <v>51</v>
      </c>
      <c r="H759" s="1" t="s">
        <v>46</v>
      </c>
      <c r="I759" s="1" t="s">
        <v>85</v>
      </c>
      <c r="J759" s="1" t="s">
        <v>1059</v>
      </c>
      <c r="K759" s="19" t="s">
        <v>26</v>
      </c>
      <c r="L759" s="20" t="s">
        <v>57</v>
      </c>
      <c r="M759" s="21">
        <f t="shared" si="1"/>
        <v>2</v>
      </c>
      <c r="N759" s="2">
        <v>366.507</v>
      </c>
      <c r="O759" s="2">
        <v>63.0</v>
      </c>
      <c r="P759" s="2">
        <v>2997.07</v>
      </c>
      <c r="Q759" s="2">
        <v>21636.0</v>
      </c>
      <c r="R759" s="15" t="b">
        <f>ISNUMBER(MATCH(Q759,'Returned order'!A:A,0))</f>
        <v>0</v>
      </c>
      <c r="S759" s="22">
        <v>42045.0</v>
      </c>
      <c r="T759" s="15"/>
      <c r="U759" s="15"/>
      <c r="V759" s="15"/>
    </row>
    <row r="760">
      <c r="A760" s="2">
        <v>3431.0</v>
      </c>
      <c r="B760" s="1" t="s">
        <v>49</v>
      </c>
      <c r="C760" s="2">
        <v>0.07</v>
      </c>
      <c r="D760" s="2">
        <v>3.98</v>
      </c>
      <c r="E760" s="2">
        <v>1340.0</v>
      </c>
      <c r="F760" s="1" t="s">
        <v>1060</v>
      </c>
      <c r="G760" s="1" t="s">
        <v>51</v>
      </c>
      <c r="H760" s="1" t="s">
        <v>23</v>
      </c>
      <c r="I760" s="1" t="s">
        <v>29</v>
      </c>
      <c r="J760" s="1" t="s">
        <v>1062</v>
      </c>
      <c r="K760" s="19" t="s">
        <v>26</v>
      </c>
      <c r="L760" s="20" t="s">
        <v>53</v>
      </c>
      <c r="M760" s="21">
        <f t="shared" si="1"/>
        <v>6</v>
      </c>
      <c r="N760" s="2">
        <v>27.38</v>
      </c>
      <c r="O760" s="2">
        <v>76.0</v>
      </c>
      <c r="P760" s="2">
        <v>282.85</v>
      </c>
      <c r="Q760" s="2">
        <v>24455.0</v>
      </c>
      <c r="R760" s="15" t="b">
        <f>ISNUMBER(MATCH(Q760,'Returned order'!A:A,0))</f>
        <v>0</v>
      </c>
      <c r="S760" s="22">
        <v>42161.0</v>
      </c>
      <c r="T760" s="15"/>
      <c r="U760" s="15"/>
      <c r="V760" s="15"/>
    </row>
    <row r="761">
      <c r="A761" s="2">
        <v>21005.0</v>
      </c>
      <c r="B761" s="1" t="s">
        <v>170</v>
      </c>
      <c r="C761" s="2">
        <v>0.07</v>
      </c>
      <c r="D761" s="2">
        <v>5.98</v>
      </c>
      <c r="E761" s="2">
        <v>1341.0</v>
      </c>
      <c r="F761" s="1" t="s">
        <v>1063</v>
      </c>
      <c r="G761" s="1" t="s">
        <v>51</v>
      </c>
      <c r="H761" s="1" t="s">
        <v>23</v>
      </c>
      <c r="I761" s="1" t="s">
        <v>120</v>
      </c>
      <c r="J761" s="1" t="s">
        <v>1061</v>
      </c>
      <c r="K761" s="19" t="s">
        <v>26</v>
      </c>
      <c r="L761" s="20" t="s">
        <v>57</v>
      </c>
      <c r="M761" s="21">
        <f t="shared" si="1"/>
        <v>2</v>
      </c>
      <c r="N761" s="2">
        <v>-12.7088</v>
      </c>
      <c r="O761" s="2">
        <v>3.0</v>
      </c>
      <c r="P761" s="2">
        <v>20.03</v>
      </c>
      <c r="Q761" s="2">
        <v>91244.0</v>
      </c>
      <c r="R761" s="15" t="b">
        <f>ISNUMBER(MATCH(Q761,'Returned order'!A:A,0))</f>
        <v>0</v>
      </c>
      <c r="S761" s="22">
        <v>42045.0</v>
      </c>
      <c r="T761" s="15"/>
      <c r="U761" s="15"/>
      <c r="V761" s="15"/>
    </row>
    <row r="762">
      <c r="A762" s="2">
        <v>21430.0</v>
      </c>
      <c r="B762" s="1" t="s">
        <v>49</v>
      </c>
      <c r="C762" s="2">
        <v>0.0</v>
      </c>
      <c r="D762" s="2">
        <v>20.89</v>
      </c>
      <c r="E762" s="2">
        <v>1341.0</v>
      </c>
      <c r="F762" s="1" t="s">
        <v>1063</v>
      </c>
      <c r="G762" s="1" t="s">
        <v>51</v>
      </c>
      <c r="H762" s="1" t="s">
        <v>46</v>
      </c>
      <c r="I762" s="1" t="s">
        <v>47</v>
      </c>
      <c r="J762" s="1" t="s">
        <v>1064</v>
      </c>
      <c r="K762" s="19" t="s">
        <v>26</v>
      </c>
      <c r="L762" s="20" t="s">
        <v>53</v>
      </c>
      <c r="M762" s="21">
        <f t="shared" si="1"/>
        <v>6</v>
      </c>
      <c r="N762" s="2">
        <v>-5.295</v>
      </c>
      <c r="O762" s="2">
        <v>4.0</v>
      </c>
      <c r="P762" s="2">
        <v>84.56</v>
      </c>
      <c r="Q762" s="2">
        <v>91245.0</v>
      </c>
      <c r="R762" s="15" t="b">
        <f>ISNUMBER(MATCH(Q762,'Returned order'!A:A,0))</f>
        <v>0</v>
      </c>
      <c r="S762" s="22">
        <v>42161.0</v>
      </c>
      <c r="T762" s="15"/>
      <c r="U762" s="15"/>
      <c r="V762" s="15"/>
    </row>
    <row r="763">
      <c r="A763" s="2">
        <v>21431.0</v>
      </c>
      <c r="B763" s="1" t="s">
        <v>49</v>
      </c>
      <c r="C763" s="2">
        <v>0.07</v>
      </c>
      <c r="D763" s="2">
        <v>3.98</v>
      </c>
      <c r="E763" s="2">
        <v>1341.0</v>
      </c>
      <c r="F763" s="1" t="s">
        <v>1063</v>
      </c>
      <c r="G763" s="1" t="s">
        <v>51</v>
      </c>
      <c r="H763" s="1" t="s">
        <v>23</v>
      </c>
      <c r="I763" s="1" t="s">
        <v>29</v>
      </c>
      <c r="J763" s="1" t="s">
        <v>1062</v>
      </c>
      <c r="K763" s="19" t="s">
        <v>26</v>
      </c>
      <c r="L763" s="20" t="s">
        <v>53</v>
      </c>
      <c r="M763" s="21">
        <f t="shared" si="1"/>
        <v>6</v>
      </c>
      <c r="N763" s="2">
        <v>41.07</v>
      </c>
      <c r="O763" s="2">
        <v>19.0</v>
      </c>
      <c r="P763" s="2">
        <v>70.71</v>
      </c>
      <c r="Q763" s="2">
        <v>91245.0</v>
      </c>
      <c r="R763" s="15" t="b">
        <f>ISNUMBER(MATCH(Q763,'Returned order'!A:A,0))</f>
        <v>0</v>
      </c>
      <c r="S763" s="22">
        <v>42161.0</v>
      </c>
      <c r="T763" s="15"/>
      <c r="U763" s="15"/>
      <c r="V763" s="15"/>
    </row>
    <row r="764">
      <c r="A764" s="2">
        <v>20804.0</v>
      </c>
      <c r="B764" s="1" t="s">
        <v>170</v>
      </c>
      <c r="C764" s="2">
        <v>0.1</v>
      </c>
      <c r="D764" s="2">
        <v>2.62</v>
      </c>
      <c r="E764" s="2">
        <v>1347.0</v>
      </c>
      <c r="F764" s="1" t="s">
        <v>1065</v>
      </c>
      <c r="G764" s="1" t="s">
        <v>51</v>
      </c>
      <c r="H764" s="1" t="s">
        <v>23</v>
      </c>
      <c r="I764" s="1" t="s">
        <v>81</v>
      </c>
      <c r="J764" s="1" t="s">
        <v>1066</v>
      </c>
      <c r="K764" s="19" t="s">
        <v>229</v>
      </c>
      <c r="L764" s="20" t="s">
        <v>70</v>
      </c>
      <c r="M764" s="21">
        <f t="shared" si="1"/>
        <v>4</v>
      </c>
      <c r="N764" s="2">
        <v>-94.4909</v>
      </c>
      <c r="O764" s="2">
        <v>21.0</v>
      </c>
      <c r="P764" s="2">
        <v>51.86</v>
      </c>
      <c r="Q764" s="2">
        <v>89686.0</v>
      </c>
      <c r="R764" s="15" t="b">
        <f>ISNUMBER(MATCH(Q764,'Returned order'!A:A,0))</f>
        <v>0</v>
      </c>
      <c r="S764" s="22">
        <v>42124.0</v>
      </c>
      <c r="T764" s="15"/>
      <c r="U764" s="15"/>
      <c r="V764" s="15"/>
    </row>
    <row r="765">
      <c r="A765" s="2">
        <v>22414.0</v>
      </c>
      <c r="B765" s="1" t="s">
        <v>28</v>
      </c>
      <c r="C765" s="2">
        <v>0.0</v>
      </c>
      <c r="D765" s="2">
        <v>12.2</v>
      </c>
      <c r="E765" s="2">
        <v>1350.0</v>
      </c>
      <c r="F765" s="1" t="s">
        <v>1067</v>
      </c>
      <c r="G765" s="1" t="s">
        <v>51</v>
      </c>
      <c r="H765" s="1" t="s">
        <v>37</v>
      </c>
      <c r="I765" s="1" t="s">
        <v>42</v>
      </c>
      <c r="J765" s="1" t="s">
        <v>1068</v>
      </c>
      <c r="K765" s="19" t="s">
        <v>229</v>
      </c>
      <c r="L765" s="20" t="s">
        <v>76</v>
      </c>
      <c r="M765" s="21">
        <f t="shared" si="1"/>
        <v>5</v>
      </c>
      <c r="N765" s="2">
        <v>-172.298</v>
      </c>
      <c r="O765" s="2">
        <v>4.0</v>
      </c>
      <c r="P765" s="2">
        <v>56.24</v>
      </c>
      <c r="Q765" s="2">
        <v>88233.0</v>
      </c>
      <c r="R765" s="15" t="b">
        <f>ISNUMBER(MATCH(Q765,'Returned order'!A:A,0))</f>
        <v>0</v>
      </c>
      <c r="S765" s="22">
        <v>42111.0</v>
      </c>
      <c r="T765" s="15"/>
      <c r="U765" s="15"/>
      <c r="V765" s="15"/>
    </row>
    <row r="766">
      <c r="A766" s="2">
        <v>18499.0</v>
      </c>
      <c r="B766" s="1" t="s">
        <v>49</v>
      </c>
      <c r="C766" s="2">
        <v>0.1</v>
      </c>
      <c r="D766" s="2">
        <v>110.99</v>
      </c>
      <c r="E766" s="2">
        <v>1351.0</v>
      </c>
      <c r="F766" s="1" t="s">
        <v>1069</v>
      </c>
      <c r="G766" s="1" t="s">
        <v>51</v>
      </c>
      <c r="H766" s="1" t="s">
        <v>46</v>
      </c>
      <c r="I766" s="1" t="s">
        <v>85</v>
      </c>
      <c r="J766" s="1" t="s">
        <v>1070</v>
      </c>
      <c r="K766" s="19" t="s">
        <v>229</v>
      </c>
      <c r="L766" s="20" t="s">
        <v>57</v>
      </c>
      <c r="M766" s="21">
        <f t="shared" si="1"/>
        <v>2</v>
      </c>
      <c r="N766" s="2">
        <v>3285.48</v>
      </c>
      <c r="O766" s="2">
        <v>7.0</v>
      </c>
      <c r="P766" s="2">
        <v>627.78</v>
      </c>
      <c r="Q766" s="2">
        <v>88232.0</v>
      </c>
      <c r="R766" s="15" t="b">
        <f>ISNUMBER(MATCH(Q766,'Returned order'!A:A,0))</f>
        <v>0</v>
      </c>
      <c r="S766" s="22">
        <v>42031.0</v>
      </c>
      <c r="T766" s="15"/>
      <c r="U766" s="15"/>
      <c r="V766" s="15"/>
    </row>
    <row r="767">
      <c r="A767" s="2">
        <v>24232.0</v>
      </c>
      <c r="B767" s="1" t="s">
        <v>28</v>
      </c>
      <c r="C767" s="2">
        <v>0.05</v>
      </c>
      <c r="D767" s="2">
        <v>17.67</v>
      </c>
      <c r="E767" s="2">
        <v>1352.0</v>
      </c>
      <c r="F767" s="1" t="s">
        <v>1071</v>
      </c>
      <c r="G767" s="1" t="s">
        <v>51</v>
      </c>
      <c r="H767" s="1" t="s">
        <v>37</v>
      </c>
      <c r="I767" s="1" t="s">
        <v>42</v>
      </c>
      <c r="J767" s="1" t="s">
        <v>659</v>
      </c>
      <c r="K767" s="19" t="s">
        <v>26</v>
      </c>
      <c r="L767" s="20" t="s">
        <v>70</v>
      </c>
      <c r="M767" s="21">
        <f t="shared" si="1"/>
        <v>4</v>
      </c>
      <c r="N767" s="2">
        <v>46.0368</v>
      </c>
      <c r="O767" s="2">
        <v>16.0</v>
      </c>
      <c r="P767" s="2">
        <v>283.44</v>
      </c>
      <c r="Q767" s="2">
        <v>88234.0</v>
      </c>
      <c r="R767" s="15" t="b">
        <f>ISNUMBER(MATCH(Q767,'Returned order'!A:A,0))</f>
        <v>0</v>
      </c>
      <c r="S767" s="22">
        <v>42124.0</v>
      </c>
      <c r="T767" s="15"/>
      <c r="U767" s="15"/>
      <c r="V767" s="15"/>
    </row>
    <row r="768">
      <c r="A768" s="2">
        <v>20870.0</v>
      </c>
      <c r="B768" s="1" t="s">
        <v>28</v>
      </c>
      <c r="C768" s="2">
        <v>0.1</v>
      </c>
      <c r="D768" s="2">
        <v>4.13</v>
      </c>
      <c r="E768" s="2">
        <v>1354.0</v>
      </c>
      <c r="F768" s="1" t="s">
        <v>1072</v>
      </c>
      <c r="G768" s="1" t="s">
        <v>22</v>
      </c>
      <c r="H768" s="1" t="s">
        <v>23</v>
      </c>
      <c r="I768" s="1" t="s">
        <v>130</v>
      </c>
      <c r="J768" s="1" t="s">
        <v>1073</v>
      </c>
      <c r="K768" s="19" t="s">
        <v>68</v>
      </c>
      <c r="L768" s="20" t="s">
        <v>35</v>
      </c>
      <c r="M768" s="21">
        <f t="shared" si="1"/>
        <v>3</v>
      </c>
      <c r="N768" s="2">
        <v>-1.0712</v>
      </c>
      <c r="O768" s="2">
        <v>2.0</v>
      </c>
      <c r="P768" s="2">
        <v>8.3</v>
      </c>
      <c r="Q768" s="2">
        <v>91209.0</v>
      </c>
      <c r="R768" s="15" t="b">
        <f>ISNUMBER(MATCH(Q768,'Returned order'!A:A,0))</f>
        <v>0</v>
      </c>
      <c r="S768" s="22">
        <v>42046.0</v>
      </c>
      <c r="T768" s="15"/>
      <c r="U768" s="15"/>
      <c r="V768" s="15"/>
    </row>
    <row r="769">
      <c r="A769" s="2">
        <v>20871.0</v>
      </c>
      <c r="B769" s="1" t="s">
        <v>28</v>
      </c>
      <c r="C769" s="2">
        <v>0.04</v>
      </c>
      <c r="D769" s="2">
        <v>4.98</v>
      </c>
      <c r="E769" s="2">
        <v>1354.0</v>
      </c>
      <c r="F769" s="1" t="s">
        <v>1072</v>
      </c>
      <c r="G769" s="1" t="s">
        <v>22</v>
      </c>
      <c r="H769" s="1" t="s">
        <v>23</v>
      </c>
      <c r="I769" s="1" t="s">
        <v>130</v>
      </c>
      <c r="J769" s="1" t="s">
        <v>1074</v>
      </c>
      <c r="K769" s="19" t="s">
        <v>68</v>
      </c>
      <c r="L769" s="20" t="s">
        <v>35</v>
      </c>
      <c r="M769" s="21">
        <f t="shared" si="1"/>
        <v>3</v>
      </c>
      <c r="N769" s="2">
        <v>4.4104</v>
      </c>
      <c r="O769" s="2">
        <v>2.0</v>
      </c>
      <c r="P769" s="2">
        <v>10.04</v>
      </c>
      <c r="Q769" s="2">
        <v>91209.0</v>
      </c>
      <c r="R769" s="15" t="b">
        <f>ISNUMBER(MATCH(Q769,'Returned order'!A:A,0))</f>
        <v>0</v>
      </c>
      <c r="S769" s="22">
        <v>42046.0</v>
      </c>
      <c r="T769" s="15"/>
      <c r="U769" s="15"/>
      <c r="V769" s="15"/>
    </row>
    <row r="770">
      <c r="A770" s="2">
        <v>18733.0</v>
      </c>
      <c r="B770" s="1" t="s">
        <v>63</v>
      </c>
      <c r="C770" s="2">
        <v>0.03</v>
      </c>
      <c r="D770" s="2">
        <v>125.99</v>
      </c>
      <c r="E770" s="2">
        <v>1357.0</v>
      </c>
      <c r="F770" s="1" t="s">
        <v>1075</v>
      </c>
      <c r="G770" s="1" t="s">
        <v>51</v>
      </c>
      <c r="H770" s="1" t="s">
        <v>46</v>
      </c>
      <c r="I770" s="1" t="s">
        <v>85</v>
      </c>
      <c r="J770" s="1" t="s">
        <v>941</v>
      </c>
      <c r="K770" s="19" t="s">
        <v>68</v>
      </c>
      <c r="L770" s="20" t="s">
        <v>35</v>
      </c>
      <c r="M770" s="21">
        <f t="shared" si="1"/>
        <v>3</v>
      </c>
      <c r="N770" s="2">
        <v>500.958</v>
      </c>
      <c r="O770" s="2">
        <v>9.0</v>
      </c>
      <c r="P770" s="2">
        <v>981.65</v>
      </c>
      <c r="Q770" s="2">
        <v>88184.0</v>
      </c>
      <c r="R770" s="15" t="b">
        <f>ISNUMBER(MATCH(Q770,'Returned order'!A:A,0))</f>
        <v>0</v>
      </c>
      <c r="S770" s="22">
        <v>42158.0</v>
      </c>
      <c r="T770" s="15"/>
      <c r="U770" s="15"/>
      <c r="V770" s="15"/>
    </row>
    <row r="771">
      <c r="A771" s="2">
        <v>18645.0</v>
      </c>
      <c r="B771" s="1" t="s">
        <v>28</v>
      </c>
      <c r="C771" s="2">
        <v>0.07</v>
      </c>
      <c r="D771" s="2">
        <v>119.99</v>
      </c>
      <c r="E771" s="2">
        <v>1357.0</v>
      </c>
      <c r="F771" s="1" t="s">
        <v>1075</v>
      </c>
      <c r="G771" s="1" t="s">
        <v>51</v>
      </c>
      <c r="H771" s="1" t="s">
        <v>46</v>
      </c>
      <c r="I771" s="1" t="s">
        <v>103</v>
      </c>
      <c r="J771" s="1" t="s">
        <v>1076</v>
      </c>
      <c r="K771" s="19" t="s">
        <v>68</v>
      </c>
      <c r="L771" s="20" t="s">
        <v>61</v>
      </c>
      <c r="M771" s="21">
        <f t="shared" si="1"/>
        <v>7</v>
      </c>
      <c r="N771" s="2">
        <v>1206.5961</v>
      </c>
      <c r="O771" s="2">
        <v>15.0</v>
      </c>
      <c r="P771" s="2">
        <v>1748.69</v>
      </c>
      <c r="Q771" s="2">
        <v>88185.0</v>
      </c>
      <c r="R771" s="15" t="b">
        <f>ISNUMBER(MATCH(Q771,'Returned order'!A:A,0))</f>
        <v>0</v>
      </c>
      <c r="S771" s="22">
        <v>42183.0</v>
      </c>
      <c r="T771" s="15"/>
      <c r="U771" s="15"/>
      <c r="V771" s="15"/>
    </row>
    <row r="772">
      <c r="A772" s="2">
        <v>20830.0</v>
      </c>
      <c r="B772" s="1" t="s">
        <v>28</v>
      </c>
      <c r="C772" s="2">
        <v>0.03</v>
      </c>
      <c r="D772" s="2">
        <v>14.34</v>
      </c>
      <c r="E772" s="2">
        <v>1360.0</v>
      </c>
      <c r="F772" s="1" t="s">
        <v>1077</v>
      </c>
      <c r="G772" s="1" t="s">
        <v>22</v>
      </c>
      <c r="H772" s="1" t="s">
        <v>37</v>
      </c>
      <c r="I772" s="1" t="s">
        <v>42</v>
      </c>
      <c r="J772" s="1" t="s">
        <v>1078</v>
      </c>
      <c r="K772" s="19" t="s">
        <v>68</v>
      </c>
      <c r="L772" s="20" t="s">
        <v>27</v>
      </c>
      <c r="M772" s="21">
        <f t="shared" si="1"/>
        <v>1</v>
      </c>
      <c r="N772" s="2">
        <v>82.3101</v>
      </c>
      <c r="O772" s="2">
        <v>8.0</v>
      </c>
      <c r="P772" s="2">
        <v>119.29</v>
      </c>
      <c r="Q772" s="2">
        <v>89595.0</v>
      </c>
      <c r="R772" s="15" t="b">
        <f>ISNUMBER(MATCH(Q772,'Returned order'!A:A,0))</f>
        <v>0</v>
      </c>
      <c r="S772" s="22">
        <v>42030.0</v>
      </c>
      <c r="T772" s="15"/>
      <c r="U772" s="15"/>
      <c r="V772" s="15"/>
    </row>
    <row r="773">
      <c r="A773" s="2">
        <v>20829.0</v>
      </c>
      <c r="B773" s="1" t="s">
        <v>28</v>
      </c>
      <c r="C773" s="2">
        <v>0.01</v>
      </c>
      <c r="D773" s="2">
        <v>2.89</v>
      </c>
      <c r="E773" s="2">
        <v>1361.0</v>
      </c>
      <c r="F773" s="1" t="s">
        <v>1079</v>
      </c>
      <c r="G773" s="1" t="s">
        <v>22</v>
      </c>
      <c r="H773" s="1" t="s">
        <v>23</v>
      </c>
      <c r="I773" s="1" t="s">
        <v>130</v>
      </c>
      <c r="J773" s="1" t="s">
        <v>645</v>
      </c>
      <c r="K773" s="19" t="s">
        <v>68</v>
      </c>
      <c r="L773" s="20" t="s">
        <v>27</v>
      </c>
      <c r="M773" s="21">
        <f t="shared" si="1"/>
        <v>1</v>
      </c>
      <c r="N773" s="2">
        <v>1.2236</v>
      </c>
      <c r="O773" s="2">
        <v>1.0</v>
      </c>
      <c r="P773" s="2">
        <v>3.08</v>
      </c>
      <c r="Q773" s="2">
        <v>89595.0</v>
      </c>
      <c r="R773" s="15" t="b">
        <f>ISNUMBER(MATCH(Q773,'Returned order'!A:A,0))</f>
        <v>0</v>
      </c>
      <c r="S773" s="22">
        <v>42030.0</v>
      </c>
      <c r="T773" s="15"/>
      <c r="U773" s="15"/>
      <c r="V773" s="15"/>
    </row>
    <row r="774">
      <c r="A774" s="2">
        <v>24432.0</v>
      </c>
      <c r="B774" s="1" t="s">
        <v>58</v>
      </c>
      <c r="C774" s="2">
        <v>0.01</v>
      </c>
      <c r="D774" s="2">
        <v>6.48</v>
      </c>
      <c r="E774" s="2">
        <v>1361.0</v>
      </c>
      <c r="F774" s="1" t="s">
        <v>1079</v>
      </c>
      <c r="G774" s="1" t="s">
        <v>22</v>
      </c>
      <c r="H774" s="1" t="s">
        <v>23</v>
      </c>
      <c r="I774" s="1" t="s">
        <v>93</v>
      </c>
      <c r="J774" s="1" t="s">
        <v>1080</v>
      </c>
      <c r="K774" s="19" t="s">
        <v>68</v>
      </c>
      <c r="L774" s="20" t="s">
        <v>57</v>
      </c>
      <c r="M774" s="21">
        <f t="shared" si="1"/>
        <v>2</v>
      </c>
      <c r="N774" s="2">
        <v>-15.6312</v>
      </c>
      <c r="O774" s="2">
        <v>9.0</v>
      </c>
      <c r="P774" s="2">
        <v>69.46</v>
      </c>
      <c r="Q774" s="2">
        <v>89596.0</v>
      </c>
      <c r="R774" s="15" t="b">
        <f>ISNUMBER(MATCH(Q774,'Returned order'!A:A,0))</f>
        <v>0</v>
      </c>
      <c r="S774" s="22">
        <v>42045.0</v>
      </c>
      <c r="T774" s="15"/>
      <c r="U774" s="15"/>
      <c r="V774" s="15"/>
    </row>
    <row r="775">
      <c r="A775" s="2">
        <v>24433.0</v>
      </c>
      <c r="B775" s="1" t="s">
        <v>58</v>
      </c>
      <c r="C775" s="2">
        <v>0.03</v>
      </c>
      <c r="D775" s="2">
        <v>85.99</v>
      </c>
      <c r="E775" s="2">
        <v>1361.0</v>
      </c>
      <c r="F775" s="1" t="s">
        <v>1079</v>
      </c>
      <c r="G775" s="1" t="s">
        <v>22</v>
      </c>
      <c r="H775" s="1" t="s">
        <v>46</v>
      </c>
      <c r="I775" s="1" t="s">
        <v>85</v>
      </c>
      <c r="J775" s="1" t="s">
        <v>478</v>
      </c>
      <c r="K775" s="19" t="s">
        <v>68</v>
      </c>
      <c r="L775" s="20" t="s">
        <v>57</v>
      </c>
      <c r="M775" s="21">
        <f t="shared" si="1"/>
        <v>2</v>
      </c>
      <c r="N775" s="2">
        <v>790.5468</v>
      </c>
      <c r="O775" s="2">
        <v>16.0</v>
      </c>
      <c r="P775" s="2">
        <v>1145.72</v>
      </c>
      <c r="Q775" s="2">
        <v>89596.0</v>
      </c>
      <c r="R775" s="15" t="b">
        <f>ISNUMBER(MATCH(Q775,'Returned order'!A:A,0))</f>
        <v>0</v>
      </c>
      <c r="S775" s="22">
        <v>42045.0</v>
      </c>
      <c r="T775" s="15"/>
      <c r="U775" s="15"/>
      <c r="V775" s="15"/>
    </row>
    <row r="776">
      <c r="A776" s="2">
        <v>23011.0</v>
      </c>
      <c r="B776" s="1" t="s">
        <v>63</v>
      </c>
      <c r="C776" s="2">
        <v>0.05</v>
      </c>
      <c r="D776" s="2">
        <v>12.97</v>
      </c>
      <c r="E776" s="2">
        <v>1363.0</v>
      </c>
      <c r="F776" s="1" t="s">
        <v>1081</v>
      </c>
      <c r="G776" s="1" t="s">
        <v>22</v>
      </c>
      <c r="H776" s="1" t="s">
        <v>23</v>
      </c>
      <c r="I776" s="1" t="s">
        <v>24</v>
      </c>
      <c r="J776" s="1" t="s">
        <v>1082</v>
      </c>
      <c r="K776" s="19" t="s">
        <v>229</v>
      </c>
      <c r="L776" s="20" t="s">
        <v>35</v>
      </c>
      <c r="M776" s="21">
        <f t="shared" si="1"/>
        <v>3</v>
      </c>
      <c r="N776" s="2">
        <v>5.466</v>
      </c>
      <c r="O776" s="2">
        <v>2.0</v>
      </c>
      <c r="P776" s="2">
        <v>26.37</v>
      </c>
      <c r="Q776" s="2">
        <v>89993.0</v>
      </c>
      <c r="R776" s="15" t="b">
        <f>ISNUMBER(MATCH(Q776,'Returned order'!A:A,0))</f>
        <v>0</v>
      </c>
      <c r="S776" s="22">
        <v>42039.0</v>
      </c>
      <c r="T776" s="15"/>
      <c r="U776" s="15"/>
      <c r="V776" s="15"/>
    </row>
    <row r="777">
      <c r="A777" s="2">
        <v>23012.0</v>
      </c>
      <c r="B777" s="1" t="s">
        <v>63</v>
      </c>
      <c r="C777" s="2">
        <v>0.06</v>
      </c>
      <c r="D777" s="2">
        <v>5.81</v>
      </c>
      <c r="E777" s="2">
        <v>1363.0</v>
      </c>
      <c r="F777" s="1" t="s">
        <v>1081</v>
      </c>
      <c r="G777" s="1" t="s">
        <v>22</v>
      </c>
      <c r="H777" s="1" t="s">
        <v>23</v>
      </c>
      <c r="I777" s="1" t="s">
        <v>81</v>
      </c>
      <c r="J777" s="1" t="s">
        <v>1083</v>
      </c>
      <c r="K777" s="19" t="s">
        <v>229</v>
      </c>
      <c r="L777" s="20" t="s">
        <v>35</v>
      </c>
      <c r="M777" s="21">
        <f t="shared" si="1"/>
        <v>3</v>
      </c>
      <c r="N777" s="2">
        <v>-149.1182</v>
      </c>
      <c r="O777" s="2">
        <v>9.0</v>
      </c>
      <c r="P777" s="2">
        <v>53.44</v>
      </c>
      <c r="Q777" s="2">
        <v>89993.0</v>
      </c>
      <c r="R777" s="15" t="b">
        <f>ISNUMBER(MATCH(Q777,'Returned order'!A:A,0))</f>
        <v>0</v>
      </c>
      <c r="S777" s="22">
        <v>42039.0</v>
      </c>
      <c r="T777" s="15"/>
      <c r="U777" s="15"/>
      <c r="V777" s="15"/>
    </row>
    <row r="778">
      <c r="A778" s="2">
        <v>19333.0</v>
      </c>
      <c r="B778" s="1" t="s">
        <v>49</v>
      </c>
      <c r="C778" s="2">
        <v>0.1</v>
      </c>
      <c r="D778" s="2">
        <v>5.98</v>
      </c>
      <c r="E778" s="2">
        <v>1364.0</v>
      </c>
      <c r="F778" s="1" t="s">
        <v>1084</v>
      </c>
      <c r="G778" s="1" t="s">
        <v>51</v>
      </c>
      <c r="H778" s="1" t="s">
        <v>23</v>
      </c>
      <c r="I778" s="1" t="s">
        <v>93</v>
      </c>
      <c r="J778" s="1" t="s">
        <v>176</v>
      </c>
      <c r="K778" s="19" t="s">
        <v>26</v>
      </c>
      <c r="L778" s="20" t="s">
        <v>57</v>
      </c>
      <c r="M778" s="21">
        <f t="shared" si="1"/>
        <v>2</v>
      </c>
      <c r="N778" s="2">
        <v>-90.26</v>
      </c>
      <c r="O778" s="2">
        <v>10.0</v>
      </c>
      <c r="P778" s="2">
        <v>57.34</v>
      </c>
      <c r="Q778" s="2">
        <v>89994.0</v>
      </c>
      <c r="R778" s="15" t="b">
        <f>ISNUMBER(MATCH(Q778,'Returned order'!A:A,0))</f>
        <v>0</v>
      </c>
      <c r="S778" s="22">
        <v>42080.0</v>
      </c>
      <c r="T778" s="15"/>
      <c r="U778" s="15"/>
      <c r="V778" s="15"/>
    </row>
    <row r="779">
      <c r="A779" s="2">
        <v>20539.0</v>
      </c>
      <c r="B779" s="1" t="s">
        <v>63</v>
      </c>
      <c r="C779" s="2">
        <v>0.03</v>
      </c>
      <c r="D779" s="2">
        <v>73.98</v>
      </c>
      <c r="E779" s="2">
        <v>1367.0</v>
      </c>
      <c r="F779" s="1" t="s">
        <v>1085</v>
      </c>
      <c r="G779" s="1" t="s">
        <v>22</v>
      </c>
      <c r="H779" s="1" t="s">
        <v>46</v>
      </c>
      <c r="I779" s="1" t="s">
        <v>47</v>
      </c>
      <c r="J779" s="1" t="s">
        <v>883</v>
      </c>
      <c r="K779" s="19" t="s">
        <v>68</v>
      </c>
      <c r="L779" s="20" t="s">
        <v>35</v>
      </c>
      <c r="M779" s="21">
        <f t="shared" si="1"/>
        <v>3</v>
      </c>
      <c r="N779" s="2">
        <v>-326.2316</v>
      </c>
      <c r="O779" s="2">
        <v>1.0</v>
      </c>
      <c r="P779" s="2">
        <v>79.02</v>
      </c>
      <c r="Q779" s="2">
        <v>90513.0</v>
      </c>
      <c r="R779" s="15" t="b">
        <f>ISNUMBER(MATCH(Q779,'Returned order'!A:A,0))</f>
        <v>0</v>
      </c>
      <c r="S779" s="22">
        <v>42011.0</v>
      </c>
      <c r="T779" s="15"/>
      <c r="U779" s="15"/>
      <c r="V779" s="15"/>
    </row>
    <row r="780">
      <c r="A780" s="2">
        <v>26034.0</v>
      </c>
      <c r="B780" s="1" t="s">
        <v>63</v>
      </c>
      <c r="C780" s="2">
        <v>0.09</v>
      </c>
      <c r="D780" s="2">
        <v>4.55</v>
      </c>
      <c r="E780" s="2">
        <v>1368.0</v>
      </c>
      <c r="F780" s="1" t="s">
        <v>1086</v>
      </c>
      <c r="G780" s="1" t="s">
        <v>22</v>
      </c>
      <c r="H780" s="1" t="s">
        <v>23</v>
      </c>
      <c r="I780" s="1" t="s">
        <v>24</v>
      </c>
      <c r="J780" s="1" t="s">
        <v>1087</v>
      </c>
      <c r="K780" s="19" t="s">
        <v>68</v>
      </c>
      <c r="L780" s="20" t="s">
        <v>27</v>
      </c>
      <c r="M780" s="21">
        <f t="shared" si="1"/>
        <v>1</v>
      </c>
      <c r="N780" s="2">
        <v>16.898</v>
      </c>
      <c r="O780" s="2">
        <v>6.0</v>
      </c>
      <c r="P780" s="2">
        <v>25.45</v>
      </c>
      <c r="Q780" s="2">
        <v>90514.0</v>
      </c>
      <c r="R780" s="15" t="b">
        <f>ISNUMBER(MATCH(Q780,'Returned order'!A:A,0))</f>
        <v>0</v>
      </c>
      <c r="S780" s="22">
        <v>42086.0</v>
      </c>
      <c r="T780" s="15"/>
      <c r="U780" s="15"/>
      <c r="V780" s="15"/>
    </row>
    <row r="781">
      <c r="A781" s="2">
        <v>26035.0</v>
      </c>
      <c r="B781" s="1" t="s">
        <v>63</v>
      </c>
      <c r="C781" s="2">
        <v>0.07</v>
      </c>
      <c r="D781" s="2">
        <v>9.78</v>
      </c>
      <c r="E781" s="2">
        <v>1369.0</v>
      </c>
      <c r="F781" s="1" t="s">
        <v>1088</v>
      </c>
      <c r="G781" s="1" t="s">
        <v>22</v>
      </c>
      <c r="H781" s="1" t="s">
        <v>23</v>
      </c>
      <c r="I781" s="1" t="s">
        <v>88</v>
      </c>
      <c r="J781" s="1" t="s">
        <v>965</v>
      </c>
      <c r="K781" s="19" t="s">
        <v>68</v>
      </c>
      <c r="L781" s="20" t="s">
        <v>27</v>
      </c>
      <c r="M781" s="21">
        <f t="shared" si="1"/>
        <v>1</v>
      </c>
      <c r="N781" s="2">
        <v>20.14</v>
      </c>
      <c r="O781" s="2">
        <v>11.0</v>
      </c>
      <c r="P781" s="2">
        <v>110.72</v>
      </c>
      <c r="Q781" s="2">
        <v>90514.0</v>
      </c>
      <c r="R781" s="15" t="b">
        <f>ISNUMBER(MATCH(Q781,'Returned order'!A:A,0))</f>
        <v>0</v>
      </c>
      <c r="S781" s="22">
        <v>42086.0</v>
      </c>
      <c r="T781" s="15"/>
      <c r="U781" s="15"/>
      <c r="V781" s="15"/>
    </row>
    <row r="782">
      <c r="A782" s="2">
        <v>24534.0</v>
      </c>
      <c r="B782" s="1" t="s">
        <v>58</v>
      </c>
      <c r="C782" s="2">
        <v>0.06</v>
      </c>
      <c r="D782" s="2">
        <v>44.01</v>
      </c>
      <c r="E782" s="2">
        <v>1374.0</v>
      </c>
      <c r="F782" s="1" t="s">
        <v>1089</v>
      </c>
      <c r="G782" s="1" t="s">
        <v>51</v>
      </c>
      <c r="H782" s="1" t="s">
        <v>23</v>
      </c>
      <c r="I782" s="1" t="s">
        <v>151</v>
      </c>
      <c r="J782" s="1" t="s">
        <v>1090</v>
      </c>
      <c r="K782" s="19" t="s">
        <v>34</v>
      </c>
      <c r="L782" s="20" t="s">
        <v>61</v>
      </c>
      <c r="M782" s="21">
        <f t="shared" si="1"/>
        <v>7</v>
      </c>
      <c r="N782" s="2">
        <v>-21.232</v>
      </c>
      <c r="O782" s="2">
        <v>1.0</v>
      </c>
      <c r="P782" s="2">
        <v>46.94</v>
      </c>
      <c r="Q782" s="2">
        <v>88212.0</v>
      </c>
      <c r="R782" s="15" t="b">
        <f>ISNUMBER(MATCH(Q782,'Returned order'!A:A,0))</f>
        <v>0</v>
      </c>
      <c r="S782" s="22">
        <v>42162.0</v>
      </c>
      <c r="T782" s="15"/>
      <c r="U782" s="15"/>
      <c r="V782" s="15"/>
    </row>
    <row r="783">
      <c r="A783" s="2">
        <v>19932.0</v>
      </c>
      <c r="B783" s="1" t="s">
        <v>170</v>
      </c>
      <c r="C783" s="2">
        <v>0.05</v>
      </c>
      <c r="D783" s="2">
        <v>2.89</v>
      </c>
      <c r="E783" s="2">
        <v>1380.0</v>
      </c>
      <c r="F783" s="1" t="s">
        <v>1091</v>
      </c>
      <c r="G783" s="1" t="s">
        <v>51</v>
      </c>
      <c r="H783" s="1" t="s">
        <v>23</v>
      </c>
      <c r="I783" s="1" t="s">
        <v>130</v>
      </c>
      <c r="J783" s="1" t="s">
        <v>645</v>
      </c>
      <c r="K783" s="19" t="s">
        <v>26</v>
      </c>
      <c r="L783" s="20" t="s">
        <v>53</v>
      </c>
      <c r="M783" s="21">
        <f t="shared" si="1"/>
        <v>6</v>
      </c>
      <c r="N783" s="2">
        <v>18.0642</v>
      </c>
      <c r="O783" s="2">
        <v>9.0</v>
      </c>
      <c r="P783" s="2">
        <v>26.18</v>
      </c>
      <c r="Q783" s="2">
        <v>88213.0</v>
      </c>
      <c r="R783" s="15" t="b">
        <f>ISNUMBER(MATCH(Q783,'Returned order'!A:A,0))</f>
        <v>0</v>
      </c>
      <c r="S783" s="22">
        <v>42182.0</v>
      </c>
      <c r="T783" s="15"/>
      <c r="U783" s="15"/>
      <c r="V783" s="15"/>
    </row>
    <row r="784">
      <c r="A784" s="2">
        <v>19018.0</v>
      </c>
      <c r="B784" s="1" t="s">
        <v>63</v>
      </c>
      <c r="C784" s="2">
        <v>0.03</v>
      </c>
      <c r="D784" s="2">
        <v>2.23</v>
      </c>
      <c r="E784" s="2">
        <v>1383.0</v>
      </c>
      <c r="F784" s="1" t="s">
        <v>1092</v>
      </c>
      <c r="G784" s="1" t="s">
        <v>22</v>
      </c>
      <c r="H784" s="1" t="s">
        <v>37</v>
      </c>
      <c r="I784" s="1" t="s">
        <v>42</v>
      </c>
      <c r="J784" s="1" t="s">
        <v>1093</v>
      </c>
      <c r="K784" s="19" t="s">
        <v>34</v>
      </c>
      <c r="L784" s="20" t="s">
        <v>76</v>
      </c>
      <c r="M784" s="21">
        <f t="shared" si="1"/>
        <v>5</v>
      </c>
      <c r="N784" s="2">
        <v>-93.25</v>
      </c>
      <c r="O784" s="2">
        <v>12.0</v>
      </c>
      <c r="P784" s="2">
        <v>28.66</v>
      </c>
      <c r="Q784" s="2">
        <v>89406.0</v>
      </c>
      <c r="R784" s="15" t="b">
        <f>ISNUMBER(MATCH(Q784,'Returned order'!A:A,0))</f>
        <v>0</v>
      </c>
      <c r="S784" s="22">
        <v>42125.0</v>
      </c>
      <c r="T784" s="15"/>
      <c r="U784" s="15"/>
      <c r="V784" s="15"/>
    </row>
    <row r="785">
      <c r="A785" s="2">
        <v>25790.0</v>
      </c>
      <c r="B785" s="1" t="s">
        <v>49</v>
      </c>
      <c r="C785" s="2">
        <v>0.07</v>
      </c>
      <c r="D785" s="2">
        <v>11.29</v>
      </c>
      <c r="E785" s="2">
        <v>1384.0</v>
      </c>
      <c r="F785" s="1" t="s">
        <v>1094</v>
      </c>
      <c r="G785" s="1" t="s">
        <v>22</v>
      </c>
      <c r="H785" s="1" t="s">
        <v>23</v>
      </c>
      <c r="I785" s="1" t="s">
        <v>120</v>
      </c>
      <c r="J785" s="1" t="s">
        <v>1095</v>
      </c>
      <c r="K785" s="19" t="s">
        <v>229</v>
      </c>
      <c r="L785" s="20" t="s">
        <v>57</v>
      </c>
      <c r="M785" s="21">
        <f t="shared" si="1"/>
        <v>2</v>
      </c>
      <c r="N785" s="2">
        <v>-163.03</v>
      </c>
      <c r="O785" s="2">
        <v>11.0</v>
      </c>
      <c r="P785" s="2">
        <v>123.18</v>
      </c>
      <c r="Q785" s="2">
        <v>89407.0</v>
      </c>
      <c r="R785" s="15" t="b">
        <f>ISNUMBER(MATCH(Q785,'Returned order'!A:A,0))</f>
        <v>0</v>
      </c>
      <c r="S785" s="22">
        <v>42185.0</v>
      </c>
      <c r="T785" s="15"/>
      <c r="U785" s="15"/>
      <c r="V785" s="15"/>
    </row>
    <row r="786">
      <c r="A786" s="2">
        <v>22984.0</v>
      </c>
      <c r="B786" s="1" t="s">
        <v>170</v>
      </c>
      <c r="C786" s="2">
        <v>0.02</v>
      </c>
      <c r="D786" s="2">
        <v>70.97</v>
      </c>
      <c r="E786" s="2">
        <v>1384.0</v>
      </c>
      <c r="F786" s="1" t="s">
        <v>1094</v>
      </c>
      <c r="G786" s="1" t="s">
        <v>22</v>
      </c>
      <c r="H786" s="1" t="s">
        <v>23</v>
      </c>
      <c r="I786" s="1" t="s">
        <v>151</v>
      </c>
      <c r="J786" s="1" t="s">
        <v>567</v>
      </c>
      <c r="K786" s="19" t="s">
        <v>229</v>
      </c>
      <c r="L786" s="20" t="s">
        <v>61</v>
      </c>
      <c r="M786" s="21">
        <f t="shared" si="1"/>
        <v>7</v>
      </c>
      <c r="N786" s="2">
        <v>23.616</v>
      </c>
      <c r="O786" s="2">
        <v>21.0</v>
      </c>
      <c r="P786" s="2">
        <v>1533.59</v>
      </c>
      <c r="Q786" s="2">
        <v>89408.0</v>
      </c>
      <c r="R786" s="15" t="b">
        <f>ISNUMBER(MATCH(Q786,'Returned order'!A:A,0))</f>
        <v>0</v>
      </c>
      <c r="S786" s="22">
        <v>42162.0</v>
      </c>
      <c r="T786" s="15"/>
      <c r="U786" s="15"/>
      <c r="V786" s="15"/>
    </row>
    <row r="787">
      <c r="A787" s="2">
        <v>18970.0</v>
      </c>
      <c r="B787" s="1" t="s">
        <v>58</v>
      </c>
      <c r="C787" s="2">
        <v>0.06</v>
      </c>
      <c r="D787" s="2">
        <v>1.74</v>
      </c>
      <c r="E787" s="2">
        <v>1389.0</v>
      </c>
      <c r="F787" s="1" t="s">
        <v>1096</v>
      </c>
      <c r="G787" s="1" t="s">
        <v>32</v>
      </c>
      <c r="H787" s="1" t="s">
        <v>37</v>
      </c>
      <c r="I787" s="1" t="s">
        <v>42</v>
      </c>
      <c r="J787" s="1" t="s">
        <v>274</v>
      </c>
      <c r="K787" s="19" t="s">
        <v>34</v>
      </c>
      <c r="L787" s="20" t="s">
        <v>61</v>
      </c>
      <c r="M787" s="21">
        <f t="shared" si="1"/>
        <v>7</v>
      </c>
      <c r="N787" s="2">
        <v>-11.0732</v>
      </c>
      <c r="O787" s="2">
        <v>1.0</v>
      </c>
      <c r="P787" s="2">
        <v>2.77</v>
      </c>
      <c r="Q787" s="2">
        <v>88726.0</v>
      </c>
      <c r="R787" s="15" t="b">
        <f>ISNUMBER(MATCH(Q787,'Returned order'!A:A,0))</f>
        <v>0</v>
      </c>
      <c r="S787" s="22">
        <v>42029.0</v>
      </c>
      <c r="T787" s="15"/>
      <c r="U787" s="15"/>
      <c r="V787" s="15"/>
    </row>
    <row r="788">
      <c r="A788" s="2">
        <v>19852.0</v>
      </c>
      <c r="B788" s="1" t="s">
        <v>28</v>
      </c>
      <c r="C788" s="2">
        <v>0.08</v>
      </c>
      <c r="D788" s="2">
        <v>2.62</v>
      </c>
      <c r="E788" s="2">
        <v>1389.0</v>
      </c>
      <c r="F788" s="1" t="s">
        <v>1096</v>
      </c>
      <c r="G788" s="1" t="s">
        <v>66</v>
      </c>
      <c r="H788" s="1" t="s">
        <v>23</v>
      </c>
      <c r="I788" s="1" t="s">
        <v>81</v>
      </c>
      <c r="J788" s="1" t="s">
        <v>1066</v>
      </c>
      <c r="K788" s="19" t="s">
        <v>34</v>
      </c>
      <c r="L788" s="20" t="s">
        <v>35</v>
      </c>
      <c r="M788" s="21">
        <f t="shared" si="1"/>
        <v>3</v>
      </c>
      <c r="N788" s="2">
        <v>21.7695</v>
      </c>
      <c r="O788" s="2">
        <v>12.0</v>
      </c>
      <c r="P788" s="2">
        <v>31.55</v>
      </c>
      <c r="Q788" s="2">
        <v>88728.0</v>
      </c>
      <c r="R788" s="15" t="b">
        <f>ISNUMBER(MATCH(Q788,'Returned order'!A:A,0))</f>
        <v>0</v>
      </c>
      <c r="S788" s="22">
        <v>42137.0</v>
      </c>
      <c r="T788" s="15"/>
      <c r="U788" s="15"/>
      <c r="V788" s="15"/>
    </row>
    <row r="789">
      <c r="A789" s="2">
        <v>19111.0</v>
      </c>
      <c r="B789" s="1" t="s">
        <v>28</v>
      </c>
      <c r="C789" s="2">
        <v>0.09</v>
      </c>
      <c r="D789" s="2">
        <v>2.61</v>
      </c>
      <c r="E789" s="2">
        <v>1389.0</v>
      </c>
      <c r="F789" s="1" t="s">
        <v>1096</v>
      </c>
      <c r="G789" s="1" t="s">
        <v>22</v>
      </c>
      <c r="H789" s="1" t="s">
        <v>23</v>
      </c>
      <c r="I789" s="1" t="s">
        <v>130</v>
      </c>
      <c r="J789" s="1" t="s">
        <v>881</v>
      </c>
      <c r="K789" s="19" t="s">
        <v>34</v>
      </c>
      <c r="L789" s="20" t="s">
        <v>35</v>
      </c>
      <c r="M789" s="21">
        <f t="shared" si="1"/>
        <v>3</v>
      </c>
      <c r="N789" s="2">
        <v>29.3802</v>
      </c>
      <c r="O789" s="2">
        <v>17.0</v>
      </c>
      <c r="P789" s="2">
        <v>42.58</v>
      </c>
      <c r="Q789" s="2">
        <v>88729.0</v>
      </c>
      <c r="R789" s="15" t="b">
        <f>ISNUMBER(MATCH(Q789,'Returned order'!A:A,0))</f>
        <v>0</v>
      </c>
      <c r="S789" s="22">
        <v>42158.0</v>
      </c>
      <c r="T789" s="15"/>
      <c r="U789" s="15"/>
      <c r="V789" s="15"/>
    </row>
    <row r="790">
      <c r="A790" s="2">
        <v>18702.0</v>
      </c>
      <c r="B790" s="1" t="s">
        <v>58</v>
      </c>
      <c r="C790" s="2">
        <v>0.1</v>
      </c>
      <c r="D790" s="2">
        <v>8.17</v>
      </c>
      <c r="E790" s="2">
        <v>1390.0</v>
      </c>
      <c r="F790" s="1" t="s">
        <v>1097</v>
      </c>
      <c r="G790" s="1" t="s">
        <v>32</v>
      </c>
      <c r="H790" s="1" t="s">
        <v>23</v>
      </c>
      <c r="I790" s="1" t="s">
        <v>93</v>
      </c>
      <c r="J790" s="1" t="s">
        <v>1098</v>
      </c>
      <c r="K790" s="19" t="s">
        <v>34</v>
      </c>
      <c r="L790" s="20" t="s">
        <v>53</v>
      </c>
      <c r="M790" s="21">
        <f t="shared" si="1"/>
        <v>6</v>
      </c>
      <c r="N790" s="2">
        <v>100.2984</v>
      </c>
      <c r="O790" s="2">
        <v>19.0</v>
      </c>
      <c r="P790" s="2">
        <v>145.36</v>
      </c>
      <c r="Q790" s="2">
        <v>88731.0</v>
      </c>
      <c r="R790" s="15" t="b">
        <f>ISNUMBER(MATCH(Q790,'Returned order'!A:A,0))</f>
        <v>0</v>
      </c>
      <c r="S790" s="22">
        <v>42140.0</v>
      </c>
      <c r="T790" s="15"/>
      <c r="U790" s="15"/>
      <c r="V790" s="15"/>
    </row>
    <row r="791">
      <c r="A791" s="2">
        <v>18703.0</v>
      </c>
      <c r="B791" s="1" t="s">
        <v>58</v>
      </c>
      <c r="C791" s="2">
        <v>0.03</v>
      </c>
      <c r="D791" s="2">
        <v>110.99</v>
      </c>
      <c r="E791" s="2">
        <v>1390.0</v>
      </c>
      <c r="F791" s="1" t="s">
        <v>1097</v>
      </c>
      <c r="G791" s="1" t="s">
        <v>32</v>
      </c>
      <c r="H791" s="1" t="s">
        <v>46</v>
      </c>
      <c r="I791" s="1" t="s">
        <v>85</v>
      </c>
      <c r="J791" s="1" t="s">
        <v>457</v>
      </c>
      <c r="K791" s="19" t="s">
        <v>34</v>
      </c>
      <c r="L791" s="20" t="s">
        <v>53</v>
      </c>
      <c r="M791" s="21">
        <f t="shared" si="1"/>
        <v>6</v>
      </c>
      <c r="N791" s="2">
        <v>2495.3988</v>
      </c>
      <c r="O791" s="2">
        <v>38.0</v>
      </c>
      <c r="P791" s="2">
        <v>3616.52</v>
      </c>
      <c r="Q791" s="2">
        <v>88731.0</v>
      </c>
      <c r="R791" s="15" t="b">
        <f>ISNUMBER(MATCH(Q791,'Returned order'!A:A,0))</f>
        <v>0</v>
      </c>
      <c r="S791" s="22">
        <v>42140.0</v>
      </c>
      <c r="T791" s="15"/>
      <c r="U791" s="15"/>
      <c r="V791" s="15"/>
    </row>
    <row r="792">
      <c r="A792" s="2">
        <v>20523.0</v>
      </c>
      <c r="B792" s="1" t="s">
        <v>49</v>
      </c>
      <c r="C792" s="2">
        <v>0.0</v>
      </c>
      <c r="D792" s="2">
        <v>2.88</v>
      </c>
      <c r="E792" s="2">
        <v>1391.0</v>
      </c>
      <c r="F792" s="1" t="s">
        <v>1099</v>
      </c>
      <c r="G792" s="1" t="s">
        <v>22</v>
      </c>
      <c r="H792" s="1" t="s">
        <v>23</v>
      </c>
      <c r="I792" s="1" t="s">
        <v>29</v>
      </c>
      <c r="J792" s="1" t="s">
        <v>365</v>
      </c>
      <c r="K792" s="19" t="s">
        <v>34</v>
      </c>
      <c r="L792" s="20" t="s">
        <v>76</v>
      </c>
      <c r="M792" s="21">
        <f t="shared" si="1"/>
        <v>5</v>
      </c>
      <c r="N792" s="2">
        <v>-0.11</v>
      </c>
      <c r="O792" s="2">
        <v>1.0</v>
      </c>
      <c r="P792" s="2">
        <v>7.96</v>
      </c>
      <c r="Q792" s="2">
        <v>88727.0</v>
      </c>
      <c r="R792" s="15" t="b">
        <f>ISNUMBER(MATCH(Q792,'Returned order'!A:A,0))</f>
        <v>0</v>
      </c>
      <c r="S792" s="22">
        <v>42118.0</v>
      </c>
      <c r="T792" s="15"/>
      <c r="U792" s="15"/>
      <c r="V792" s="15"/>
    </row>
    <row r="793">
      <c r="A793" s="2">
        <v>20163.0</v>
      </c>
      <c r="B793" s="1" t="s">
        <v>170</v>
      </c>
      <c r="C793" s="2">
        <v>0.07</v>
      </c>
      <c r="D793" s="2">
        <v>12.28</v>
      </c>
      <c r="E793" s="2">
        <v>1391.0</v>
      </c>
      <c r="F793" s="1" t="s">
        <v>1099</v>
      </c>
      <c r="G793" s="1" t="s">
        <v>66</v>
      </c>
      <c r="H793" s="1" t="s">
        <v>23</v>
      </c>
      <c r="I793" s="1" t="s">
        <v>120</v>
      </c>
      <c r="J793" s="1" t="s">
        <v>1100</v>
      </c>
      <c r="K793" s="19" t="s">
        <v>34</v>
      </c>
      <c r="L793" s="20" t="s">
        <v>61</v>
      </c>
      <c r="M793" s="21">
        <f t="shared" si="1"/>
        <v>7</v>
      </c>
      <c r="N793" s="2">
        <v>15.236</v>
      </c>
      <c r="O793" s="2">
        <v>33.0</v>
      </c>
      <c r="P793" s="2">
        <v>389.59</v>
      </c>
      <c r="Q793" s="2">
        <v>88730.0</v>
      </c>
      <c r="R793" s="15" t="b">
        <f>ISNUMBER(MATCH(Q793,'Returned order'!A:A,0))</f>
        <v>0</v>
      </c>
      <c r="S793" s="22">
        <v>42127.0</v>
      </c>
      <c r="T793" s="15"/>
      <c r="U793" s="15"/>
      <c r="V793" s="15"/>
    </row>
    <row r="794">
      <c r="A794" s="2">
        <v>5297.0</v>
      </c>
      <c r="B794" s="1" t="s">
        <v>49</v>
      </c>
      <c r="C794" s="2">
        <v>0.0</v>
      </c>
      <c r="D794" s="2">
        <v>8.6</v>
      </c>
      <c r="E794" s="2">
        <v>1402.0</v>
      </c>
      <c r="F794" s="1" t="s">
        <v>1101</v>
      </c>
      <c r="G794" s="1" t="s">
        <v>32</v>
      </c>
      <c r="H794" s="1" t="s">
        <v>23</v>
      </c>
      <c r="I794" s="1" t="s">
        <v>24</v>
      </c>
      <c r="J794" s="1" t="s">
        <v>135</v>
      </c>
      <c r="K794" s="19" t="s">
        <v>68</v>
      </c>
      <c r="L794" s="20" t="s">
        <v>70</v>
      </c>
      <c r="M794" s="21">
        <f t="shared" si="1"/>
        <v>4</v>
      </c>
      <c r="N794" s="2">
        <v>-42.8536</v>
      </c>
      <c r="O794" s="2">
        <v>48.0</v>
      </c>
      <c r="P794" s="2">
        <v>447.89</v>
      </c>
      <c r="Q794" s="2">
        <v>37729.0</v>
      </c>
      <c r="R794" s="15" t="b">
        <f>ISNUMBER(MATCH(Q794,'Returned order'!A:A,0))</f>
        <v>0</v>
      </c>
      <c r="S794" s="22">
        <v>42019.0</v>
      </c>
      <c r="T794" s="15"/>
      <c r="U794" s="15"/>
      <c r="V794" s="15"/>
    </row>
    <row r="795">
      <c r="A795" s="2">
        <v>6080.0</v>
      </c>
      <c r="B795" s="1" t="s">
        <v>63</v>
      </c>
      <c r="C795" s="2">
        <v>0.04</v>
      </c>
      <c r="D795" s="2">
        <v>30.73</v>
      </c>
      <c r="E795" s="2">
        <v>1402.0</v>
      </c>
      <c r="F795" s="1" t="s">
        <v>1101</v>
      </c>
      <c r="G795" s="1" t="s">
        <v>51</v>
      </c>
      <c r="H795" s="1" t="s">
        <v>46</v>
      </c>
      <c r="I795" s="1" t="s">
        <v>47</v>
      </c>
      <c r="J795" s="1" t="s">
        <v>315</v>
      </c>
      <c r="K795" s="19" t="s">
        <v>68</v>
      </c>
      <c r="L795" s="20" t="s">
        <v>35</v>
      </c>
      <c r="M795" s="21">
        <f t="shared" si="1"/>
        <v>3</v>
      </c>
      <c r="N795" s="2">
        <v>-20.79</v>
      </c>
      <c r="O795" s="2">
        <v>48.0</v>
      </c>
      <c r="P795" s="2">
        <v>1420.84</v>
      </c>
      <c r="Q795" s="2">
        <v>43079.0</v>
      </c>
      <c r="R795" s="15" t="b">
        <f>ISNUMBER(MATCH(Q795,'Returned order'!A:A,0))</f>
        <v>0</v>
      </c>
      <c r="S795" s="22">
        <v>42025.0</v>
      </c>
      <c r="T795" s="15"/>
      <c r="U795" s="15"/>
      <c r="V795" s="15"/>
    </row>
    <row r="796">
      <c r="A796" s="2">
        <v>23297.0</v>
      </c>
      <c r="B796" s="1" t="s">
        <v>49</v>
      </c>
      <c r="C796" s="2">
        <v>0.0</v>
      </c>
      <c r="D796" s="2">
        <v>8.6</v>
      </c>
      <c r="E796" s="2">
        <v>1405.0</v>
      </c>
      <c r="F796" s="1" t="s">
        <v>1102</v>
      </c>
      <c r="G796" s="1" t="s">
        <v>32</v>
      </c>
      <c r="H796" s="1" t="s">
        <v>23</v>
      </c>
      <c r="I796" s="1" t="s">
        <v>24</v>
      </c>
      <c r="J796" s="1" t="s">
        <v>135</v>
      </c>
      <c r="K796" s="19" t="s">
        <v>68</v>
      </c>
      <c r="L796" s="20" t="s">
        <v>70</v>
      </c>
      <c r="M796" s="21">
        <f t="shared" si="1"/>
        <v>4</v>
      </c>
      <c r="N796" s="2">
        <v>-33.21154</v>
      </c>
      <c r="O796" s="2">
        <v>12.0</v>
      </c>
      <c r="P796" s="2">
        <v>111.97</v>
      </c>
      <c r="Q796" s="2">
        <v>86144.0</v>
      </c>
      <c r="R796" s="15" t="b">
        <f>ISNUMBER(MATCH(Q796,'Returned order'!A:A,0))</f>
        <v>0</v>
      </c>
      <c r="S796" s="22">
        <v>42019.0</v>
      </c>
      <c r="T796" s="15"/>
      <c r="U796" s="15"/>
      <c r="V796" s="15"/>
    </row>
    <row r="797">
      <c r="A797" s="2">
        <v>24080.0</v>
      </c>
      <c r="B797" s="1" t="s">
        <v>63</v>
      </c>
      <c r="C797" s="2">
        <v>0.04</v>
      </c>
      <c r="D797" s="2">
        <v>30.73</v>
      </c>
      <c r="E797" s="2">
        <v>1405.0</v>
      </c>
      <c r="F797" s="1" t="s">
        <v>1102</v>
      </c>
      <c r="G797" s="1" t="s">
        <v>51</v>
      </c>
      <c r="H797" s="1" t="s">
        <v>46</v>
      </c>
      <c r="I797" s="1" t="s">
        <v>47</v>
      </c>
      <c r="J797" s="1" t="s">
        <v>315</v>
      </c>
      <c r="K797" s="19" t="s">
        <v>68</v>
      </c>
      <c r="L797" s="20" t="s">
        <v>35</v>
      </c>
      <c r="M797" s="21">
        <f t="shared" si="1"/>
        <v>3</v>
      </c>
      <c r="N797" s="2">
        <v>-20.79</v>
      </c>
      <c r="O797" s="2">
        <v>12.0</v>
      </c>
      <c r="P797" s="2">
        <v>355.21</v>
      </c>
      <c r="Q797" s="2">
        <v>86145.0</v>
      </c>
      <c r="R797" s="15" t="b">
        <f>ISNUMBER(MATCH(Q797,'Returned order'!A:A,0))</f>
        <v>0</v>
      </c>
      <c r="S797" s="22">
        <v>42025.0</v>
      </c>
      <c r="T797" s="15"/>
      <c r="U797" s="15"/>
      <c r="V797" s="15"/>
    </row>
    <row r="798">
      <c r="A798" s="2">
        <v>19417.0</v>
      </c>
      <c r="B798" s="1" t="s">
        <v>63</v>
      </c>
      <c r="C798" s="2">
        <v>0.0</v>
      </c>
      <c r="D798" s="2">
        <v>65.99</v>
      </c>
      <c r="E798" s="2">
        <v>1410.0</v>
      </c>
      <c r="F798" s="1" t="s">
        <v>1103</v>
      </c>
      <c r="G798" s="1" t="s">
        <v>32</v>
      </c>
      <c r="H798" s="1" t="s">
        <v>46</v>
      </c>
      <c r="I798" s="1" t="s">
        <v>85</v>
      </c>
      <c r="J798" s="1" t="s">
        <v>1104</v>
      </c>
      <c r="K798" s="19" t="s">
        <v>34</v>
      </c>
      <c r="L798" s="20" t="s">
        <v>57</v>
      </c>
      <c r="M798" s="21">
        <f t="shared" si="1"/>
        <v>2</v>
      </c>
      <c r="N798" s="2">
        <v>369.9987</v>
      </c>
      <c r="O798" s="2">
        <v>9.0</v>
      </c>
      <c r="P798" s="2">
        <v>536.23</v>
      </c>
      <c r="Q798" s="2">
        <v>87086.0</v>
      </c>
      <c r="R798" s="15" t="b">
        <f>ISNUMBER(MATCH(Q798,'Returned order'!A:A,0))</f>
        <v>0</v>
      </c>
      <c r="S798" s="22">
        <v>42101.0</v>
      </c>
      <c r="T798" s="15"/>
      <c r="U798" s="15"/>
      <c r="V798" s="15"/>
    </row>
    <row r="799">
      <c r="A799" s="2">
        <v>24407.0</v>
      </c>
      <c r="B799" s="1" t="s">
        <v>49</v>
      </c>
      <c r="C799" s="2">
        <v>0.08</v>
      </c>
      <c r="D799" s="2">
        <v>3.38</v>
      </c>
      <c r="E799" s="2">
        <v>1412.0</v>
      </c>
      <c r="F799" s="1" t="s">
        <v>1105</v>
      </c>
      <c r="G799" s="1" t="s">
        <v>32</v>
      </c>
      <c r="H799" s="1" t="s">
        <v>23</v>
      </c>
      <c r="I799" s="1" t="s">
        <v>29</v>
      </c>
      <c r="J799" s="1" t="s">
        <v>1106</v>
      </c>
      <c r="K799" s="19" t="s">
        <v>34</v>
      </c>
      <c r="L799" s="20" t="s">
        <v>27</v>
      </c>
      <c r="M799" s="21">
        <f t="shared" si="1"/>
        <v>1</v>
      </c>
      <c r="N799" s="2">
        <v>20.4536</v>
      </c>
      <c r="O799" s="2">
        <v>12.0</v>
      </c>
      <c r="P799" s="2">
        <v>38.81</v>
      </c>
      <c r="Q799" s="2">
        <v>87087.0</v>
      </c>
      <c r="R799" s="15" t="b">
        <f>ISNUMBER(MATCH(Q799,'Returned order'!A:A,0))</f>
        <v>0</v>
      </c>
      <c r="S799" s="22">
        <v>42037.0</v>
      </c>
      <c r="T799" s="15"/>
      <c r="U799" s="15"/>
      <c r="V799" s="15"/>
    </row>
    <row r="800">
      <c r="A800" s="2">
        <v>1417.0</v>
      </c>
      <c r="B800" s="1" t="s">
        <v>63</v>
      </c>
      <c r="C800" s="2">
        <v>0.0</v>
      </c>
      <c r="D800" s="2">
        <v>65.99</v>
      </c>
      <c r="E800" s="2">
        <v>1413.0</v>
      </c>
      <c r="F800" s="1" t="s">
        <v>147</v>
      </c>
      <c r="G800" s="1" t="s">
        <v>32</v>
      </c>
      <c r="H800" s="1" t="s">
        <v>46</v>
      </c>
      <c r="I800" s="1" t="s">
        <v>85</v>
      </c>
      <c r="J800" s="1" t="s">
        <v>1104</v>
      </c>
      <c r="K800" s="19" t="s">
        <v>26</v>
      </c>
      <c r="L800" s="20" t="s">
        <v>57</v>
      </c>
      <c r="M800" s="21">
        <f t="shared" si="1"/>
        <v>2</v>
      </c>
      <c r="N800" s="2">
        <v>542.25</v>
      </c>
      <c r="O800" s="2">
        <v>36.0</v>
      </c>
      <c r="P800" s="2">
        <v>2144.92</v>
      </c>
      <c r="Q800" s="2">
        <v>10277.0</v>
      </c>
      <c r="R800" s="15" t="b">
        <f>ISNUMBER(MATCH(Q800,'Returned order'!A:A,0))</f>
        <v>0</v>
      </c>
      <c r="S800" s="22">
        <v>42101.0</v>
      </c>
      <c r="T800" s="15"/>
      <c r="U800" s="15"/>
      <c r="V800" s="15"/>
    </row>
    <row r="801">
      <c r="A801" s="2">
        <v>6406.0</v>
      </c>
      <c r="B801" s="1" t="s">
        <v>49</v>
      </c>
      <c r="C801" s="2">
        <v>0.02</v>
      </c>
      <c r="D801" s="2">
        <v>16.48</v>
      </c>
      <c r="E801" s="2">
        <v>1413.0</v>
      </c>
      <c r="F801" s="1" t="s">
        <v>147</v>
      </c>
      <c r="G801" s="1" t="s">
        <v>32</v>
      </c>
      <c r="H801" s="1" t="s">
        <v>46</v>
      </c>
      <c r="I801" s="1" t="s">
        <v>47</v>
      </c>
      <c r="J801" s="1" t="s">
        <v>148</v>
      </c>
      <c r="K801" s="19" t="s">
        <v>26</v>
      </c>
      <c r="L801" s="20" t="s">
        <v>27</v>
      </c>
      <c r="M801" s="21">
        <f t="shared" si="1"/>
        <v>1</v>
      </c>
      <c r="N801" s="2">
        <v>69.61</v>
      </c>
      <c r="O801" s="2">
        <v>27.0</v>
      </c>
      <c r="P801" s="2">
        <v>484.56</v>
      </c>
      <c r="Q801" s="2">
        <v>45539.0</v>
      </c>
      <c r="R801" s="15" t="b">
        <f>ISNUMBER(MATCH(Q801,'Returned order'!A:A,0))</f>
        <v>0</v>
      </c>
      <c r="S801" s="22">
        <v>42037.0</v>
      </c>
      <c r="T801" s="15"/>
      <c r="U801" s="15"/>
      <c r="V801" s="15"/>
    </row>
    <row r="802">
      <c r="A802" s="2">
        <v>25129.0</v>
      </c>
      <c r="B802" s="1" t="s">
        <v>58</v>
      </c>
      <c r="C802" s="2">
        <v>0.02</v>
      </c>
      <c r="D802" s="2">
        <v>417.4</v>
      </c>
      <c r="E802" s="2">
        <v>1416.0</v>
      </c>
      <c r="F802" s="1" t="s">
        <v>1107</v>
      </c>
      <c r="G802" s="1" t="s">
        <v>66</v>
      </c>
      <c r="H802" s="1" t="s">
        <v>37</v>
      </c>
      <c r="I802" s="1" t="s">
        <v>73</v>
      </c>
      <c r="J802" s="1" t="s">
        <v>592</v>
      </c>
      <c r="K802" s="19" t="s">
        <v>68</v>
      </c>
      <c r="L802" s="20" t="s">
        <v>35</v>
      </c>
      <c r="M802" s="21">
        <f t="shared" si="1"/>
        <v>3</v>
      </c>
      <c r="N802" s="2">
        <v>-634.8654</v>
      </c>
      <c r="O802" s="2">
        <v>1.0</v>
      </c>
      <c r="P802" s="2">
        <v>471.21</v>
      </c>
      <c r="Q802" s="2">
        <v>90538.0</v>
      </c>
      <c r="R802" s="15" t="b">
        <f>ISNUMBER(MATCH(Q802,'Returned order'!A:A,0))</f>
        <v>0</v>
      </c>
      <c r="S802" s="22">
        <v>42130.0</v>
      </c>
      <c r="T802" s="15"/>
      <c r="U802" s="15"/>
      <c r="V802" s="15"/>
    </row>
    <row r="803">
      <c r="A803" s="2">
        <v>24722.0</v>
      </c>
      <c r="B803" s="1" t="s">
        <v>28</v>
      </c>
      <c r="C803" s="2">
        <v>0.04</v>
      </c>
      <c r="D803" s="2">
        <v>46.89</v>
      </c>
      <c r="E803" s="2">
        <v>1416.0</v>
      </c>
      <c r="F803" s="1" t="s">
        <v>1107</v>
      </c>
      <c r="G803" s="1" t="s">
        <v>66</v>
      </c>
      <c r="H803" s="1" t="s">
        <v>23</v>
      </c>
      <c r="I803" s="1" t="s">
        <v>151</v>
      </c>
      <c r="J803" s="1" t="s">
        <v>1019</v>
      </c>
      <c r="K803" s="19" t="s">
        <v>68</v>
      </c>
      <c r="L803" s="20" t="s">
        <v>70</v>
      </c>
      <c r="M803" s="21">
        <f t="shared" si="1"/>
        <v>4</v>
      </c>
      <c r="N803" s="2">
        <v>87.12</v>
      </c>
      <c r="O803" s="2">
        <v>4.0</v>
      </c>
      <c r="P803" s="2">
        <v>182.61</v>
      </c>
      <c r="Q803" s="2">
        <v>90540.0</v>
      </c>
      <c r="R803" s="15" t="b">
        <f>ISNUMBER(MATCH(Q803,'Returned order'!A:A,0))</f>
        <v>0</v>
      </c>
      <c r="S803" s="22">
        <v>42180.0</v>
      </c>
      <c r="T803" s="15"/>
      <c r="U803" s="15"/>
      <c r="V803" s="15"/>
    </row>
    <row r="804">
      <c r="A804" s="2">
        <v>22823.0</v>
      </c>
      <c r="B804" s="1" t="s">
        <v>170</v>
      </c>
      <c r="C804" s="2">
        <v>0.07</v>
      </c>
      <c r="D804" s="2">
        <v>4.84</v>
      </c>
      <c r="E804" s="2">
        <v>1418.0</v>
      </c>
      <c r="F804" s="1" t="s">
        <v>1108</v>
      </c>
      <c r="G804" s="1" t="s">
        <v>66</v>
      </c>
      <c r="H804" s="1" t="s">
        <v>23</v>
      </c>
      <c r="I804" s="1" t="s">
        <v>29</v>
      </c>
      <c r="J804" s="1" t="s">
        <v>195</v>
      </c>
      <c r="K804" s="19" t="s">
        <v>68</v>
      </c>
      <c r="L804" s="20" t="s">
        <v>70</v>
      </c>
      <c r="M804" s="21">
        <f t="shared" si="1"/>
        <v>4</v>
      </c>
      <c r="N804" s="2">
        <v>25.2402</v>
      </c>
      <c r="O804" s="2">
        <v>8.0</v>
      </c>
      <c r="P804" s="2">
        <v>36.58</v>
      </c>
      <c r="Q804" s="2">
        <v>90539.0</v>
      </c>
      <c r="R804" s="15" t="b">
        <f>ISNUMBER(MATCH(Q804,'Returned order'!A:A,0))</f>
        <v>0</v>
      </c>
      <c r="S804" s="22">
        <v>42005.0</v>
      </c>
      <c r="T804" s="15"/>
      <c r="U804" s="15"/>
      <c r="V804" s="15"/>
    </row>
    <row r="805">
      <c r="A805" s="2">
        <v>24295.0</v>
      </c>
      <c r="B805" s="1" t="s">
        <v>49</v>
      </c>
      <c r="C805" s="2">
        <v>0.01</v>
      </c>
      <c r="D805" s="2">
        <v>124.49</v>
      </c>
      <c r="E805" s="2">
        <v>1419.0</v>
      </c>
      <c r="F805" s="1" t="s">
        <v>1109</v>
      </c>
      <c r="G805" s="1" t="s">
        <v>66</v>
      </c>
      <c r="H805" s="1" t="s">
        <v>37</v>
      </c>
      <c r="I805" s="1" t="s">
        <v>73</v>
      </c>
      <c r="J805" s="1" t="s">
        <v>432</v>
      </c>
      <c r="K805" s="19" t="s">
        <v>68</v>
      </c>
      <c r="L805" s="20" t="s">
        <v>70</v>
      </c>
      <c r="M805" s="21">
        <f t="shared" si="1"/>
        <v>4</v>
      </c>
      <c r="N805" s="2">
        <v>-94.674645</v>
      </c>
      <c r="O805" s="2">
        <v>18.0</v>
      </c>
      <c r="P805" s="2">
        <v>2376.12</v>
      </c>
      <c r="Q805" s="2">
        <v>90540.0</v>
      </c>
      <c r="R805" s="15" t="b">
        <f>ISNUMBER(MATCH(Q805,'Returned order'!A:A,0))</f>
        <v>0</v>
      </c>
      <c r="S805" s="22">
        <v>42180.0</v>
      </c>
      <c r="T805" s="15"/>
      <c r="U805" s="15"/>
      <c r="V805" s="15"/>
    </row>
    <row r="806">
      <c r="A806" s="2">
        <v>19024.0</v>
      </c>
      <c r="B806" s="1" t="s">
        <v>170</v>
      </c>
      <c r="C806" s="2">
        <v>0.05</v>
      </c>
      <c r="D806" s="2">
        <v>350.99</v>
      </c>
      <c r="E806" s="2">
        <v>1424.0</v>
      </c>
      <c r="F806" s="1" t="s">
        <v>1110</v>
      </c>
      <c r="G806" s="1" t="s">
        <v>51</v>
      </c>
      <c r="H806" s="1" t="s">
        <v>37</v>
      </c>
      <c r="I806" s="1" t="s">
        <v>38</v>
      </c>
      <c r="J806" s="1" t="s">
        <v>967</v>
      </c>
      <c r="K806" s="19" t="s">
        <v>34</v>
      </c>
      <c r="L806" s="20" t="s">
        <v>27</v>
      </c>
      <c r="M806" s="21">
        <f t="shared" si="1"/>
        <v>1</v>
      </c>
      <c r="N806" s="2">
        <v>451.2804</v>
      </c>
      <c r="O806" s="2">
        <v>3.0</v>
      </c>
      <c r="P806" s="2">
        <v>1020.08</v>
      </c>
      <c r="Q806" s="2">
        <v>89448.0</v>
      </c>
      <c r="R806" s="15" t="b">
        <f>ISNUMBER(MATCH(Q806,'Returned order'!A:A,0))</f>
        <v>0</v>
      </c>
      <c r="S806" s="22">
        <v>42016.0</v>
      </c>
      <c r="T806" s="15"/>
      <c r="U806" s="15"/>
      <c r="V806" s="15"/>
    </row>
    <row r="807">
      <c r="A807" s="2">
        <v>19025.0</v>
      </c>
      <c r="B807" s="1" t="s">
        <v>170</v>
      </c>
      <c r="C807" s="2">
        <v>0.0</v>
      </c>
      <c r="D807" s="2">
        <v>8.74</v>
      </c>
      <c r="E807" s="2">
        <v>1424.0</v>
      </c>
      <c r="F807" s="1" t="s">
        <v>1110</v>
      </c>
      <c r="G807" s="1" t="s">
        <v>51</v>
      </c>
      <c r="H807" s="1" t="s">
        <v>23</v>
      </c>
      <c r="I807" s="1" t="s">
        <v>88</v>
      </c>
      <c r="J807" s="1" t="s">
        <v>1111</v>
      </c>
      <c r="K807" s="19" t="s">
        <v>34</v>
      </c>
      <c r="L807" s="20" t="s">
        <v>27</v>
      </c>
      <c r="M807" s="21">
        <f t="shared" si="1"/>
        <v>1</v>
      </c>
      <c r="N807" s="2">
        <v>44.988</v>
      </c>
      <c r="O807" s="2">
        <v>7.0</v>
      </c>
      <c r="P807" s="2">
        <v>65.2</v>
      </c>
      <c r="Q807" s="2">
        <v>89448.0</v>
      </c>
      <c r="R807" s="15" t="b">
        <f>ISNUMBER(MATCH(Q807,'Returned order'!A:A,0))</f>
        <v>0</v>
      </c>
      <c r="S807" s="22">
        <v>42016.0</v>
      </c>
      <c r="T807" s="15"/>
      <c r="U807" s="15"/>
      <c r="V807" s="15"/>
    </row>
    <row r="808">
      <c r="A808" s="2">
        <v>19026.0</v>
      </c>
      <c r="B808" s="1" t="s">
        <v>170</v>
      </c>
      <c r="C808" s="2">
        <v>0.02</v>
      </c>
      <c r="D808" s="2">
        <v>1.98</v>
      </c>
      <c r="E808" s="2">
        <v>1424.0</v>
      </c>
      <c r="F808" s="1" t="s">
        <v>1110</v>
      </c>
      <c r="G808" s="1" t="s">
        <v>51</v>
      </c>
      <c r="H808" s="1" t="s">
        <v>23</v>
      </c>
      <c r="I808" s="1" t="s">
        <v>81</v>
      </c>
      <c r="J808" s="1" t="s">
        <v>382</v>
      </c>
      <c r="K808" s="19" t="s">
        <v>34</v>
      </c>
      <c r="L808" s="20" t="s">
        <v>27</v>
      </c>
      <c r="M808" s="21">
        <f t="shared" si="1"/>
        <v>1</v>
      </c>
      <c r="N808" s="2">
        <v>-20.7328</v>
      </c>
      <c r="O808" s="2">
        <v>11.0</v>
      </c>
      <c r="P808" s="2">
        <v>22.59</v>
      </c>
      <c r="Q808" s="2">
        <v>89448.0</v>
      </c>
      <c r="R808" s="15" t="b">
        <f>ISNUMBER(MATCH(Q808,'Returned order'!A:A,0))</f>
        <v>0</v>
      </c>
      <c r="S808" s="22">
        <v>42016.0</v>
      </c>
      <c r="T808" s="15"/>
      <c r="U808" s="15"/>
      <c r="V808" s="15"/>
    </row>
    <row r="809">
      <c r="A809" s="2">
        <v>23620.0</v>
      </c>
      <c r="B809" s="1" t="s">
        <v>49</v>
      </c>
      <c r="C809" s="2">
        <v>0.05</v>
      </c>
      <c r="D809" s="2">
        <v>8.04</v>
      </c>
      <c r="E809" s="2">
        <v>1424.0</v>
      </c>
      <c r="F809" s="1" t="s">
        <v>1110</v>
      </c>
      <c r="G809" s="1" t="s">
        <v>51</v>
      </c>
      <c r="H809" s="1" t="s">
        <v>23</v>
      </c>
      <c r="I809" s="1" t="s">
        <v>24</v>
      </c>
      <c r="J809" s="1" t="s">
        <v>817</v>
      </c>
      <c r="K809" s="19" t="s">
        <v>34</v>
      </c>
      <c r="L809" s="20" t="s">
        <v>53</v>
      </c>
      <c r="M809" s="21">
        <f t="shared" si="1"/>
        <v>6</v>
      </c>
      <c r="N809" s="2">
        <v>-164.3948</v>
      </c>
      <c r="O809" s="2">
        <v>15.0</v>
      </c>
      <c r="P809" s="2">
        <v>121.36</v>
      </c>
      <c r="Q809" s="2">
        <v>89449.0</v>
      </c>
      <c r="R809" s="15" t="b">
        <f>ISNUMBER(MATCH(Q809,'Returned order'!A:A,0))</f>
        <v>0</v>
      </c>
      <c r="S809" s="22">
        <v>42175.0</v>
      </c>
      <c r="T809" s="15"/>
      <c r="U809" s="15"/>
      <c r="V809" s="15"/>
    </row>
    <row r="810">
      <c r="A810" s="2">
        <v>22824.0</v>
      </c>
      <c r="B810" s="1" t="s">
        <v>170</v>
      </c>
      <c r="C810" s="2">
        <v>0.04</v>
      </c>
      <c r="D810" s="2">
        <v>2036.48</v>
      </c>
      <c r="E810" s="2">
        <v>1425.0</v>
      </c>
      <c r="F810" s="1" t="s">
        <v>1112</v>
      </c>
      <c r="G810" s="1" t="s">
        <v>66</v>
      </c>
      <c r="H810" s="1" t="s">
        <v>46</v>
      </c>
      <c r="I810" s="1" t="s">
        <v>103</v>
      </c>
      <c r="J810" s="1" t="s">
        <v>542</v>
      </c>
      <c r="K810" s="19" t="s">
        <v>34</v>
      </c>
      <c r="L810" s="20" t="s">
        <v>70</v>
      </c>
      <c r="M810" s="21">
        <f t="shared" si="1"/>
        <v>4</v>
      </c>
      <c r="N810" s="2">
        <v>-4793.004</v>
      </c>
      <c r="O810" s="2">
        <v>1.0</v>
      </c>
      <c r="P810" s="2">
        <v>2013.67</v>
      </c>
      <c r="Q810" s="2">
        <v>89450.0</v>
      </c>
      <c r="R810" s="15" t="b">
        <f>ISNUMBER(MATCH(Q810,'Returned order'!A:A,0))</f>
        <v>0</v>
      </c>
      <c r="S810" s="22">
        <v>42005.0</v>
      </c>
      <c r="T810" s="15"/>
      <c r="U810" s="15"/>
      <c r="V810" s="15"/>
    </row>
    <row r="811">
      <c r="A811" s="2">
        <v>22407.0</v>
      </c>
      <c r="B811" s="1" t="s">
        <v>170</v>
      </c>
      <c r="C811" s="2">
        <v>0.09</v>
      </c>
      <c r="D811" s="2">
        <v>125.99</v>
      </c>
      <c r="E811" s="2">
        <v>1427.0</v>
      </c>
      <c r="F811" s="1" t="s">
        <v>1113</v>
      </c>
      <c r="G811" s="1" t="s">
        <v>51</v>
      </c>
      <c r="H811" s="1" t="s">
        <v>46</v>
      </c>
      <c r="I811" s="1" t="s">
        <v>85</v>
      </c>
      <c r="J811" s="1" t="s">
        <v>889</v>
      </c>
      <c r="K811" s="19" t="s">
        <v>68</v>
      </c>
      <c r="L811" s="20" t="s">
        <v>70</v>
      </c>
      <c r="M811" s="21">
        <f t="shared" si="1"/>
        <v>4</v>
      </c>
      <c r="N811" s="2">
        <v>1258.7877</v>
      </c>
      <c r="O811" s="2">
        <v>18.0</v>
      </c>
      <c r="P811" s="2">
        <v>1824.33</v>
      </c>
      <c r="Q811" s="2">
        <v>90905.0</v>
      </c>
      <c r="R811" s="15" t="b">
        <f>ISNUMBER(MATCH(Q811,'Returned order'!A:A,0))</f>
        <v>0</v>
      </c>
      <c r="S811" s="22">
        <v>42040.0</v>
      </c>
      <c r="T811" s="15"/>
      <c r="U811" s="15"/>
      <c r="V811" s="15"/>
    </row>
    <row r="812">
      <c r="A812" s="2">
        <v>19810.0</v>
      </c>
      <c r="B812" s="1" t="s">
        <v>49</v>
      </c>
      <c r="C812" s="2">
        <v>0.05</v>
      </c>
      <c r="D812" s="2">
        <v>9.78</v>
      </c>
      <c r="E812" s="2">
        <v>1432.0</v>
      </c>
      <c r="F812" s="1" t="s">
        <v>1114</v>
      </c>
      <c r="G812" s="1" t="s">
        <v>32</v>
      </c>
      <c r="H812" s="1" t="s">
        <v>23</v>
      </c>
      <c r="I812" s="1" t="s">
        <v>88</v>
      </c>
      <c r="J812" s="1" t="s">
        <v>965</v>
      </c>
      <c r="K812" s="19" t="s">
        <v>68</v>
      </c>
      <c r="L812" s="20" t="s">
        <v>70</v>
      </c>
      <c r="M812" s="21">
        <f t="shared" si="1"/>
        <v>4</v>
      </c>
      <c r="N812" s="2">
        <v>74.2785</v>
      </c>
      <c r="O812" s="2">
        <v>11.0</v>
      </c>
      <c r="P812" s="2">
        <v>107.65</v>
      </c>
      <c r="Q812" s="2">
        <v>86826.0</v>
      </c>
      <c r="R812" s="15" t="b">
        <f>ISNUMBER(MATCH(Q812,'Returned order'!A:A,0))</f>
        <v>0</v>
      </c>
      <c r="S812" s="22">
        <v>42068.0</v>
      </c>
      <c r="T812" s="15"/>
      <c r="U812" s="15"/>
      <c r="V812" s="15"/>
    </row>
    <row r="813">
      <c r="A813" s="2">
        <v>18762.0</v>
      </c>
      <c r="B813" s="1" t="s">
        <v>170</v>
      </c>
      <c r="C813" s="2">
        <v>0.07</v>
      </c>
      <c r="D813" s="2">
        <v>10.98</v>
      </c>
      <c r="E813" s="2">
        <v>1432.0</v>
      </c>
      <c r="F813" s="1" t="s">
        <v>1114</v>
      </c>
      <c r="G813" s="1" t="s">
        <v>32</v>
      </c>
      <c r="H813" s="1" t="s">
        <v>23</v>
      </c>
      <c r="I813" s="1" t="s">
        <v>88</v>
      </c>
      <c r="J813" s="1" t="s">
        <v>479</v>
      </c>
      <c r="K813" s="19" t="s">
        <v>68</v>
      </c>
      <c r="L813" s="20" t="s">
        <v>53</v>
      </c>
      <c r="M813" s="21">
        <f t="shared" si="1"/>
        <v>6</v>
      </c>
      <c r="N813" s="2">
        <v>52.92</v>
      </c>
      <c r="O813" s="2">
        <v>16.0</v>
      </c>
      <c r="P813" s="2">
        <v>165.21</v>
      </c>
      <c r="Q813" s="2">
        <v>86827.0</v>
      </c>
      <c r="R813" s="15" t="b">
        <f>ISNUMBER(MATCH(Q813,'Returned order'!A:A,0))</f>
        <v>0</v>
      </c>
      <c r="S813" s="22">
        <v>42175.0</v>
      </c>
      <c r="T813" s="15"/>
      <c r="U813" s="15"/>
      <c r="V813" s="15"/>
    </row>
    <row r="814">
      <c r="A814" s="2">
        <v>19811.0</v>
      </c>
      <c r="B814" s="1" t="s">
        <v>49</v>
      </c>
      <c r="C814" s="2">
        <v>0.02</v>
      </c>
      <c r="D814" s="2">
        <v>3.28</v>
      </c>
      <c r="E814" s="2">
        <v>1433.0</v>
      </c>
      <c r="F814" s="1" t="s">
        <v>1115</v>
      </c>
      <c r="G814" s="1" t="s">
        <v>32</v>
      </c>
      <c r="H814" s="1" t="s">
        <v>23</v>
      </c>
      <c r="I814" s="1" t="s">
        <v>29</v>
      </c>
      <c r="J814" s="1" t="s">
        <v>799</v>
      </c>
      <c r="K814" s="19" t="s">
        <v>68</v>
      </c>
      <c r="L814" s="20" t="s">
        <v>70</v>
      </c>
      <c r="M814" s="21">
        <f t="shared" si="1"/>
        <v>4</v>
      </c>
      <c r="N814" s="2">
        <v>-66.35</v>
      </c>
      <c r="O814" s="2">
        <v>7.0</v>
      </c>
      <c r="P814" s="2">
        <v>25.15</v>
      </c>
      <c r="Q814" s="2">
        <v>86826.0</v>
      </c>
      <c r="R814" s="15" t="b">
        <f>ISNUMBER(MATCH(Q814,'Returned order'!A:A,0))</f>
        <v>0</v>
      </c>
      <c r="S814" s="22">
        <v>42068.0</v>
      </c>
      <c r="T814" s="15"/>
      <c r="U814" s="15"/>
      <c r="V814" s="15"/>
    </row>
    <row r="815">
      <c r="A815" s="2">
        <v>20124.0</v>
      </c>
      <c r="B815" s="1" t="s">
        <v>28</v>
      </c>
      <c r="C815" s="2">
        <v>0.07</v>
      </c>
      <c r="D815" s="2">
        <v>300.98</v>
      </c>
      <c r="E815" s="2">
        <v>1433.0</v>
      </c>
      <c r="F815" s="1" t="s">
        <v>1115</v>
      </c>
      <c r="G815" s="1" t="s">
        <v>32</v>
      </c>
      <c r="H815" s="1" t="s">
        <v>37</v>
      </c>
      <c r="I815" s="1" t="s">
        <v>38</v>
      </c>
      <c r="J815" s="1" t="s">
        <v>1116</v>
      </c>
      <c r="K815" s="19" t="s">
        <v>68</v>
      </c>
      <c r="L815" s="20" t="s">
        <v>57</v>
      </c>
      <c r="M815" s="21">
        <f t="shared" si="1"/>
        <v>2</v>
      </c>
      <c r="N815" s="2">
        <v>1399.64</v>
      </c>
      <c r="O815" s="2">
        <v>14.0</v>
      </c>
      <c r="P815" s="2">
        <v>4285.56</v>
      </c>
      <c r="Q815" s="2">
        <v>86828.0</v>
      </c>
      <c r="R815" s="15" t="b">
        <f>ISNUMBER(MATCH(Q815,'Returned order'!A:A,0))</f>
        <v>0</v>
      </c>
      <c r="S815" s="22">
        <v>42143.0</v>
      </c>
      <c r="T815" s="15"/>
      <c r="U815" s="15"/>
      <c r="V815" s="15"/>
    </row>
    <row r="816">
      <c r="A816" s="2">
        <v>20125.0</v>
      </c>
      <c r="B816" s="1" t="s">
        <v>28</v>
      </c>
      <c r="C816" s="2">
        <v>0.01</v>
      </c>
      <c r="D816" s="2">
        <v>20.98</v>
      </c>
      <c r="E816" s="2">
        <v>1433.0</v>
      </c>
      <c r="F816" s="1" t="s">
        <v>1115</v>
      </c>
      <c r="G816" s="1" t="s">
        <v>32</v>
      </c>
      <c r="H816" s="1" t="s">
        <v>23</v>
      </c>
      <c r="I816" s="1" t="s">
        <v>120</v>
      </c>
      <c r="J816" s="1" t="s">
        <v>1117</v>
      </c>
      <c r="K816" s="19" t="s">
        <v>68</v>
      </c>
      <c r="L816" s="20" t="s">
        <v>57</v>
      </c>
      <c r="M816" s="21">
        <f t="shared" si="1"/>
        <v>2</v>
      </c>
      <c r="N816" s="2">
        <v>232.642</v>
      </c>
      <c r="O816" s="2">
        <v>28.0</v>
      </c>
      <c r="P816" s="2">
        <v>631.37</v>
      </c>
      <c r="Q816" s="2">
        <v>86828.0</v>
      </c>
      <c r="R816" s="15" t="b">
        <f>ISNUMBER(MATCH(Q816,'Returned order'!A:A,0))</f>
        <v>0</v>
      </c>
      <c r="S816" s="22">
        <v>42143.0</v>
      </c>
      <c r="T816" s="15"/>
      <c r="U816" s="15"/>
      <c r="V816" s="15"/>
    </row>
    <row r="817">
      <c r="A817" s="2">
        <v>21955.0</v>
      </c>
      <c r="B817" s="1" t="s">
        <v>58</v>
      </c>
      <c r="C817" s="2">
        <v>0.01</v>
      </c>
      <c r="D817" s="2">
        <v>80.98</v>
      </c>
      <c r="E817" s="2">
        <v>1438.0</v>
      </c>
      <c r="F817" s="1" t="s">
        <v>1118</v>
      </c>
      <c r="G817" s="1" t="s">
        <v>32</v>
      </c>
      <c r="H817" s="1" t="s">
        <v>23</v>
      </c>
      <c r="I817" s="1" t="s">
        <v>120</v>
      </c>
      <c r="J817" s="1" t="s">
        <v>785</v>
      </c>
      <c r="K817" s="19" t="s">
        <v>26</v>
      </c>
      <c r="L817" s="20" t="s">
        <v>70</v>
      </c>
      <c r="M817" s="21">
        <f t="shared" si="1"/>
        <v>4</v>
      </c>
      <c r="N817" s="2">
        <v>-409.3736</v>
      </c>
      <c r="O817" s="2">
        <v>3.0</v>
      </c>
      <c r="P817" s="2">
        <v>267.83</v>
      </c>
      <c r="Q817" s="2">
        <v>90120.0</v>
      </c>
      <c r="R817" s="15" t="b">
        <f>ISNUMBER(MATCH(Q817,'Returned order'!A:A,0))</f>
        <v>0</v>
      </c>
      <c r="S817" s="22">
        <v>42026.0</v>
      </c>
      <c r="T817" s="15"/>
      <c r="U817" s="15"/>
      <c r="V817" s="15"/>
    </row>
    <row r="818">
      <c r="A818" s="2">
        <v>23415.0</v>
      </c>
      <c r="B818" s="1" t="s">
        <v>58</v>
      </c>
      <c r="C818" s="2">
        <v>0.05</v>
      </c>
      <c r="D818" s="2">
        <v>6.48</v>
      </c>
      <c r="E818" s="2">
        <v>1439.0</v>
      </c>
      <c r="F818" s="1" t="s">
        <v>1119</v>
      </c>
      <c r="G818" s="1" t="s">
        <v>32</v>
      </c>
      <c r="H818" s="1" t="s">
        <v>23</v>
      </c>
      <c r="I818" s="1" t="s">
        <v>93</v>
      </c>
      <c r="J818" s="1" t="s">
        <v>1080</v>
      </c>
      <c r="K818" s="19" t="s">
        <v>26</v>
      </c>
      <c r="L818" s="20" t="s">
        <v>57</v>
      </c>
      <c r="M818" s="21">
        <f t="shared" si="1"/>
        <v>2</v>
      </c>
      <c r="N818" s="2">
        <v>-29.07</v>
      </c>
      <c r="O818" s="2">
        <v>3.0</v>
      </c>
      <c r="P818" s="2">
        <v>21.46</v>
      </c>
      <c r="Q818" s="2">
        <v>90121.0</v>
      </c>
      <c r="R818" s="15" t="b">
        <f>ISNUMBER(MATCH(Q818,'Returned order'!A:A,0))</f>
        <v>0</v>
      </c>
      <c r="S818" s="22">
        <v>42122.0</v>
      </c>
      <c r="T818" s="15"/>
      <c r="U818" s="15"/>
      <c r="V818" s="15"/>
    </row>
    <row r="819">
      <c r="A819" s="2">
        <v>22672.0</v>
      </c>
      <c r="B819" s="1" t="s">
        <v>49</v>
      </c>
      <c r="C819" s="2">
        <v>0.04</v>
      </c>
      <c r="D819" s="2">
        <v>177.98</v>
      </c>
      <c r="E819" s="2">
        <v>1442.0</v>
      </c>
      <c r="F819" s="1" t="s">
        <v>1120</v>
      </c>
      <c r="G819" s="1" t="s">
        <v>32</v>
      </c>
      <c r="H819" s="1" t="s">
        <v>23</v>
      </c>
      <c r="I819" s="1" t="s">
        <v>151</v>
      </c>
      <c r="J819" s="1" t="s">
        <v>1121</v>
      </c>
      <c r="K819" s="19" t="s">
        <v>68</v>
      </c>
      <c r="L819" s="20" t="s">
        <v>70</v>
      </c>
      <c r="M819" s="21">
        <f t="shared" si="1"/>
        <v>4</v>
      </c>
      <c r="N819" s="2">
        <v>1909.8855</v>
      </c>
      <c r="O819" s="2">
        <v>15.0</v>
      </c>
      <c r="P819" s="2">
        <v>2767.95</v>
      </c>
      <c r="Q819" s="2">
        <v>89076.0</v>
      </c>
      <c r="R819" s="15" t="b">
        <f>ISNUMBER(MATCH(Q819,'Returned order'!A:A,0))</f>
        <v>0</v>
      </c>
      <c r="S819" s="22">
        <v>42180.0</v>
      </c>
      <c r="T819" s="15"/>
      <c r="U819" s="15"/>
      <c r="V819" s="15"/>
    </row>
    <row r="820">
      <c r="A820" s="2">
        <v>21945.0</v>
      </c>
      <c r="B820" s="1" t="s">
        <v>170</v>
      </c>
      <c r="C820" s="2">
        <v>0.02</v>
      </c>
      <c r="D820" s="2">
        <v>15.99</v>
      </c>
      <c r="E820" s="2">
        <v>1442.0</v>
      </c>
      <c r="F820" s="1" t="s">
        <v>1120</v>
      </c>
      <c r="G820" s="1" t="s">
        <v>32</v>
      </c>
      <c r="H820" s="1" t="s">
        <v>23</v>
      </c>
      <c r="I820" s="1" t="s">
        <v>24</v>
      </c>
      <c r="J820" s="1" t="s">
        <v>546</v>
      </c>
      <c r="K820" s="19" t="s">
        <v>68</v>
      </c>
      <c r="L820" s="20" t="s">
        <v>76</v>
      </c>
      <c r="M820" s="21">
        <f t="shared" si="1"/>
        <v>5</v>
      </c>
      <c r="N820" s="2">
        <v>-76.9925</v>
      </c>
      <c r="O820" s="2">
        <v>7.0</v>
      </c>
      <c r="P820" s="2">
        <v>123.03</v>
      </c>
      <c r="Q820" s="2">
        <v>89077.0</v>
      </c>
      <c r="R820" s="15" t="b">
        <f>ISNUMBER(MATCH(Q820,'Returned order'!A:A,0))</f>
        <v>0</v>
      </c>
      <c r="S820" s="22">
        <v>42034.0</v>
      </c>
      <c r="T820" s="15"/>
      <c r="U820" s="15"/>
      <c r="V820" s="15"/>
    </row>
    <row r="821">
      <c r="A821" s="2">
        <v>21946.0</v>
      </c>
      <c r="B821" s="1" t="s">
        <v>170</v>
      </c>
      <c r="C821" s="2">
        <v>0.09</v>
      </c>
      <c r="D821" s="2">
        <v>46.94</v>
      </c>
      <c r="E821" s="2">
        <v>1442.0</v>
      </c>
      <c r="F821" s="1" t="s">
        <v>1120</v>
      </c>
      <c r="G821" s="1" t="s">
        <v>32</v>
      </c>
      <c r="H821" s="1" t="s">
        <v>37</v>
      </c>
      <c r="I821" s="1" t="s">
        <v>42</v>
      </c>
      <c r="J821" s="1" t="s">
        <v>1122</v>
      </c>
      <c r="K821" s="19" t="s">
        <v>68</v>
      </c>
      <c r="L821" s="20" t="s">
        <v>76</v>
      </c>
      <c r="M821" s="21">
        <f t="shared" si="1"/>
        <v>5</v>
      </c>
      <c r="N821" s="2">
        <v>297.9696</v>
      </c>
      <c r="O821" s="2">
        <v>10.0</v>
      </c>
      <c r="P821" s="2">
        <v>431.84</v>
      </c>
      <c r="Q821" s="2">
        <v>89077.0</v>
      </c>
      <c r="R821" s="15" t="b">
        <f>ISNUMBER(MATCH(Q821,'Returned order'!A:A,0))</f>
        <v>0</v>
      </c>
      <c r="S821" s="22">
        <v>42034.0</v>
      </c>
      <c r="T821" s="15"/>
      <c r="U821" s="15"/>
      <c r="V821" s="15"/>
    </row>
    <row r="822">
      <c r="A822" s="2">
        <v>23793.0</v>
      </c>
      <c r="B822" s="1" t="s">
        <v>63</v>
      </c>
      <c r="C822" s="2">
        <v>0.1</v>
      </c>
      <c r="D822" s="2">
        <v>218.08</v>
      </c>
      <c r="E822" s="2">
        <v>1450.0</v>
      </c>
      <c r="F822" s="1" t="s">
        <v>1123</v>
      </c>
      <c r="G822" s="1" t="s">
        <v>22</v>
      </c>
      <c r="H822" s="1" t="s">
        <v>37</v>
      </c>
      <c r="I822" s="1" t="s">
        <v>38</v>
      </c>
      <c r="J822" s="1" t="s">
        <v>1124</v>
      </c>
      <c r="K822" s="19" t="s">
        <v>34</v>
      </c>
      <c r="L822" s="20" t="s">
        <v>61</v>
      </c>
      <c r="M822" s="21">
        <f t="shared" si="1"/>
        <v>7</v>
      </c>
      <c r="N822" s="2">
        <v>1318.83</v>
      </c>
      <c r="O822" s="2">
        <v>12.0</v>
      </c>
      <c r="P822" s="2">
        <v>2366.51</v>
      </c>
      <c r="Q822" s="2">
        <v>86735.0</v>
      </c>
      <c r="R822" s="15" t="b">
        <f>ISNUMBER(MATCH(Q822,'Returned order'!A:A,0))</f>
        <v>0</v>
      </c>
      <c r="S822" s="22">
        <v>42148.0</v>
      </c>
      <c r="T822" s="15"/>
      <c r="U822" s="15"/>
      <c r="V822" s="15"/>
    </row>
    <row r="823">
      <c r="A823" s="2">
        <v>25006.0</v>
      </c>
      <c r="B823" s="1" t="s">
        <v>28</v>
      </c>
      <c r="C823" s="2">
        <v>0.05</v>
      </c>
      <c r="D823" s="2">
        <v>85.99</v>
      </c>
      <c r="E823" s="2">
        <v>1459.0</v>
      </c>
      <c r="F823" s="1" t="s">
        <v>1125</v>
      </c>
      <c r="G823" s="1" t="s">
        <v>22</v>
      </c>
      <c r="H823" s="1" t="s">
        <v>46</v>
      </c>
      <c r="I823" s="1" t="s">
        <v>85</v>
      </c>
      <c r="J823" s="1" t="s">
        <v>394</v>
      </c>
      <c r="K823" s="19" t="s">
        <v>229</v>
      </c>
      <c r="L823" s="20" t="s">
        <v>61</v>
      </c>
      <c r="M823" s="21">
        <f t="shared" si="1"/>
        <v>7</v>
      </c>
      <c r="N823" s="2">
        <v>36.216</v>
      </c>
      <c r="O823" s="2">
        <v>4.0</v>
      </c>
      <c r="P823" s="2">
        <v>291.64</v>
      </c>
      <c r="Q823" s="2">
        <v>86734.0</v>
      </c>
      <c r="R823" s="15" t="b">
        <f>ISNUMBER(MATCH(Q823,'Returned order'!A:A,0))</f>
        <v>0</v>
      </c>
      <c r="S823" s="22">
        <v>42099.0</v>
      </c>
      <c r="T823" s="15"/>
      <c r="U823" s="15"/>
      <c r="V823" s="15"/>
    </row>
    <row r="824">
      <c r="A824" s="2">
        <v>18105.0</v>
      </c>
      <c r="B824" s="1" t="s">
        <v>28</v>
      </c>
      <c r="C824" s="2">
        <v>0.05</v>
      </c>
      <c r="D824" s="2">
        <v>12.95</v>
      </c>
      <c r="E824" s="2">
        <v>1461.0</v>
      </c>
      <c r="F824" s="1" t="s">
        <v>1126</v>
      </c>
      <c r="G824" s="1" t="s">
        <v>22</v>
      </c>
      <c r="H824" s="1" t="s">
        <v>23</v>
      </c>
      <c r="I824" s="1" t="s">
        <v>24</v>
      </c>
      <c r="J824" s="1" t="s">
        <v>1127</v>
      </c>
      <c r="K824" s="19" t="s">
        <v>68</v>
      </c>
      <c r="L824" s="20" t="s">
        <v>57</v>
      </c>
      <c r="M824" s="21">
        <f t="shared" si="1"/>
        <v>2</v>
      </c>
      <c r="N824" s="2">
        <v>134.16825</v>
      </c>
      <c r="O824" s="2">
        <v>19.0</v>
      </c>
      <c r="P824" s="2">
        <v>252.36</v>
      </c>
      <c r="Q824" s="2">
        <v>86397.0</v>
      </c>
      <c r="R824" s="15" t="b">
        <f>ISNUMBER(MATCH(Q824,'Returned order'!A:A,0))</f>
        <v>0</v>
      </c>
      <c r="S824" s="22">
        <v>42157.0</v>
      </c>
      <c r="T824" s="15"/>
      <c r="U824" s="15"/>
      <c r="V824" s="15"/>
    </row>
    <row r="825">
      <c r="A825" s="2">
        <v>23735.0</v>
      </c>
      <c r="B825" s="1" t="s">
        <v>28</v>
      </c>
      <c r="C825" s="2">
        <v>0.0</v>
      </c>
      <c r="D825" s="2">
        <v>65.99</v>
      </c>
      <c r="E825" s="2">
        <v>1466.0</v>
      </c>
      <c r="F825" s="1" t="s">
        <v>1128</v>
      </c>
      <c r="G825" s="1" t="s">
        <v>66</v>
      </c>
      <c r="H825" s="1" t="s">
        <v>46</v>
      </c>
      <c r="I825" s="1" t="s">
        <v>85</v>
      </c>
      <c r="J825" s="1">
        <v>5180.0</v>
      </c>
      <c r="K825" s="19" t="s">
        <v>68</v>
      </c>
      <c r="L825" s="20" t="s">
        <v>70</v>
      </c>
      <c r="M825" s="21">
        <f t="shared" si="1"/>
        <v>4</v>
      </c>
      <c r="N825" s="2">
        <v>253.3032</v>
      </c>
      <c r="O825" s="2">
        <v>10.0</v>
      </c>
      <c r="P825" s="2">
        <v>575.07</v>
      </c>
      <c r="Q825" s="2">
        <v>91115.0</v>
      </c>
      <c r="R825" s="15" t="b">
        <f>ISNUMBER(MATCH(Q825,'Returned order'!A:A,0))</f>
        <v>0</v>
      </c>
      <c r="S825" s="22">
        <v>42166.0</v>
      </c>
      <c r="T825" s="15"/>
      <c r="U825" s="15"/>
      <c r="V825" s="15"/>
    </row>
    <row r="826">
      <c r="A826" s="2">
        <v>25917.0</v>
      </c>
      <c r="B826" s="1" t="s">
        <v>170</v>
      </c>
      <c r="C826" s="2">
        <v>0.04</v>
      </c>
      <c r="D826" s="2">
        <v>130.98</v>
      </c>
      <c r="E826" s="2">
        <v>1466.0</v>
      </c>
      <c r="F826" s="1" t="s">
        <v>1128</v>
      </c>
      <c r="G826" s="1" t="s">
        <v>66</v>
      </c>
      <c r="H826" s="1" t="s">
        <v>37</v>
      </c>
      <c r="I826" s="1" t="s">
        <v>55</v>
      </c>
      <c r="J826" s="1" t="s">
        <v>388</v>
      </c>
      <c r="K826" s="19" t="s">
        <v>68</v>
      </c>
      <c r="L826" s="20" t="s">
        <v>76</v>
      </c>
      <c r="M826" s="21">
        <f t="shared" si="1"/>
        <v>5</v>
      </c>
      <c r="N826" s="2">
        <v>-723.784</v>
      </c>
      <c r="O826" s="2">
        <v>14.0</v>
      </c>
      <c r="P826" s="2">
        <v>1781.66</v>
      </c>
      <c r="Q826" s="2">
        <v>91116.0</v>
      </c>
      <c r="R826" s="15" t="b">
        <f>ISNUMBER(MATCH(Q826,'Returned order'!A:A,0))</f>
        <v>0</v>
      </c>
      <c r="S826" s="22">
        <v>42167.0</v>
      </c>
      <c r="T826" s="15"/>
      <c r="U826" s="15"/>
      <c r="V826" s="15"/>
    </row>
    <row r="827">
      <c r="A827" s="2">
        <v>25915.0</v>
      </c>
      <c r="B827" s="1" t="s">
        <v>170</v>
      </c>
      <c r="C827" s="2">
        <v>0.04</v>
      </c>
      <c r="D827" s="2">
        <v>105.29</v>
      </c>
      <c r="E827" s="2">
        <v>1469.0</v>
      </c>
      <c r="F827" s="1" t="s">
        <v>1129</v>
      </c>
      <c r="G827" s="1" t="s">
        <v>66</v>
      </c>
      <c r="H827" s="1" t="s">
        <v>37</v>
      </c>
      <c r="I827" s="1" t="s">
        <v>42</v>
      </c>
      <c r="J827" s="1" t="s">
        <v>1130</v>
      </c>
      <c r="K827" s="19" t="s">
        <v>34</v>
      </c>
      <c r="L827" s="20" t="s">
        <v>76</v>
      </c>
      <c r="M827" s="21">
        <f t="shared" si="1"/>
        <v>5</v>
      </c>
      <c r="N827" s="2">
        <v>589.188</v>
      </c>
      <c r="O827" s="2">
        <v>9.0</v>
      </c>
      <c r="P827" s="2">
        <v>940.64</v>
      </c>
      <c r="Q827" s="2">
        <v>91116.0</v>
      </c>
      <c r="R827" s="15" t="b">
        <f>ISNUMBER(MATCH(Q827,'Returned order'!A:A,0))</f>
        <v>0</v>
      </c>
      <c r="S827" s="22">
        <v>42167.0</v>
      </c>
      <c r="T827" s="15"/>
      <c r="U827" s="15"/>
      <c r="V827" s="15"/>
    </row>
    <row r="828">
      <c r="A828" s="2">
        <v>25916.0</v>
      </c>
      <c r="B828" s="1" t="s">
        <v>170</v>
      </c>
      <c r="C828" s="2">
        <v>0.07</v>
      </c>
      <c r="D828" s="2">
        <v>31.76</v>
      </c>
      <c r="E828" s="2">
        <v>1469.0</v>
      </c>
      <c r="F828" s="1" t="s">
        <v>1129</v>
      </c>
      <c r="G828" s="1" t="s">
        <v>66</v>
      </c>
      <c r="H828" s="1" t="s">
        <v>37</v>
      </c>
      <c r="I828" s="1" t="s">
        <v>73</v>
      </c>
      <c r="J828" s="1" t="s">
        <v>367</v>
      </c>
      <c r="K828" s="19" t="s">
        <v>34</v>
      </c>
      <c r="L828" s="20" t="s">
        <v>76</v>
      </c>
      <c r="M828" s="21">
        <f t="shared" si="1"/>
        <v>5</v>
      </c>
      <c r="N828" s="2">
        <v>-1314.992</v>
      </c>
      <c r="O828" s="2">
        <v>18.0</v>
      </c>
      <c r="P828" s="2">
        <v>439.27</v>
      </c>
      <c r="Q828" s="2">
        <v>91116.0</v>
      </c>
      <c r="R828" s="15" t="b">
        <f>ISNUMBER(MATCH(Q828,'Returned order'!A:A,0))</f>
        <v>0</v>
      </c>
      <c r="S828" s="22">
        <v>42167.0</v>
      </c>
      <c r="T828" s="15"/>
      <c r="U828" s="15"/>
      <c r="V828" s="15"/>
    </row>
    <row r="829">
      <c r="A829" s="2">
        <v>21710.0</v>
      </c>
      <c r="B829" s="1" t="s">
        <v>28</v>
      </c>
      <c r="C829" s="2">
        <v>0.03</v>
      </c>
      <c r="D829" s="2">
        <v>420.98</v>
      </c>
      <c r="E829" s="2">
        <v>1471.0</v>
      </c>
      <c r="F829" s="1" t="s">
        <v>1131</v>
      </c>
      <c r="G829" s="1" t="s">
        <v>51</v>
      </c>
      <c r="H829" s="1" t="s">
        <v>23</v>
      </c>
      <c r="I829" s="1" t="s">
        <v>24</v>
      </c>
      <c r="J829" s="1" t="s">
        <v>1132</v>
      </c>
      <c r="K829" s="19" t="s">
        <v>26</v>
      </c>
      <c r="L829" s="20" t="s">
        <v>53</v>
      </c>
      <c r="M829" s="21">
        <f t="shared" si="1"/>
        <v>6</v>
      </c>
      <c r="N829" s="2">
        <v>3043.0311</v>
      </c>
      <c r="O829" s="2">
        <v>10.0</v>
      </c>
      <c r="P829" s="2">
        <v>4410.19</v>
      </c>
      <c r="Q829" s="2">
        <v>87077.0</v>
      </c>
      <c r="R829" s="15" t="b">
        <f>ISNUMBER(MATCH(Q829,'Returned order'!A:A,0))</f>
        <v>0</v>
      </c>
      <c r="S829" s="22">
        <v>42084.0</v>
      </c>
      <c r="T829" s="15"/>
      <c r="U829" s="15"/>
      <c r="V829" s="15"/>
    </row>
    <row r="830">
      <c r="A830" s="2">
        <v>23958.0</v>
      </c>
      <c r="B830" s="1" t="s">
        <v>49</v>
      </c>
      <c r="C830" s="2">
        <v>0.02</v>
      </c>
      <c r="D830" s="2">
        <v>30.98</v>
      </c>
      <c r="E830" s="2">
        <v>1472.0</v>
      </c>
      <c r="F830" s="1" t="s">
        <v>150</v>
      </c>
      <c r="G830" s="1" t="s">
        <v>51</v>
      </c>
      <c r="H830" s="1" t="s">
        <v>46</v>
      </c>
      <c r="I830" s="1" t="s">
        <v>47</v>
      </c>
      <c r="J830" s="1" t="s">
        <v>950</v>
      </c>
      <c r="K830" s="19" t="s">
        <v>26</v>
      </c>
      <c r="L830" s="20" t="s">
        <v>57</v>
      </c>
      <c r="M830" s="21">
        <f t="shared" si="1"/>
        <v>2</v>
      </c>
      <c r="N830" s="2">
        <v>-44.624</v>
      </c>
      <c r="O830" s="2">
        <v>17.0</v>
      </c>
      <c r="P830" s="2">
        <v>552.89</v>
      </c>
      <c r="Q830" s="2">
        <v>87078.0</v>
      </c>
      <c r="R830" s="15" t="b">
        <f>ISNUMBER(MATCH(Q830,'Returned order'!A:A,0))</f>
        <v>0</v>
      </c>
      <c r="S830" s="22">
        <v>42185.0</v>
      </c>
      <c r="T830" s="15"/>
      <c r="U830" s="15"/>
      <c r="V830" s="15"/>
    </row>
    <row r="831">
      <c r="A831" s="2">
        <v>22313.0</v>
      </c>
      <c r="B831" s="1" t="s">
        <v>63</v>
      </c>
      <c r="C831" s="2">
        <v>0.05</v>
      </c>
      <c r="D831" s="2">
        <v>20.27</v>
      </c>
      <c r="E831" s="2">
        <v>1472.0</v>
      </c>
      <c r="F831" s="1" t="s">
        <v>150</v>
      </c>
      <c r="G831" s="1" t="s">
        <v>51</v>
      </c>
      <c r="H831" s="1" t="s">
        <v>23</v>
      </c>
      <c r="I831" s="1" t="s">
        <v>151</v>
      </c>
      <c r="J831" s="1" t="s">
        <v>152</v>
      </c>
      <c r="K831" s="19" t="s">
        <v>26</v>
      </c>
      <c r="L831" s="20" t="s">
        <v>27</v>
      </c>
      <c r="M831" s="21">
        <f t="shared" si="1"/>
        <v>1</v>
      </c>
      <c r="N831" s="2">
        <v>309.254</v>
      </c>
      <c r="O831" s="2">
        <v>30.0</v>
      </c>
      <c r="P831" s="2">
        <v>621.56</v>
      </c>
      <c r="Q831" s="2">
        <v>87079.0</v>
      </c>
      <c r="R831" s="15" t="b">
        <f>ISNUMBER(MATCH(Q831,'Returned order'!A:A,0))</f>
        <v>0</v>
      </c>
      <c r="S831" s="22">
        <v>42149.0</v>
      </c>
      <c r="T831" s="15"/>
      <c r="U831" s="15"/>
      <c r="V831" s="15"/>
    </row>
    <row r="832">
      <c r="A832" s="2">
        <v>24937.0</v>
      </c>
      <c r="B832" s="1" t="s">
        <v>58</v>
      </c>
      <c r="C832" s="2">
        <v>0.04</v>
      </c>
      <c r="D832" s="2">
        <v>9.78</v>
      </c>
      <c r="E832" s="2">
        <v>1473.0</v>
      </c>
      <c r="F832" s="1" t="s">
        <v>1133</v>
      </c>
      <c r="G832" s="1" t="s">
        <v>51</v>
      </c>
      <c r="H832" s="1" t="s">
        <v>46</v>
      </c>
      <c r="I832" s="1" t="s">
        <v>47</v>
      </c>
      <c r="J832" s="1" t="s">
        <v>1134</v>
      </c>
      <c r="K832" s="19" t="s">
        <v>26</v>
      </c>
      <c r="L832" s="20" t="s">
        <v>35</v>
      </c>
      <c r="M832" s="21">
        <f t="shared" si="1"/>
        <v>3</v>
      </c>
      <c r="N832" s="2">
        <v>61.2927</v>
      </c>
      <c r="O832" s="2">
        <v>9.0</v>
      </c>
      <c r="P832" s="2">
        <v>88.83</v>
      </c>
      <c r="Q832" s="2">
        <v>87076.0</v>
      </c>
      <c r="R832" s="15" t="b">
        <f>ISNUMBER(MATCH(Q832,'Returned order'!A:A,0))</f>
        <v>0</v>
      </c>
      <c r="S832" s="22">
        <v>42025.0</v>
      </c>
      <c r="T832" s="15"/>
      <c r="U832" s="15"/>
      <c r="V832" s="15"/>
    </row>
    <row r="833">
      <c r="A833" s="2">
        <v>7544.0</v>
      </c>
      <c r="B833" s="1" t="s">
        <v>49</v>
      </c>
      <c r="C833" s="2">
        <v>0.07</v>
      </c>
      <c r="D833" s="2">
        <v>8.95</v>
      </c>
      <c r="E833" s="2">
        <v>1481.0</v>
      </c>
      <c r="F833" s="1" t="s">
        <v>1135</v>
      </c>
      <c r="G833" s="1" t="s">
        <v>32</v>
      </c>
      <c r="H833" s="1" t="s">
        <v>23</v>
      </c>
      <c r="I833" s="1" t="s">
        <v>93</v>
      </c>
      <c r="J833" s="1" t="s">
        <v>1136</v>
      </c>
      <c r="K833" s="19" t="s">
        <v>34</v>
      </c>
      <c r="L833" s="20" t="s">
        <v>76</v>
      </c>
      <c r="M833" s="21">
        <f t="shared" si="1"/>
        <v>5</v>
      </c>
      <c r="N833" s="2">
        <v>91.73</v>
      </c>
      <c r="O833" s="2">
        <v>36.0</v>
      </c>
      <c r="P833" s="2">
        <v>307.65</v>
      </c>
      <c r="Q833" s="2">
        <v>53953.0</v>
      </c>
      <c r="R833" s="15" t="b">
        <f>ISNUMBER(MATCH(Q833,'Returned order'!A:A,0))</f>
        <v>0</v>
      </c>
      <c r="S833" s="22">
        <v>42090.0</v>
      </c>
      <c r="T833" s="15"/>
      <c r="U833" s="15"/>
      <c r="V833" s="15"/>
    </row>
    <row r="834">
      <c r="A834" s="2">
        <v>25544.0</v>
      </c>
      <c r="B834" s="1" t="s">
        <v>49</v>
      </c>
      <c r="C834" s="2">
        <v>0.07</v>
      </c>
      <c r="D834" s="2">
        <v>8.95</v>
      </c>
      <c r="E834" s="2">
        <v>1482.0</v>
      </c>
      <c r="F834" s="1" t="s">
        <v>1137</v>
      </c>
      <c r="G834" s="1" t="s">
        <v>32</v>
      </c>
      <c r="H834" s="1" t="s">
        <v>23</v>
      </c>
      <c r="I834" s="1" t="s">
        <v>93</v>
      </c>
      <c r="J834" s="1" t="s">
        <v>1136</v>
      </c>
      <c r="K834" s="19" t="s">
        <v>68</v>
      </c>
      <c r="L834" s="20" t="s">
        <v>76</v>
      </c>
      <c r="M834" s="21">
        <f t="shared" si="1"/>
        <v>5</v>
      </c>
      <c r="N834" s="2">
        <v>53.0679</v>
      </c>
      <c r="O834" s="2">
        <v>9.0</v>
      </c>
      <c r="P834" s="2">
        <v>76.91</v>
      </c>
      <c r="Q834" s="2">
        <v>91362.0</v>
      </c>
      <c r="R834" s="15" t="b">
        <f>ISNUMBER(MATCH(Q834,'Returned order'!A:A,0))</f>
        <v>0</v>
      </c>
      <c r="S834" s="22">
        <v>42090.0</v>
      </c>
      <c r="T834" s="15"/>
      <c r="U834" s="15"/>
      <c r="V834" s="15"/>
    </row>
    <row r="835">
      <c r="A835" s="2">
        <v>22745.0</v>
      </c>
      <c r="B835" s="1" t="s">
        <v>49</v>
      </c>
      <c r="C835" s="2">
        <v>0.05</v>
      </c>
      <c r="D835" s="2">
        <v>9.65</v>
      </c>
      <c r="E835" s="2">
        <v>1482.0</v>
      </c>
      <c r="F835" s="1" t="s">
        <v>1137</v>
      </c>
      <c r="G835" s="1" t="s">
        <v>32</v>
      </c>
      <c r="H835" s="1" t="s">
        <v>37</v>
      </c>
      <c r="I835" s="1" t="s">
        <v>42</v>
      </c>
      <c r="J835" s="1" t="s">
        <v>338</v>
      </c>
      <c r="K835" s="19" t="s">
        <v>68</v>
      </c>
      <c r="L835" s="20" t="s">
        <v>53</v>
      </c>
      <c r="M835" s="21">
        <f t="shared" si="1"/>
        <v>6</v>
      </c>
      <c r="N835" s="2">
        <v>-14.6432</v>
      </c>
      <c r="O835" s="2">
        <v>15.0</v>
      </c>
      <c r="P835" s="2">
        <v>151.34</v>
      </c>
      <c r="Q835" s="2">
        <v>91363.0</v>
      </c>
      <c r="R835" s="15" t="b">
        <f>ISNUMBER(MATCH(Q835,'Returned order'!A:A,0))</f>
        <v>0</v>
      </c>
      <c r="S835" s="22">
        <v>42063.0</v>
      </c>
      <c r="T835" s="15"/>
      <c r="U835" s="15"/>
      <c r="V835" s="15"/>
    </row>
    <row r="836">
      <c r="A836" s="2">
        <v>21806.0</v>
      </c>
      <c r="B836" s="1" t="s">
        <v>28</v>
      </c>
      <c r="C836" s="2">
        <v>0.06</v>
      </c>
      <c r="D836" s="2">
        <v>99.99</v>
      </c>
      <c r="E836" s="2">
        <v>1484.0</v>
      </c>
      <c r="F836" s="1" t="s">
        <v>1138</v>
      </c>
      <c r="G836" s="1" t="s">
        <v>51</v>
      </c>
      <c r="H836" s="1" t="s">
        <v>46</v>
      </c>
      <c r="I836" s="1" t="s">
        <v>47</v>
      </c>
      <c r="J836" s="1" t="s">
        <v>891</v>
      </c>
      <c r="K836" s="19" t="s">
        <v>68</v>
      </c>
      <c r="L836" s="20" t="s">
        <v>35</v>
      </c>
      <c r="M836" s="21">
        <f t="shared" si="1"/>
        <v>3</v>
      </c>
      <c r="N836" s="2">
        <v>-127.56</v>
      </c>
      <c r="O836" s="2">
        <v>3.0</v>
      </c>
      <c r="P836" s="2">
        <v>290.24</v>
      </c>
      <c r="Q836" s="2">
        <v>91235.0</v>
      </c>
      <c r="R836" s="15" t="b">
        <f>ISNUMBER(MATCH(Q836,'Returned order'!A:A,0))</f>
        <v>0</v>
      </c>
      <c r="S836" s="22">
        <v>42074.0</v>
      </c>
      <c r="T836" s="15"/>
      <c r="U836" s="15"/>
      <c r="V836" s="15"/>
    </row>
    <row r="837">
      <c r="A837" s="2">
        <v>21807.0</v>
      </c>
      <c r="B837" s="1" t="s">
        <v>28</v>
      </c>
      <c r="C837" s="2">
        <v>0.0</v>
      </c>
      <c r="D837" s="2">
        <v>193.17</v>
      </c>
      <c r="E837" s="2">
        <v>1484.0</v>
      </c>
      <c r="F837" s="1" t="s">
        <v>1138</v>
      </c>
      <c r="G837" s="1" t="s">
        <v>51</v>
      </c>
      <c r="H837" s="1" t="s">
        <v>23</v>
      </c>
      <c r="I837" s="1" t="s">
        <v>120</v>
      </c>
      <c r="J837" s="1" t="s">
        <v>1139</v>
      </c>
      <c r="K837" s="19" t="s">
        <v>68</v>
      </c>
      <c r="L837" s="20" t="s">
        <v>35</v>
      </c>
      <c r="M837" s="21">
        <f t="shared" si="1"/>
        <v>3</v>
      </c>
      <c r="N837" s="2">
        <v>282.18</v>
      </c>
      <c r="O837" s="2">
        <v>5.0</v>
      </c>
      <c r="P837" s="2">
        <v>971.4</v>
      </c>
      <c r="Q837" s="2">
        <v>91235.0</v>
      </c>
      <c r="R837" s="15" t="b">
        <f>ISNUMBER(MATCH(Q837,'Returned order'!A:A,0))</f>
        <v>0</v>
      </c>
      <c r="S837" s="22">
        <v>42074.0</v>
      </c>
      <c r="T837" s="15"/>
      <c r="U837" s="15"/>
      <c r="V837" s="15"/>
    </row>
    <row r="838">
      <c r="A838" s="2">
        <v>21808.0</v>
      </c>
      <c r="B838" s="1" t="s">
        <v>28</v>
      </c>
      <c r="C838" s="2">
        <v>0.08</v>
      </c>
      <c r="D838" s="2">
        <v>20.99</v>
      </c>
      <c r="E838" s="2">
        <v>1484.0</v>
      </c>
      <c r="F838" s="1" t="s">
        <v>1138</v>
      </c>
      <c r="G838" s="1" t="s">
        <v>51</v>
      </c>
      <c r="H838" s="1" t="s">
        <v>46</v>
      </c>
      <c r="I838" s="1" t="s">
        <v>85</v>
      </c>
      <c r="J838" s="1" t="s">
        <v>723</v>
      </c>
      <c r="K838" s="19" t="s">
        <v>68</v>
      </c>
      <c r="L838" s="20" t="s">
        <v>35</v>
      </c>
      <c r="M838" s="21">
        <f t="shared" si="1"/>
        <v>3</v>
      </c>
      <c r="N838" s="2">
        <v>-96.338</v>
      </c>
      <c r="O838" s="2">
        <v>11.0</v>
      </c>
      <c r="P838" s="2">
        <v>193.51</v>
      </c>
      <c r="Q838" s="2">
        <v>91235.0</v>
      </c>
      <c r="R838" s="15" t="b">
        <f>ISNUMBER(MATCH(Q838,'Returned order'!A:A,0))</f>
        <v>0</v>
      </c>
      <c r="S838" s="22">
        <v>42074.0</v>
      </c>
      <c r="T838" s="15"/>
      <c r="U838" s="15"/>
      <c r="V838" s="15"/>
    </row>
    <row r="839">
      <c r="A839" s="2">
        <v>22763.0</v>
      </c>
      <c r="B839" s="1" t="s">
        <v>49</v>
      </c>
      <c r="C839" s="2">
        <v>0.04</v>
      </c>
      <c r="D839" s="2">
        <v>11.5</v>
      </c>
      <c r="E839" s="2">
        <v>1485.0</v>
      </c>
      <c r="F839" s="1" t="s">
        <v>1140</v>
      </c>
      <c r="G839" s="1" t="s">
        <v>51</v>
      </c>
      <c r="H839" s="1" t="s">
        <v>23</v>
      </c>
      <c r="I839" s="1" t="s">
        <v>24</v>
      </c>
      <c r="J839" s="1" t="s">
        <v>1141</v>
      </c>
      <c r="K839" s="19" t="s">
        <v>68</v>
      </c>
      <c r="L839" s="20" t="s">
        <v>76</v>
      </c>
      <c r="M839" s="21">
        <f t="shared" si="1"/>
        <v>5</v>
      </c>
      <c r="N839" s="2">
        <v>-23.35788</v>
      </c>
      <c r="O839" s="2">
        <v>14.0</v>
      </c>
      <c r="P839" s="2">
        <v>157.81</v>
      </c>
      <c r="Q839" s="2">
        <v>91236.0</v>
      </c>
      <c r="R839" s="15" t="b">
        <f>ISNUMBER(MATCH(Q839,'Returned order'!A:A,0))</f>
        <v>0</v>
      </c>
      <c r="S839" s="22">
        <v>42055.0</v>
      </c>
      <c r="T839" s="15"/>
      <c r="U839" s="15"/>
      <c r="V839" s="15"/>
    </row>
    <row r="840">
      <c r="A840" s="2">
        <v>22764.0</v>
      </c>
      <c r="B840" s="1" t="s">
        <v>49</v>
      </c>
      <c r="C840" s="2">
        <v>0.02</v>
      </c>
      <c r="D840" s="2">
        <v>15.7</v>
      </c>
      <c r="E840" s="2">
        <v>1485.0</v>
      </c>
      <c r="F840" s="1" t="s">
        <v>1140</v>
      </c>
      <c r="G840" s="1" t="s">
        <v>51</v>
      </c>
      <c r="H840" s="1" t="s">
        <v>23</v>
      </c>
      <c r="I840" s="1" t="s">
        <v>120</v>
      </c>
      <c r="J840" s="1" t="s">
        <v>1142</v>
      </c>
      <c r="K840" s="19" t="s">
        <v>68</v>
      </c>
      <c r="L840" s="20" t="s">
        <v>76</v>
      </c>
      <c r="M840" s="21">
        <f t="shared" si="1"/>
        <v>5</v>
      </c>
      <c r="N840" s="2">
        <v>-18.2416</v>
      </c>
      <c r="O840" s="2">
        <v>1.0</v>
      </c>
      <c r="P840" s="2">
        <v>19.44</v>
      </c>
      <c r="Q840" s="2">
        <v>91236.0</v>
      </c>
      <c r="R840" s="15" t="b">
        <f>ISNUMBER(MATCH(Q840,'Returned order'!A:A,0))</f>
        <v>0</v>
      </c>
      <c r="S840" s="22">
        <v>42055.0</v>
      </c>
      <c r="T840" s="15"/>
      <c r="U840" s="15"/>
      <c r="V840" s="15"/>
    </row>
    <row r="841">
      <c r="A841" s="2">
        <v>22765.0</v>
      </c>
      <c r="B841" s="1" t="s">
        <v>49</v>
      </c>
      <c r="C841" s="2">
        <v>0.05</v>
      </c>
      <c r="D841" s="2">
        <v>225.02</v>
      </c>
      <c r="E841" s="2">
        <v>1485.0</v>
      </c>
      <c r="F841" s="1" t="s">
        <v>1140</v>
      </c>
      <c r="G841" s="1" t="s">
        <v>51</v>
      </c>
      <c r="H841" s="1" t="s">
        <v>23</v>
      </c>
      <c r="I841" s="1" t="s">
        <v>120</v>
      </c>
      <c r="J841" s="1" t="s">
        <v>1143</v>
      </c>
      <c r="K841" s="19" t="s">
        <v>68</v>
      </c>
      <c r="L841" s="20" t="s">
        <v>76</v>
      </c>
      <c r="M841" s="21">
        <f t="shared" si="1"/>
        <v>5</v>
      </c>
      <c r="N841" s="2">
        <v>1428.9104</v>
      </c>
      <c r="O841" s="2">
        <v>21.0</v>
      </c>
      <c r="P841" s="2">
        <v>4636.63</v>
      </c>
      <c r="Q841" s="2">
        <v>91236.0</v>
      </c>
      <c r="R841" s="15" t="b">
        <f>ISNUMBER(MATCH(Q841,'Returned order'!A:A,0))</f>
        <v>0</v>
      </c>
      <c r="S841" s="22">
        <v>42055.0</v>
      </c>
      <c r="T841" s="15"/>
      <c r="U841" s="15"/>
      <c r="V841" s="15"/>
    </row>
    <row r="842">
      <c r="A842" s="2">
        <v>18460.0</v>
      </c>
      <c r="B842" s="1" t="s">
        <v>28</v>
      </c>
      <c r="C842" s="2">
        <v>0.04</v>
      </c>
      <c r="D842" s="2">
        <v>119.99</v>
      </c>
      <c r="E842" s="2">
        <v>1492.0</v>
      </c>
      <c r="F842" s="1" t="s">
        <v>1144</v>
      </c>
      <c r="G842" s="1" t="s">
        <v>32</v>
      </c>
      <c r="H842" s="1" t="s">
        <v>46</v>
      </c>
      <c r="I842" s="1" t="s">
        <v>103</v>
      </c>
      <c r="J842" s="1" t="s">
        <v>719</v>
      </c>
      <c r="K842" s="19" t="s">
        <v>68</v>
      </c>
      <c r="L842" s="20" t="s">
        <v>57</v>
      </c>
      <c r="M842" s="21">
        <f t="shared" si="1"/>
        <v>2</v>
      </c>
      <c r="N842" s="2">
        <v>509.9583</v>
      </c>
      <c r="O842" s="2">
        <v>6.0</v>
      </c>
      <c r="P842" s="2">
        <v>739.07</v>
      </c>
      <c r="Q842" s="2">
        <v>88004.0</v>
      </c>
      <c r="R842" s="15" t="b">
        <f>ISNUMBER(MATCH(Q842,'Returned order'!A:A,0))</f>
        <v>0</v>
      </c>
      <c r="S842" s="22">
        <v>42171.0</v>
      </c>
      <c r="T842" s="15"/>
      <c r="U842" s="15"/>
      <c r="V842" s="15"/>
    </row>
    <row r="843">
      <c r="A843" s="2">
        <v>19472.0</v>
      </c>
      <c r="B843" s="1" t="s">
        <v>58</v>
      </c>
      <c r="C843" s="2">
        <v>0.06</v>
      </c>
      <c r="D843" s="2">
        <v>8.37</v>
      </c>
      <c r="E843" s="2">
        <v>1494.0</v>
      </c>
      <c r="F843" s="1" t="s">
        <v>1145</v>
      </c>
      <c r="G843" s="1" t="s">
        <v>32</v>
      </c>
      <c r="H843" s="1" t="s">
        <v>37</v>
      </c>
      <c r="I843" s="1" t="s">
        <v>42</v>
      </c>
      <c r="J843" s="1" t="s">
        <v>934</v>
      </c>
      <c r="K843" s="19" t="s">
        <v>26</v>
      </c>
      <c r="L843" s="20" t="s">
        <v>35</v>
      </c>
      <c r="M843" s="21">
        <f t="shared" si="1"/>
        <v>3</v>
      </c>
      <c r="N843" s="2">
        <v>-255.65</v>
      </c>
      <c r="O843" s="2">
        <v>18.0</v>
      </c>
      <c r="P843" s="2">
        <v>157.64</v>
      </c>
      <c r="Q843" s="2">
        <v>85880.0</v>
      </c>
      <c r="R843" s="15" t="b">
        <f>ISNUMBER(MATCH(Q843,'Returned order'!A:A,0))</f>
        <v>0</v>
      </c>
      <c r="S843" s="22">
        <v>42074.0</v>
      </c>
      <c r="T843" s="15"/>
      <c r="U843" s="15"/>
      <c r="V843" s="15"/>
    </row>
    <row r="844">
      <c r="A844" s="2">
        <v>19473.0</v>
      </c>
      <c r="B844" s="1" t="s">
        <v>58</v>
      </c>
      <c r="C844" s="2">
        <v>0.09</v>
      </c>
      <c r="D844" s="2">
        <v>6.48</v>
      </c>
      <c r="E844" s="2">
        <v>1494.0</v>
      </c>
      <c r="F844" s="1" t="s">
        <v>1145</v>
      </c>
      <c r="G844" s="1" t="s">
        <v>32</v>
      </c>
      <c r="H844" s="1" t="s">
        <v>23</v>
      </c>
      <c r="I844" s="1" t="s">
        <v>93</v>
      </c>
      <c r="J844" s="1" t="s">
        <v>320</v>
      </c>
      <c r="K844" s="19" t="s">
        <v>26</v>
      </c>
      <c r="L844" s="20" t="s">
        <v>35</v>
      </c>
      <c r="M844" s="21">
        <f t="shared" si="1"/>
        <v>3</v>
      </c>
      <c r="N844" s="2">
        <v>-76.54</v>
      </c>
      <c r="O844" s="2">
        <v>6.0</v>
      </c>
      <c r="P844" s="2">
        <v>42.16</v>
      </c>
      <c r="Q844" s="2">
        <v>85880.0</v>
      </c>
      <c r="R844" s="15" t="b">
        <f>ISNUMBER(MATCH(Q844,'Returned order'!A:A,0))</f>
        <v>0</v>
      </c>
      <c r="S844" s="22">
        <v>42074.0</v>
      </c>
      <c r="T844" s="15"/>
      <c r="U844" s="15"/>
      <c r="V844" s="15"/>
    </row>
    <row r="845">
      <c r="A845" s="2">
        <v>24286.0</v>
      </c>
      <c r="B845" s="1" t="s">
        <v>58</v>
      </c>
      <c r="C845" s="2">
        <v>0.09</v>
      </c>
      <c r="D845" s="2">
        <v>6.28</v>
      </c>
      <c r="E845" s="2">
        <v>1497.0</v>
      </c>
      <c r="F845" s="1" t="s">
        <v>1146</v>
      </c>
      <c r="G845" s="1" t="s">
        <v>32</v>
      </c>
      <c r="H845" s="1" t="s">
        <v>37</v>
      </c>
      <c r="I845" s="1" t="s">
        <v>42</v>
      </c>
      <c r="J845" s="1" t="s">
        <v>410</v>
      </c>
      <c r="K845" s="19" t="s">
        <v>26</v>
      </c>
      <c r="L845" s="20" t="s">
        <v>35</v>
      </c>
      <c r="M845" s="21">
        <f t="shared" si="1"/>
        <v>3</v>
      </c>
      <c r="N845" s="2">
        <v>-10.09</v>
      </c>
      <c r="O845" s="2">
        <v>2.0</v>
      </c>
      <c r="P845" s="2">
        <v>14.08</v>
      </c>
      <c r="Q845" s="2">
        <v>85880.0</v>
      </c>
      <c r="R845" s="15" t="b">
        <f>ISNUMBER(MATCH(Q845,'Returned order'!A:A,0))</f>
        <v>0</v>
      </c>
      <c r="S845" s="22">
        <v>42074.0</v>
      </c>
      <c r="T845" s="15"/>
      <c r="U845" s="15"/>
      <c r="V845" s="15"/>
    </row>
    <row r="846">
      <c r="A846" s="2">
        <v>24287.0</v>
      </c>
      <c r="B846" s="1" t="s">
        <v>58</v>
      </c>
      <c r="C846" s="2">
        <v>0.03</v>
      </c>
      <c r="D846" s="2">
        <v>15.14</v>
      </c>
      <c r="E846" s="2">
        <v>1497.0</v>
      </c>
      <c r="F846" s="1" t="s">
        <v>1146</v>
      </c>
      <c r="G846" s="1" t="s">
        <v>32</v>
      </c>
      <c r="H846" s="1" t="s">
        <v>23</v>
      </c>
      <c r="I846" s="1" t="s">
        <v>120</v>
      </c>
      <c r="J846" s="1" t="s">
        <v>925</v>
      </c>
      <c r="K846" s="19" t="s">
        <v>26</v>
      </c>
      <c r="L846" s="20" t="s">
        <v>35</v>
      </c>
      <c r="M846" s="21">
        <f t="shared" si="1"/>
        <v>3</v>
      </c>
      <c r="N846" s="2">
        <v>-92.87</v>
      </c>
      <c r="O846" s="2">
        <v>17.0</v>
      </c>
      <c r="P846" s="2">
        <v>256.73</v>
      </c>
      <c r="Q846" s="2">
        <v>85880.0</v>
      </c>
      <c r="R846" s="15" t="b">
        <f>ISNUMBER(MATCH(Q846,'Returned order'!A:A,0))</f>
        <v>0</v>
      </c>
      <c r="S846" s="22">
        <v>42074.0</v>
      </c>
      <c r="T846" s="15"/>
      <c r="U846" s="15"/>
      <c r="V846" s="15"/>
    </row>
    <row r="847">
      <c r="A847" s="2">
        <v>20016.0</v>
      </c>
      <c r="B847" s="1" t="s">
        <v>63</v>
      </c>
      <c r="C847" s="2">
        <v>0.05</v>
      </c>
      <c r="D847" s="2">
        <v>2.16</v>
      </c>
      <c r="E847" s="2">
        <v>1499.0</v>
      </c>
      <c r="F847" s="1" t="s">
        <v>1147</v>
      </c>
      <c r="G847" s="1" t="s">
        <v>51</v>
      </c>
      <c r="H847" s="1" t="s">
        <v>23</v>
      </c>
      <c r="I847" s="1" t="s">
        <v>24</v>
      </c>
      <c r="J847" s="1" t="s">
        <v>1148</v>
      </c>
      <c r="K847" s="19" t="s">
        <v>229</v>
      </c>
      <c r="L847" s="20" t="s">
        <v>35</v>
      </c>
      <c r="M847" s="21">
        <f t="shared" si="1"/>
        <v>3</v>
      </c>
      <c r="N847" s="2">
        <v>-298.886</v>
      </c>
      <c r="O847" s="2">
        <v>8.0</v>
      </c>
      <c r="P847" s="2">
        <v>18.59</v>
      </c>
      <c r="Q847" s="2">
        <v>90731.0</v>
      </c>
      <c r="R847" s="15" t="b">
        <f>ISNUMBER(MATCH(Q847,'Returned order'!A:A,0))</f>
        <v>0</v>
      </c>
      <c r="S847" s="22">
        <v>42039.0</v>
      </c>
      <c r="T847" s="15"/>
      <c r="U847" s="15"/>
      <c r="V847" s="15"/>
    </row>
    <row r="848">
      <c r="A848" s="2">
        <v>20017.0</v>
      </c>
      <c r="B848" s="1" t="s">
        <v>63</v>
      </c>
      <c r="C848" s="2">
        <v>0.03</v>
      </c>
      <c r="D848" s="2">
        <v>6.48</v>
      </c>
      <c r="E848" s="2">
        <v>1499.0</v>
      </c>
      <c r="F848" s="1" t="s">
        <v>1147</v>
      </c>
      <c r="G848" s="1" t="s">
        <v>51</v>
      </c>
      <c r="H848" s="1" t="s">
        <v>23</v>
      </c>
      <c r="I848" s="1" t="s">
        <v>93</v>
      </c>
      <c r="J848" s="1" t="s">
        <v>519</v>
      </c>
      <c r="K848" s="19" t="s">
        <v>229</v>
      </c>
      <c r="L848" s="20" t="s">
        <v>35</v>
      </c>
      <c r="M848" s="21">
        <f t="shared" si="1"/>
        <v>3</v>
      </c>
      <c r="N848" s="2">
        <v>-145.852</v>
      </c>
      <c r="O848" s="2">
        <v>9.0</v>
      </c>
      <c r="P848" s="2">
        <v>58.83</v>
      </c>
      <c r="Q848" s="2">
        <v>90731.0</v>
      </c>
      <c r="R848" s="15" t="b">
        <f>ISNUMBER(MATCH(Q848,'Returned order'!A:A,0))</f>
        <v>0</v>
      </c>
      <c r="S848" s="22">
        <v>42039.0</v>
      </c>
      <c r="T848" s="15"/>
      <c r="U848" s="15"/>
      <c r="V848" s="15"/>
    </row>
    <row r="849">
      <c r="A849" s="2">
        <v>20018.0</v>
      </c>
      <c r="B849" s="1" t="s">
        <v>63</v>
      </c>
      <c r="C849" s="2">
        <v>0.08</v>
      </c>
      <c r="D849" s="2">
        <v>146.05</v>
      </c>
      <c r="E849" s="2">
        <v>1499.0</v>
      </c>
      <c r="F849" s="1" t="s">
        <v>1147</v>
      </c>
      <c r="G849" s="1" t="s">
        <v>51</v>
      </c>
      <c r="H849" s="1" t="s">
        <v>37</v>
      </c>
      <c r="I849" s="1" t="s">
        <v>73</v>
      </c>
      <c r="J849" s="1" t="s">
        <v>353</v>
      </c>
      <c r="K849" s="19" t="s">
        <v>229</v>
      </c>
      <c r="L849" s="20" t="s">
        <v>35</v>
      </c>
      <c r="M849" s="21">
        <f t="shared" si="1"/>
        <v>3</v>
      </c>
      <c r="N849" s="2">
        <v>-27.951</v>
      </c>
      <c r="O849" s="2">
        <v>11.0</v>
      </c>
      <c r="P849" s="2">
        <v>1557.66</v>
      </c>
      <c r="Q849" s="2">
        <v>90731.0</v>
      </c>
      <c r="R849" s="15" t="b">
        <f>ISNUMBER(MATCH(Q849,'Returned order'!A:A,0))</f>
        <v>0</v>
      </c>
      <c r="S849" s="22">
        <v>42039.0</v>
      </c>
      <c r="T849" s="15"/>
      <c r="U849" s="15"/>
      <c r="V849" s="15"/>
    </row>
    <row r="850">
      <c r="A850" s="2">
        <v>21682.0</v>
      </c>
      <c r="B850" s="1" t="s">
        <v>58</v>
      </c>
      <c r="C850" s="2">
        <v>0.08</v>
      </c>
      <c r="D850" s="2">
        <v>3.69</v>
      </c>
      <c r="E850" s="2">
        <v>1502.0</v>
      </c>
      <c r="F850" s="1" t="s">
        <v>1149</v>
      </c>
      <c r="G850" s="1" t="s">
        <v>66</v>
      </c>
      <c r="H850" s="1" t="s">
        <v>23</v>
      </c>
      <c r="I850" s="1" t="s">
        <v>130</v>
      </c>
      <c r="J850" s="1" t="s">
        <v>1150</v>
      </c>
      <c r="K850" s="19" t="s">
        <v>229</v>
      </c>
      <c r="L850" s="20" t="s">
        <v>70</v>
      </c>
      <c r="M850" s="21">
        <f t="shared" si="1"/>
        <v>4</v>
      </c>
      <c r="N850" s="2">
        <v>-3.6547</v>
      </c>
      <c r="O850" s="2">
        <v>38.0</v>
      </c>
      <c r="P850" s="2">
        <v>129.43</v>
      </c>
      <c r="Q850" s="2">
        <v>89193.0</v>
      </c>
      <c r="R850" s="15" t="b">
        <f>ISNUMBER(MATCH(Q850,'Returned order'!A:A,0))</f>
        <v>0</v>
      </c>
      <c r="S850" s="22">
        <v>42131.0</v>
      </c>
      <c r="T850" s="15"/>
      <c r="U850" s="15"/>
      <c r="V850" s="15"/>
    </row>
    <row r="851">
      <c r="A851" s="2">
        <v>18868.0</v>
      </c>
      <c r="B851" s="1" t="s">
        <v>170</v>
      </c>
      <c r="C851" s="2">
        <v>0.08</v>
      </c>
      <c r="D851" s="2">
        <v>5.84</v>
      </c>
      <c r="E851" s="2">
        <v>1502.0</v>
      </c>
      <c r="F851" s="1" t="s">
        <v>1149</v>
      </c>
      <c r="G851" s="1" t="s">
        <v>66</v>
      </c>
      <c r="H851" s="1" t="s">
        <v>23</v>
      </c>
      <c r="I851" s="1" t="s">
        <v>29</v>
      </c>
      <c r="J851" s="1" t="s">
        <v>1151</v>
      </c>
      <c r="K851" s="19" t="s">
        <v>229</v>
      </c>
      <c r="L851" s="20" t="s">
        <v>27</v>
      </c>
      <c r="M851" s="21">
        <f t="shared" si="1"/>
        <v>1</v>
      </c>
      <c r="N851" s="2">
        <v>731.922</v>
      </c>
      <c r="O851" s="2">
        <v>11.0</v>
      </c>
      <c r="P851" s="2">
        <v>61.39</v>
      </c>
      <c r="Q851" s="2">
        <v>89194.0</v>
      </c>
      <c r="R851" s="15" t="b">
        <f>ISNUMBER(MATCH(Q851,'Returned order'!A:A,0))</f>
        <v>0</v>
      </c>
      <c r="S851" s="22">
        <v>42184.0</v>
      </c>
      <c r="T851" s="15"/>
      <c r="U851" s="15"/>
      <c r="V851" s="15"/>
    </row>
    <row r="852">
      <c r="A852" s="2">
        <v>18869.0</v>
      </c>
      <c r="B852" s="1" t="s">
        <v>170</v>
      </c>
      <c r="C852" s="2">
        <v>0.0</v>
      </c>
      <c r="D852" s="2">
        <v>205.99</v>
      </c>
      <c r="E852" s="2">
        <v>1502.0</v>
      </c>
      <c r="F852" s="1" t="s">
        <v>1149</v>
      </c>
      <c r="G852" s="1" t="s">
        <v>66</v>
      </c>
      <c r="H852" s="1" t="s">
        <v>46</v>
      </c>
      <c r="I852" s="1" t="s">
        <v>85</v>
      </c>
      <c r="J852" s="1" t="s">
        <v>1152</v>
      </c>
      <c r="K852" s="19" t="s">
        <v>229</v>
      </c>
      <c r="L852" s="20" t="s">
        <v>27</v>
      </c>
      <c r="M852" s="21">
        <f t="shared" si="1"/>
        <v>1</v>
      </c>
      <c r="N852" s="2">
        <v>186.558</v>
      </c>
      <c r="O852" s="2">
        <v>13.0</v>
      </c>
      <c r="P852" s="2">
        <v>2435.52</v>
      </c>
      <c r="Q852" s="2">
        <v>89194.0</v>
      </c>
      <c r="R852" s="15" t="b">
        <f>ISNUMBER(MATCH(Q852,'Returned order'!A:A,0))</f>
        <v>0</v>
      </c>
      <c r="S852" s="22">
        <v>42184.0</v>
      </c>
      <c r="T852" s="15"/>
      <c r="U852" s="15"/>
      <c r="V852" s="15"/>
    </row>
    <row r="853">
      <c r="A853" s="2">
        <v>18061.0</v>
      </c>
      <c r="B853" s="1" t="s">
        <v>170</v>
      </c>
      <c r="C853" s="2">
        <v>0.0</v>
      </c>
      <c r="D853" s="2">
        <v>85.99</v>
      </c>
      <c r="E853" s="2">
        <v>1505.0</v>
      </c>
      <c r="F853" s="1" t="s">
        <v>1153</v>
      </c>
      <c r="G853" s="1" t="s">
        <v>66</v>
      </c>
      <c r="H853" s="1" t="s">
        <v>46</v>
      </c>
      <c r="I853" s="1" t="s">
        <v>85</v>
      </c>
      <c r="J853" s="1" t="s">
        <v>445</v>
      </c>
      <c r="K853" s="19" t="s">
        <v>68</v>
      </c>
      <c r="L853" s="20" t="s">
        <v>53</v>
      </c>
      <c r="M853" s="21">
        <f t="shared" si="1"/>
        <v>6</v>
      </c>
      <c r="N853" s="2">
        <v>-138.0368</v>
      </c>
      <c r="O853" s="2">
        <v>6.0</v>
      </c>
      <c r="P853" s="2">
        <v>464.86</v>
      </c>
      <c r="Q853" s="2">
        <v>86181.0</v>
      </c>
      <c r="R853" s="15" t="b">
        <f>ISNUMBER(MATCH(Q853,'Returned order'!A:A,0))</f>
        <v>0</v>
      </c>
      <c r="S853" s="22">
        <v>42168.0</v>
      </c>
      <c r="T853" s="15"/>
      <c r="U853" s="15"/>
      <c r="V853" s="15"/>
    </row>
    <row r="854">
      <c r="A854" s="2">
        <v>23329.0</v>
      </c>
      <c r="B854" s="1" t="s">
        <v>58</v>
      </c>
      <c r="C854" s="2">
        <v>0.09</v>
      </c>
      <c r="D854" s="2">
        <v>20.98</v>
      </c>
      <c r="E854" s="2">
        <v>1511.0</v>
      </c>
      <c r="F854" s="1" t="s">
        <v>1154</v>
      </c>
      <c r="G854" s="1" t="s">
        <v>32</v>
      </c>
      <c r="H854" s="1" t="s">
        <v>23</v>
      </c>
      <c r="I854" s="1" t="s">
        <v>24</v>
      </c>
      <c r="J854" s="1" t="s">
        <v>1155</v>
      </c>
      <c r="K854" s="19" t="s">
        <v>68</v>
      </c>
      <c r="L854" s="20" t="s">
        <v>27</v>
      </c>
      <c r="M854" s="21">
        <f t="shared" si="1"/>
        <v>1</v>
      </c>
      <c r="N854" s="2">
        <v>199.1823</v>
      </c>
      <c r="O854" s="2">
        <v>14.0</v>
      </c>
      <c r="P854" s="2">
        <v>288.67</v>
      </c>
      <c r="Q854" s="2">
        <v>90303.0</v>
      </c>
      <c r="R854" s="15" t="b">
        <f>ISNUMBER(MATCH(Q854,'Returned order'!A:A,0))</f>
        <v>0</v>
      </c>
      <c r="S854" s="22">
        <v>42177.0</v>
      </c>
      <c r="T854" s="15"/>
      <c r="U854" s="15"/>
      <c r="V854" s="15"/>
    </row>
    <row r="855">
      <c r="A855" s="2">
        <v>23470.0</v>
      </c>
      <c r="B855" s="1" t="s">
        <v>58</v>
      </c>
      <c r="C855" s="2">
        <v>0.06</v>
      </c>
      <c r="D855" s="2">
        <v>55.48</v>
      </c>
      <c r="E855" s="2">
        <v>1519.0</v>
      </c>
      <c r="F855" s="1" t="s">
        <v>1156</v>
      </c>
      <c r="G855" s="1" t="s">
        <v>22</v>
      </c>
      <c r="H855" s="1" t="s">
        <v>23</v>
      </c>
      <c r="I855" s="1" t="s">
        <v>93</v>
      </c>
      <c r="J855" s="1" t="s">
        <v>1157</v>
      </c>
      <c r="K855" s="19" t="s">
        <v>26</v>
      </c>
      <c r="L855" s="20" t="s">
        <v>61</v>
      </c>
      <c r="M855" s="21">
        <f t="shared" si="1"/>
        <v>7</v>
      </c>
      <c r="N855" s="2">
        <v>711.0519</v>
      </c>
      <c r="O855" s="2">
        <v>19.0</v>
      </c>
      <c r="P855" s="2">
        <v>1030.51</v>
      </c>
      <c r="Q855" s="2">
        <v>89957.0</v>
      </c>
      <c r="R855" s="15" t="b">
        <f>ISNUMBER(MATCH(Q855,'Returned order'!A:A,0))</f>
        <v>0</v>
      </c>
      <c r="S855" s="22">
        <v>42169.0</v>
      </c>
      <c r="T855" s="15"/>
      <c r="U855" s="15"/>
      <c r="V855" s="15"/>
    </row>
    <row r="856">
      <c r="A856" s="2">
        <v>23471.0</v>
      </c>
      <c r="B856" s="1" t="s">
        <v>58</v>
      </c>
      <c r="C856" s="2">
        <v>0.1</v>
      </c>
      <c r="D856" s="2">
        <v>122.99</v>
      </c>
      <c r="E856" s="2">
        <v>1522.0</v>
      </c>
      <c r="F856" s="1" t="s">
        <v>1158</v>
      </c>
      <c r="G856" s="1" t="s">
        <v>22</v>
      </c>
      <c r="H856" s="1" t="s">
        <v>37</v>
      </c>
      <c r="I856" s="1" t="s">
        <v>38</v>
      </c>
      <c r="J856" s="1" t="s">
        <v>39</v>
      </c>
      <c r="K856" s="19" t="s">
        <v>68</v>
      </c>
      <c r="L856" s="20" t="s">
        <v>61</v>
      </c>
      <c r="M856" s="21">
        <f t="shared" si="1"/>
        <v>7</v>
      </c>
      <c r="N856" s="2">
        <v>-899.675</v>
      </c>
      <c r="O856" s="2">
        <v>17.0</v>
      </c>
      <c r="P856" s="2">
        <v>2026.91</v>
      </c>
      <c r="Q856" s="2">
        <v>89957.0</v>
      </c>
      <c r="R856" s="15" t="b">
        <f>ISNUMBER(MATCH(Q856,'Returned order'!A:A,0))</f>
        <v>0</v>
      </c>
      <c r="S856" s="22">
        <v>42169.0</v>
      </c>
      <c r="T856" s="15"/>
      <c r="U856" s="15"/>
      <c r="V856" s="15"/>
    </row>
    <row r="857">
      <c r="A857" s="2">
        <v>19269.0</v>
      </c>
      <c r="B857" s="1" t="s">
        <v>28</v>
      </c>
      <c r="C857" s="2">
        <v>0.04</v>
      </c>
      <c r="D857" s="2">
        <v>11.34</v>
      </c>
      <c r="E857" s="2">
        <v>1526.0</v>
      </c>
      <c r="F857" s="1" t="s">
        <v>1159</v>
      </c>
      <c r="G857" s="1" t="s">
        <v>51</v>
      </c>
      <c r="H857" s="1" t="s">
        <v>23</v>
      </c>
      <c r="I857" s="1" t="s">
        <v>93</v>
      </c>
      <c r="J857" s="1" t="s">
        <v>233</v>
      </c>
      <c r="K857" s="19" t="s">
        <v>229</v>
      </c>
      <c r="L857" s="20" t="s">
        <v>57</v>
      </c>
      <c r="M857" s="21">
        <f t="shared" si="1"/>
        <v>2</v>
      </c>
      <c r="N857" s="2">
        <v>-189.224</v>
      </c>
      <c r="O857" s="2">
        <v>10.0</v>
      </c>
      <c r="P857" s="2">
        <v>115.53</v>
      </c>
      <c r="Q857" s="2">
        <v>86812.0</v>
      </c>
      <c r="R857" s="15" t="b">
        <f>ISNUMBER(MATCH(Q857,'Returned order'!A:A,0))</f>
        <v>0</v>
      </c>
      <c r="S857" s="22">
        <v>42045.0</v>
      </c>
      <c r="T857" s="15"/>
      <c r="U857" s="15"/>
      <c r="V857" s="15"/>
    </row>
    <row r="858">
      <c r="A858" s="2">
        <v>24974.0</v>
      </c>
      <c r="B858" s="1" t="s">
        <v>58</v>
      </c>
      <c r="C858" s="2">
        <v>0.03</v>
      </c>
      <c r="D858" s="2">
        <v>30.98</v>
      </c>
      <c r="E858" s="2">
        <v>1527.0</v>
      </c>
      <c r="F858" s="1" t="s">
        <v>1160</v>
      </c>
      <c r="G858" s="1" t="s">
        <v>66</v>
      </c>
      <c r="H858" s="1" t="s">
        <v>23</v>
      </c>
      <c r="I858" s="1" t="s">
        <v>29</v>
      </c>
      <c r="J858" s="1" t="s">
        <v>1161</v>
      </c>
      <c r="K858" s="19" t="s">
        <v>229</v>
      </c>
      <c r="L858" s="20" t="s">
        <v>76</v>
      </c>
      <c r="M858" s="21">
        <f t="shared" si="1"/>
        <v>5</v>
      </c>
      <c r="N858" s="2">
        <v>0.51</v>
      </c>
      <c r="O858" s="2">
        <v>5.0</v>
      </c>
      <c r="P858" s="2">
        <v>162.39</v>
      </c>
      <c r="Q858" s="2">
        <v>86813.0</v>
      </c>
      <c r="R858" s="15" t="b">
        <f>ISNUMBER(MATCH(Q858,'Returned order'!A:A,0))</f>
        <v>0</v>
      </c>
      <c r="S858" s="22">
        <v>42013.0</v>
      </c>
      <c r="T858" s="15"/>
      <c r="U858" s="15"/>
      <c r="V858" s="15"/>
    </row>
    <row r="859">
      <c r="A859" s="2">
        <v>22253.0</v>
      </c>
      <c r="B859" s="1" t="s">
        <v>170</v>
      </c>
      <c r="C859" s="2">
        <v>0.03</v>
      </c>
      <c r="D859" s="2">
        <v>65.99</v>
      </c>
      <c r="E859" s="2">
        <v>1527.0</v>
      </c>
      <c r="F859" s="1" t="s">
        <v>1160</v>
      </c>
      <c r="G859" s="1" t="s">
        <v>51</v>
      </c>
      <c r="H859" s="1" t="s">
        <v>46</v>
      </c>
      <c r="I859" s="1" t="s">
        <v>85</v>
      </c>
      <c r="J859" s="1">
        <v>8860.0</v>
      </c>
      <c r="K859" s="19" t="s">
        <v>229</v>
      </c>
      <c r="L859" s="20" t="s">
        <v>27</v>
      </c>
      <c r="M859" s="21">
        <f t="shared" si="1"/>
        <v>1</v>
      </c>
      <c r="N859" s="2">
        <v>-52.248</v>
      </c>
      <c r="O859" s="2">
        <v>23.0</v>
      </c>
      <c r="P859" s="2">
        <v>1316.03</v>
      </c>
      <c r="Q859" s="2">
        <v>86814.0</v>
      </c>
      <c r="R859" s="15" t="b">
        <f>ISNUMBER(MATCH(Q859,'Returned order'!A:A,0))</f>
        <v>0</v>
      </c>
      <c r="S859" s="22">
        <v>42093.0</v>
      </c>
      <c r="T859" s="15"/>
      <c r="U859" s="15"/>
      <c r="V859" s="15"/>
    </row>
    <row r="860">
      <c r="A860" s="2">
        <v>21455.0</v>
      </c>
      <c r="B860" s="1" t="s">
        <v>170</v>
      </c>
      <c r="C860" s="2">
        <v>0.09</v>
      </c>
      <c r="D860" s="2">
        <v>50.98</v>
      </c>
      <c r="E860" s="2">
        <v>1527.0</v>
      </c>
      <c r="F860" s="1" t="s">
        <v>1160</v>
      </c>
      <c r="G860" s="1" t="s">
        <v>51</v>
      </c>
      <c r="H860" s="1" t="s">
        <v>46</v>
      </c>
      <c r="I860" s="1" t="s">
        <v>47</v>
      </c>
      <c r="J860" s="1" t="s">
        <v>752</v>
      </c>
      <c r="K860" s="19" t="s">
        <v>229</v>
      </c>
      <c r="L860" s="20" t="s">
        <v>70</v>
      </c>
      <c r="M860" s="21">
        <f t="shared" si="1"/>
        <v>4</v>
      </c>
      <c r="N860" s="2">
        <v>70.176</v>
      </c>
      <c r="O860" s="2">
        <v>28.0</v>
      </c>
      <c r="P860" s="2">
        <v>1395.41</v>
      </c>
      <c r="Q860" s="2">
        <v>86815.0</v>
      </c>
      <c r="R860" s="15" t="b">
        <f>ISNUMBER(MATCH(Q860,'Returned order'!A:A,0))</f>
        <v>0</v>
      </c>
      <c r="S860" s="22">
        <v>42145.0</v>
      </c>
      <c r="T860" s="15"/>
      <c r="U860" s="15"/>
      <c r="V860" s="15"/>
    </row>
    <row r="861">
      <c r="A861" s="2">
        <v>24975.0</v>
      </c>
      <c r="B861" s="1" t="s">
        <v>58</v>
      </c>
      <c r="C861" s="2">
        <v>0.01</v>
      </c>
      <c r="D861" s="2">
        <v>525.98</v>
      </c>
      <c r="E861" s="2">
        <v>1528.0</v>
      </c>
      <c r="F861" s="1" t="s">
        <v>1162</v>
      </c>
      <c r="G861" s="1" t="s">
        <v>66</v>
      </c>
      <c r="H861" s="1" t="s">
        <v>23</v>
      </c>
      <c r="I861" s="1" t="s">
        <v>24</v>
      </c>
      <c r="J861" s="1" t="s">
        <v>1163</v>
      </c>
      <c r="K861" s="19" t="s">
        <v>229</v>
      </c>
      <c r="L861" s="20" t="s">
        <v>76</v>
      </c>
      <c r="M861" s="21">
        <f t="shared" si="1"/>
        <v>5</v>
      </c>
      <c r="N861" s="2">
        <v>-161.924</v>
      </c>
      <c r="O861" s="2">
        <v>9.0</v>
      </c>
      <c r="P861" s="2">
        <v>4920.81</v>
      </c>
      <c r="Q861" s="2">
        <v>86813.0</v>
      </c>
      <c r="R861" s="15" t="b">
        <f>ISNUMBER(MATCH(Q861,'Returned order'!A:A,0))</f>
        <v>0</v>
      </c>
      <c r="S861" s="22">
        <v>42013.0</v>
      </c>
      <c r="T861" s="15"/>
      <c r="U861" s="15"/>
      <c r="V861" s="15"/>
    </row>
    <row r="862">
      <c r="A862" s="2">
        <v>21199.0</v>
      </c>
      <c r="B862" s="1" t="s">
        <v>58</v>
      </c>
      <c r="C862" s="2">
        <v>0.07</v>
      </c>
      <c r="D862" s="2">
        <v>4.91</v>
      </c>
      <c r="E862" s="2">
        <v>1531.0</v>
      </c>
      <c r="F862" s="1" t="s">
        <v>1164</v>
      </c>
      <c r="G862" s="1" t="s">
        <v>22</v>
      </c>
      <c r="H862" s="1" t="s">
        <v>23</v>
      </c>
      <c r="I862" s="1" t="s">
        <v>130</v>
      </c>
      <c r="J862" s="1" t="s">
        <v>1165</v>
      </c>
      <c r="K862" s="19" t="s">
        <v>229</v>
      </c>
      <c r="L862" s="20" t="s">
        <v>53</v>
      </c>
      <c r="M862" s="21">
        <f t="shared" si="1"/>
        <v>6</v>
      </c>
      <c r="N862" s="2">
        <v>-157.696</v>
      </c>
      <c r="O862" s="2">
        <v>6.0</v>
      </c>
      <c r="P862" s="2">
        <v>28.22</v>
      </c>
      <c r="Q862" s="2">
        <v>88852.0</v>
      </c>
      <c r="R862" s="15" t="b">
        <f>ISNUMBER(MATCH(Q862,'Returned order'!A:A,0))</f>
        <v>0</v>
      </c>
      <c r="S862" s="22">
        <v>42021.0</v>
      </c>
      <c r="T862" s="15"/>
      <c r="U862" s="15"/>
      <c r="V862" s="15"/>
    </row>
    <row r="863">
      <c r="A863" s="2">
        <v>21596.0</v>
      </c>
      <c r="B863" s="1" t="s">
        <v>28</v>
      </c>
      <c r="C863" s="2">
        <v>0.02</v>
      </c>
      <c r="D863" s="2">
        <v>4.89</v>
      </c>
      <c r="E863" s="2">
        <v>1533.0</v>
      </c>
      <c r="F863" s="1" t="s">
        <v>1166</v>
      </c>
      <c r="G863" s="1" t="s">
        <v>32</v>
      </c>
      <c r="H863" s="1" t="s">
        <v>46</v>
      </c>
      <c r="I863" s="1" t="s">
        <v>47</v>
      </c>
      <c r="J863" s="1" t="s">
        <v>429</v>
      </c>
      <c r="K863" s="19" t="s">
        <v>68</v>
      </c>
      <c r="L863" s="20" t="s">
        <v>76</v>
      </c>
      <c r="M863" s="21">
        <f t="shared" si="1"/>
        <v>5</v>
      </c>
      <c r="N863" s="2">
        <v>-56.446</v>
      </c>
      <c r="O863" s="2">
        <v>14.0</v>
      </c>
      <c r="P863" s="2">
        <v>74.01</v>
      </c>
      <c r="Q863" s="2">
        <v>91328.0</v>
      </c>
      <c r="R863" s="15" t="b">
        <f>ISNUMBER(MATCH(Q863,'Returned order'!A:A,0))</f>
        <v>0</v>
      </c>
      <c r="S863" s="22">
        <v>42041.0</v>
      </c>
      <c r="T863" s="15"/>
      <c r="U863" s="15"/>
      <c r="V863" s="15"/>
    </row>
    <row r="864">
      <c r="A864" s="2">
        <v>21597.0</v>
      </c>
      <c r="B864" s="1" t="s">
        <v>28</v>
      </c>
      <c r="C864" s="2">
        <v>0.07</v>
      </c>
      <c r="D864" s="2">
        <v>10.06</v>
      </c>
      <c r="E864" s="2">
        <v>1533.0</v>
      </c>
      <c r="F864" s="1" t="s">
        <v>1166</v>
      </c>
      <c r="G864" s="1" t="s">
        <v>32</v>
      </c>
      <c r="H864" s="1" t="s">
        <v>23</v>
      </c>
      <c r="I864" s="1" t="s">
        <v>93</v>
      </c>
      <c r="J864" s="1" t="s">
        <v>310</v>
      </c>
      <c r="K864" s="19" t="s">
        <v>68</v>
      </c>
      <c r="L864" s="20" t="s">
        <v>76</v>
      </c>
      <c r="M864" s="21">
        <f t="shared" si="1"/>
        <v>5</v>
      </c>
      <c r="N864" s="2">
        <v>33.189</v>
      </c>
      <c r="O864" s="2">
        <v>5.0</v>
      </c>
      <c r="P864" s="2">
        <v>48.1</v>
      </c>
      <c r="Q864" s="2">
        <v>91328.0</v>
      </c>
      <c r="R864" s="15" t="b">
        <f>ISNUMBER(MATCH(Q864,'Returned order'!A:A,0))</f>
        <v>0</v>
      </c>
      <c r="S864" s="22">
        <v>42041.0</v>
      </c>
      <c r="T864" s="15"/>
      <c r="U864" s="15"/>
      <c r="V864" s="15"/>
    </row>
    <row r="865">
      <c r="A865" s="2">
        <v>23147.0</v>
      </c>
      <c r="B865" s="1" t="s">
        <v>170</v>
      </c>
      <c r="C865" s="2">
        <v>0.0</v>
      </c>
      <c r="D865" s="2">
        <v>599.99</v>
      </c>
      <c r="E865" s="2">
        <v>1548.0</v>
      </c>
      <c r="F865" s="1" t="s">
        <v>1167</v>
      </c>
      <c r="G865" s="1" t="s">
        <v>32</v>
      </c>
      <c r="H865" s="1" t="s">
        <v>46</v>
      </c>
      <c r="I865" s="1" t="s">
        <v>138</v>
      </c>
      <c r="J865" s="1" t="s">
        <v>1168</v>
      </c>
      <c r="K865" s="19" t="s">
        <v>68</v>
      </c>
      <c r="L865" s="20" t="s">
        <v>57</v>
      </c>
      <c r="M865" s="21">
        <f t="shared" si="1"/>
        <v>2</v>
      </c>
      <c r="N865" s="2">
        <v>-367.165</v>
      </c>
      <c r="O865" s="2">
        <v>18.0</v>
      </c>
      <c r="P865" s="2">
        <v>11015.82</v>
      </c>
      <c r="Q865" s="2">
        <v>88487.0</v>
      </c>
      <c r="R865" s="15" t="b">
        <f>ISNUMBER(MATCH(Q865,'Returned order'!A:A,0))</f>
        <v>0</v>
      </c>
      <c r="S865" s="22">
        <v>42178.0</v>
      </c>
      <c r="T865" s="15"/>
      <c r="U865" s="15"/>
      <c r="V865" s="15"/>
    </row>
    <row r="866">
      <c r="A866" s="2">
        <v>19627.0</v>
      </c>
      <c r="B866" s="1" t="s">
        <v>170</v>
      </c>
      <c r="C866" s="2">
        <v>0.07</v>
      </c>
      <c r="D866" s="2">
        <v>17.7</v>
      </c>
      <c r="E866" s="2">
        <v>1551.0</v>
      </c>
      <c r="F866" s="1" t="s">
        <v>1169</v>
      </c>
      <c r="G866" s="1" t="s">
        <v>22</v>
      </c>
      <c r="H866" s="1" t="s">
        <v>23</v>
      </c>
      <c r="I866" s="1" t="s">
        <v>120</v>
      </c>
      <c r="J866" s="1" t="s">
        <v>1170</v>
      </c>
      <c r="K866" s="19" t="s">
        <v>229</v>
      </c>
      <c r="L866" s="20" t="s">
        <v>70</v>
      </c>
      <c r="M866" s="21">
        <f t="shared" si="1"/>
        <v>4</v>
      </c>
      <c r="N866" s="2">
        <v>-243.544</v>
      </c>
      <c r="O866" s="2">
        <v>18.0</v>
      </c>
      <c r="P866" s="2">
        <v>300.67</v>
      </c>
      <c r="Q866" s="2">
        <v>87488.0</v>
      </c>
      <c r="R866" s="15" t="b">
        <f>ISNUMBER(MATCH(Q866,'Returned order'!A:A,0))</f>
        <v>0</v>
      </c>
      <c r="S866" s="22">
        <v>42180.0</v>
      </c>
      <c r="T866" s="15"/>
      <c r="U866" s="15"/>
      <c r="V866" s="15"/>
    </row>
    <row r="867">
      <c r="A867" s="2">
        <v>20993.0</v>
      </c>
      <c r="B867" s="1" t="s">
        <v>58</v>
      </c>
      <c r="C867" s="2">
        <v>0.01</v>
      </c>
      <c r="D867" s="2">
        <v>348.21</v>
      </c>
      <c r="E867" s="2">
        <v>1552.0</v>
      </c>
      <c r="F867" s="1" t="s">
        <v>1171</v>
      </c>
      <c r="G867" s="1" t="s">
        <v>66</v>
      </c>
      <c r="H867" s="1" t="s">
        <v>37</v>
      </c>
      <c r="I867" s="1" t="s">
        <v>73</v>
      </c>
      <c r="J867" s="1" t="s">
        <v>1172</v>
      </c>
      <c r="K867" s="19" t="s">
        <v>229</v>
      </c>
      <c r="L867" s="20" t="s">
        <v>70</v>
      </c>
      <c r="M867" s="21">
        <f t="shared" si="1"/>
        <v>4</v>
      </c>
      <c r="N867" s="2">
        <v>-337.092</v>
      </c>
      <c r="O867" s="2">
        <v>2.0</v>
      </c>
      <c r="P867" s="2">
        <v>723.54</v>
      </c>
      <c r="Q867" s="2">
        <v>87486.0</v>
      </c>
      <c r="R867" s="15" t="b">
        <f>ISNUMBER(MATCH(Q867,'Returned order'!A:A,0))</f>
        <v>0</v>
      </c>
      <c r="S867" s="22">
        <v>42005.0</v>
      </c>
      <c r="T867" s="15"/>
      <c r="U867" s="15"/>
      <c r="V867" s="15"/>
    </row>
    <row r="868">
      <c r="A868" s="2">
        <v>24862.0</v>
      </c>
      <c r="B868" s="1" t="s">
        <v>49</v>
      </c>
      <c r="C868" s="2">
        <v>0.03</v>
      </c>
      <c r="D868" s="2">
        <v>12.28</v>
      </c>
      <c r="E868" s="2">
        <v>1553.0</v>
      </c>
      <c r="F868" s="1" t="s">
        <v>1173</v>
      </c>
      <c r="G868" s="1" t="s">
        <v>66</v>
      </c>
      <c r="H868" s="1" t="s">
        <v>23</v>
      </c>
      <c r="I868" s="1" t="s">
        <v>93</v>
      </c>
      <c r="J868" s="1" t="s">
        <v>1174</v>
      </c>
      <c r="K868" s="19" t="s">
        <v>229</v>
      </c>
      <c r="L868" s="20" t="s">
        <v>61</v>
      </c>
      <c r="M868" s="21">
        <f t="shared" si="1"/>
        <v>7</v>
      </c>
      <c r="N868" s="2">
        <v>68.676</v>
      </c>
      <c r="O868" s="2">
        <v>7.0</v>
      </c>
      <c r="P868" s="2">
        <v>87.53</v>
      </c>
      <c r="Q868" s="2">
        <v>87484.0</v>
      </c>
      <c r="R868" s="15" t="b">
        <f>ISNUMBER(MATCH(Q868,'Returned order'!A:A,0))</f>
        <v>0</v>
      </c>
      <c r="S868" s="22">
        <v>42085.0</v>
      </c>
      <c r="T868" s="15"/>
      <c r="U868" s="15"/>
      <c r="V868" s="15"/>
    </row>
    <row r="869">
      <c r="A869" s="2">
        <v>26135.0</v>
      </c>
      <c r="B869" s="1" t="s">
        <v>28</v>
      </c>
      <c r="C869" s="2">
        <v>0.04</v>
      </c>
      <c r="D869" s="2">
        <v>10.98</v>
      </c>
      <c r="E869" s="2">
        <v>1554.0</v>
      </c>
      <c r="F869" s="1" t="s">
        <v>1175</v>
      </c>
      <c r="G869" s="1" t="s">
        <v>66</v>
      </c>
      <c r="H869" s="1" t="s">
        <v>23</v>
      </c>
      <c r="I869" s="1" t="s">
        <v>151</v>
      </c>
      <c r="J869" s="1" t="s">
        <v>1176</v>
      </c>
      <c r="K869" s="19" t="s">
        <v>229</v>
      </c>
      <c r="L869" s="20" t="s">
        <v>27</v>
      </c>
      <c r="M869" s="21">
        <f t="shared" si="1"/>
        <v>1</v>
      </c>
      <c r="N869" s="2">
        <v>481.032</v>
      </c>
      <c r="O869" s="2">
        <v>15.0</v>
      </c>
      <c r="P869" s="2">
        <v>172.22</v>
      </c>
      <c r="Q869" s="2">
        <v>87485.0</v>
      </c>
      <c r="R869" s="15" t="b">
        <f>ISNUMBER(MATCH(Q869,'Returned order'!A:A,0))</f>
        <v>0</v>
      </c>
      <c r="S869" s="22">
        <v>42142.0</v>
      </c>
      <c r="T869" s="15"/>
      <c r="U869" s="15"/>
      <c r="V869" s="15"/>
    </row>
    <row r="870">
      <c r="A870" s="2">
        <v>25409.0</v>
      </c>
      <c r="B870" s="1" t="s">
        <v>28</v>
      </c>
      <c r="C870" s="2">
        <v>0.03</v>
      </c>
      <c r="D870" s="2">
        <v>124.49</v>
      </c>
      <c r="E870" s="2">
        <v>1554.0</v>
      </c>
      <c r="F870" s="1" t="s">
        <v>1175</v>
      </c>
      <c r="G870" s="1" t="s">
        <v>22</v>
      </c>
      <c r="H870" s="1" t="s">
        <v>37</v>
      </c>
      <c r="I870" s="1" t="s">
        <v>73</v>
      </c>
      <c r="J870" s="1" t="s">
        <v>432</v>
      </c>
      <c r="K870" s="19" t="s">
        <v>229</v>
      </c>
      <c r="L870" s="20" t="s">
        <v>76</v>
      </c>
      <c r="M870" s="21">
        <f t="shared" si="1"/>
        <v>5</v>
      </c>
      <c r="N870" s="2">
        <v>-4.018</v>
      </c>
      <c r="O870" s="2">
        <v>7.0</v>
      </c>
      <c r="P870" s="2">
        <v>894.88</v>
      </c>
      <c r="Q870" s="2">
        <v>87487.0</v>
      </c>
      <c r="R870" s="15" t="b">
        <f>ISNUMBER(MATCH(Q870,'Returned order'!A:A,0))</f>
        <v>0</v>
      </c>
      <c r="S870" s="22">
        <v>42048.0</v>
      </c>
      <c r="T870" s="15"/>
      <c r="U870" s="15"/>
      <c r="V870" s="15"/>
    </row>
    <row r="871">
      <c r="A871" s="2">
        <v>18294.0</v>
      </c>
      <c r="B871" s="1" t="s">
        <v>49</v>
      </c>
      <c r="C871" s="2">
        <v>0.06</v>
      </c>
      <c r="D871" s="2">
        <v>2.89</v>
      </c>
      <c r="E871" s="2">
        <v>1556.0</v>
      </c>
      <c r="F871" s="1" t="s">
        <v>1177</v>
      </c>
      <c r="G871" s="1" t="s">
        <v>22</v>
      </c>
      <c r="H871" s="1" t="s">
        <v>23</v>
      </c>
      <c r="I871" s="1" t="s">
        <v>130</v>
      </c>
      <c r="J871" s="1" t="s">
        <v>1178</v>
      </c>
      <c r="K871" s="19" t="s">
        <v>229</v>
      </c>
      <c r="L871" s="20" t="s">
        <v>27</v>
      </c>
      <c r="M871" s="21">
        <f t="shared" si="1"/>
        <v>1</v>
      </c>
      <c r="N871" s="2">
        <v>-2.0097</v>
      </c>
      <c r="O871" s="2">
        <v>6.0</v>
      </c>
      <c r="P871" s="2">
        <v>16.67</v>
      </c>
      <c r="Q871" s="2">
        <v>87425.0</v>
      </c>
      <c r="R871" s="15" t="b">
        <f>ISNUMBER(MATCH(Q871,'Returned order'!A:A,0))</f>
        <v>0</v>
      </c>
      <c r="S871" s="22">
        <v>42156.0</v>
      </c>
      <c r="T871" s="15"/>
      <c r="U871" s="15"/>
      <c r="V871" s="15"/>
    </row>
    <row r="872">
      <c r="A872" s="2">
        <v>18295.0</v>
      </c>
      <c r="B872" s="1" t="s">
        <v>49</v>
      </c>
      <c r="C872" s="2">
        <v>0.08</v>
      </c>
      <c r="D872" s="2">
        <v>22.84</v>
      </c>
      <c r="E872" s="2">
        <v>1556.0</v>
      </c>
      <c r="F872" s="1" t="s">
        <v>1177</v>
      </c>
      <c r="G872" s="1" t="s">
        <v>22</v>
      </c>
      <c r="H872" s="1" t="s">
        <v>23</v>
      </c>
      <c r="I872" s="1" t="s">
        <v>93</v>
      </c>
      <c r="J872" s="1" t="s">
        <v>280</v>
      </c>
      <c r="K872" s="19" t="s">
        <v>229</v>
      </c>
      <c r="L872" s="20" t="s">
        <v>27</v>
      </c>
      <c r="M872" s="21">
        <f t="shared" si="1"/>
        <v>1</v>
      </c>
      <c r="N872" s="2">
        <v>-477.372</v>
      </c>
      <c r="O872" s="2">
        <v>9.0</v>
      </c>
      <c r="P872" s="2">
        <v>195.16</v>
      </c>
      <c r="Q872" s="2">
        <v>87425.0</v>
      </c>
      <c r="R872" s="15" t="b">
        <f>ISNUMBER(MATCH(Q872,'Returned order'!A:A,0))</f>
        <v>0</v>
      </c>
      <c r="S872" s="22">
        <v>42156.0</v>
      </c>
      <c r="T872" s="15"/>
      <c r="U872" s="15"/>
      <c r="V872" s="15"/>
    </row>
    <row r="873">
      <c r="A873" s="2">
        <v>18511.0</v>
      </c>
      <c r="B873" s="1" t="s">
        <v>170</v>
      </c>
      <c r="C873" s="2">
        <v>0.09</v>
      </c>
      <c r="D873" s="2">
        <v>60.98</v>
      </c>
      <c r="E873" s="2">
        <v>1557.0</v>
      </c>
      <c r="F873" s="1" t="s">
        <v>1179</v>
      </c>
      <c r="G873" s="1" t="s">
        <v>22</v>
      </c>
      <c r="H873" s="1" t="s">
        <v>23</v>
      </c>
      <c r="I873" s="1" t="s">
        <v>151</v>
      </c>
      <c r="J873" s="1" t="s">
        <v>1180</v>
      </c>
      <c r="K873" s="19" t="s">
        <v>229</v>
      </c>
      <c r="L873" s="20" t="s">
        <v>35</v>
      </c>
      <c r="M873" s="21">
        <f t="shared" si="1"/>
        <v>3</v>
      </c>
      <c r="N873" s="2">
        <v>-954.758</v>
      </c>
      <c r="O873" s="2">
        <v>15.0</v>
      </c>
      <c r="P873" s="2">
        <v>879.62</v>
      </c>
      <c r="Q873" s="2">
        <v>87426.0</v>
      </c>
      <c r="R873" s="15" t="b">
        <f>ISNUMBER(MATCH(Q873,'Returned order'!A:A,0))</f>
        <v>0</v>
      </c>
      <c r="S873" s="22">
        <v>42088.0</v>
      </c>
      <c r="T873" s="15"/>
      <c r="U873" s="15"/>
      <c r="V873" s="15"/>
    </row>
    <row r="874">
      <c r="A874" s="2">
        <v>18512.0</v>
      </c>
      <c r="B874" s="1" t="s">
        <v>170</v>
      </c>
      <c r="C874" s="2">
        <v>0.05</v>
      </c>
      <c r="D874" s="2">
        <v>29.89</v>
      </c>
      <c r="E874" s="2">
        <v>1557.0</v>
      </c>
      <c r="F874" s="1" t="s">
        <v>1179</v>
      </c>
      <c r="G874" s="1" t="s">
        <v>22</v>
      </c>
      <c r="H874" s="1" t="s">
        <v>46</v>
      </c>
      <c r="I874" s="1" t="s">
        <v>47</v>
      </c>
      <c r="J874" s="1" t="s">
        <v>995</v>
      </c>
      <c r="K874" s="19" t="s">
        <v>229</v>
      </c>
      <c r="L874" s="20" t="s">
        <v>35</v>
      </c>
      <c r="M874" s="21">
        <f t="shared" si="1"/>
        <v>3</v>
      </c>
      <c r="N874" s="2">
        <v>219.4734</v>
      </c>
      <c r="O874" s="2">
        <v>12.0</v>
      </c>
      <c r="P874" s="2">
        <v>361.19</v>
      </c>
      <c r="Q874" s="2">
        <v>87426.0</v>
      </c>
      <c r="R874" s="15" t="b">
        <f>ISNUMBER(MATCH(Q874,'Returned order'!A:A,0))</f>
        <v>0</v>
      </c>
      <c r="S874" s="22">
        <v>42088.0</v>
      </c>
      <c r="T874" s="15"/>
      <c r="U874" s="15"/>
      <c r="V874" s="15"/>
    </row>
    <row r="875">
      <c r="A875" s="2">
        <v>26229.0</v>
      </c>
      <c r="B875" s="1" t="s">
        <v>58</v>
      </c>
      <c r="C875" s="2">
        <v>0.1</v>
      </c>
      <c r="D875" s="2">
        <v>226.67</v>
      </c>
      <c r="E875" s="2">
        <v>1559.0</v>
      </c>
      <c r="F875" s="1" t="s">
        <v>1181</v>
      </c>
      <c r="G875" s="1" t="s">
        <v>22</v>
      </c>
      <c r="H875" s="1" t="s">
        <v>37</v>
      </c>
      <c r="I875" s="1" t="s">
        <v>38</v>
      </c>
      <c r="J875" s="1" t="s">
        <v>1182</v>
      </c>
      <c r="K875" s="19" t="s">
        <v>229</v>
      </c>
      <c r="L875" s="20" t="s">
        <v>35</v>
      </c>
      <c r="M875" s="21">
        <f t="shared" si="1"/>
        <v>3</v>
      </c>
      <c r="N875" s="2">
        <v>-390.768</v>
      </c>
      <c r="O875" s="2">
        <v>5.0</v>
      </c>
      <c r="P875" s="2">
        <v>1088.26</v>
      </c>
      <c r="Q875" s="2">
        <v>87424.0</v>
      </c>
      <c r="R875" s="15" t="b">
        <f>ISNUMBER(MATCH(Q875,'Returned order'!A:A,0))</f>
        <v>0</v>
      </c>
      <c r="S875" s="22">
        <v>42109.0</v>
      </c>
      <c r="T875" s="15"/>
      <c r="U875" s="15"/>
      <c r="V875" s="15"/>
    </row>
    <row r="876">
      <c r="A876" s="2">
        <v>19130.0</v>
      </c>
      <c r="B876" s="1" t="s">
        <v>28</v>
      </c>
      <c r="C876" s="2">
        <v>0.02</v>
      </c>
      <c r="D876" s="2">
        <v>11.34</v>
      </c>
      <c r="E876" s="2">
        <v>1561.0</v>
      </c>
      <c r="F876" s="1" t="s">
        <v>1183</v>
      </c>
      <c r="G876" s="1" t="s">
        <v>32</v>
      </c>
      <c r="H876" s="1" t="s">
        <v>23</v>
      </c>
      <c r="I876" s="1" t="s">
        <v>93</v>
      </c>
      <c r="J876" s="1" t="s">
        <v>1184</v>
      </c>
      <c r="K876" s="19" t="s">
        <v>68</v>
      </c>
      <c r="L876" s="20" t="s">
        <v>61</v>
      </c>
      <c r="M876" s="21">
        <f t="shared" si="1"/>
        <v>7</v>
      </c>
      <c r="N876" s="2">
        <v>-155.21</v>
      </c>
      <c r="O876" s="2">
        <v>9.0</v>
      </c>
      <c r="P876" s="2">
        <v>105.75</v>
      </c>
      <c r="Q876" s="2">
        <v>88093.0</v>
      </c>
      <c r="R876" s="15" t="b">
        <f>ISNUMBER(MATCH(Q876,'Returned order'!A:A,0))</f>
        <v>0</v>
      </c>
      <c r="S876" s="22">
        <v>42064.0</v>
      </c>
      <c r="T876" s="15"/>
      <c r="U876" s="15"/>
      <c r="V876" s="15"/>
    </row>
    <row r="877">
      <c r="A877" s="2">
        <v>19208.0</v>
      </c>
      <c r="B877" s="1" t="s">
        <v>58</v>
      </c>
      <c r="C877" s="2">
        <v>0.05</v>
      </c>
      <c r="D877" s="2">
        <v>12.2</v>
      </c>
      <c r="E877" s="2">
        <v>1561.0</v>
      </c>
      <c r="F877" s="1" t="s">
        <v>1183</v>
      </c>
      <c r="G877" s="1" t="s">
        <v>32</v>
      </c>
      <c r="H877" s="1" t="s">
        <v>37</v>
      </c>
      <c r="I877" s="1" t="s">
        <v>42</v>
      </c>
      <c r="J877" s="1" t="s">
        <v>1068</v>
      </c>
      <c r="K877" s="19" t="s">
        <v>68</v>
      </c>
      <c r="L877" s="20" t="s">
        <v>27</v>
      </c>
      <c r="M877" s="21">
        <f t="shared" si="1"/>
        <v>1</v>
      </c>
      <c r="N877" s="2">
        <v>-6.642</v>
      </c>
      <c r="O877" s="2">
        <v>5.0</v>
      </c>
      <c r="P877" s="2">
        <v>63.93</v>
      </c>
      <c r="Q877" s="2">
        <v>88094.0</v>
      </c>
      <c r="R877" s="15" t="b">
        <f>ISNUMBER(MATCH(Q877,'Returned order'!A:A,0))</f>
        <v>0</v>
      </c>
      <c r="S877" s="22">
        <v>42107.0</v>
      </c>
      <c r="T877" s="15"/>
      <c r="U877" s="15"/>
      <c r="V877" s="15"/>
    </row>
    <row r="878">
      <c r="A878" s="2">
        <v>20464.0</v>
      </c>
      <c r="B878" s="1" t="s">
        <v>63</v>
      </c>
      <c r="C878" s="2">
        <v>0.07</v>
      </c>
      <c r="D878" s="2">
        <v>20.95</v>
      </c>
      <c r="E878" s="2">
        <v>1574.0</v>
      </c>
      <c r="F878" s="1" t="s">
        <v>1185</v>
      </c>
      <c r="G878" s="1" t="s">
        <v>22</v>
      </c>
      <c r="H878" s="1" t="s">
        <v>46</v>
      </c>
      <c r="I878" s="1" t="s">
        <v>47</v>
      </c>
      <c r="J878" s="1" t="s">
        <v>1186</v>
      </c>
      <c r="K878" s="19" t="s">
        <v>229</v>
      </c>
      <c r="L878" s="20" t="s">
        <v>27</v>
      </c>
      <c r="M878" s="21">
        <f t="shared" si="1"/>
        <v>1</v>
      </c>
      <c r="N878" s="2">
        <v>27.234</v>
      </c>
      <c r="O878" s="2">
        <v>19.0</v>
      </c>
      <c r="P878" s="2">
        <v>391.4</v>
      </c>
      <c r="Q878" s="2">
        <v>86966.0</v>
      </c>
      <c r="R878" s="15" t="b">
        <f>ISNUMBER(MATCH(Q878,'Returned order'!A:A,0))</f>
        <v>0</v>
      </c>
      <c r="S878" s="22">
        <v>42044.0</v>
      </c>
      <c r="T878" s="15"/>
      <c r="U878" s="15"/>
      <c r="V878" s="15"/>
    </row>
    <row r="879">
      <c r="A879" s="2">
        <v>22127.0</v>
      </c>
      <c r="B879" s="1" t="s">
        <v>170</v>
      </c>
      <c r="C879" s="2">
        <v>0.1</v>
      </c>
      <c r="D879" s="2">
        <v>11.58</v>
      </c>
      <c r="E879" s="2">
        <v>1580.0</v>
      </c>
      <c r="F879" s="1" t="s">
        <v>153</v>
      </c>
      <c r="G879" s="1" t="s">
        <v>32</v>
      </c>
      <c r="H879" s="1" t="s">
        <v>23</v>
      </c>
      <c r="I879" s="1" t="s">
        <v>88</v>
      </c>
      <c r="J879" s="1" t="s">
        <v>154</v>
      </c>
      <c r="K879" s="19" t="s">
        <v>26</v>
      </c>
      <c r="L879" s="20" t="s">
        <v>27</v>
      </c>
      <c r="M879" s="21">
        <f t="shared" si="1"/>
        <v>1</v>
      </c>
      <c r="N879" s="2">
        <v>-8.398</v>
      </c>
      <c r="O879" s="2">
        <v>1.0</v>
      </c>
      <c r="P879" s="2">
        <v>14.53</v>
      </c>
      <c r="Q879" s="2">
        <v>90934.0</v>
      </c>
      <c r="R879" s="15" t="b">
        <f>ISNUMBER(MATCH(Q879,'Returned order'!A:A,0))</f>
        <v>0</v>
      </c>
      <c r="S879" s="22">
        <v>42051.0</v>
      </c>
      <c r="T879" s="15"/>
      <c r="U879" s="15"/>
      <c r="V879" s="15"/>
    </row>
    <row r="880">
      <c r="A880" s="2">
        <v>25013.0</v>
      </c>
      <c r="B880" s="1" t="s">
        <v>63</v>
      </c>
      <c r="C880" s="2">
        <v>0.03</v>
      </c>
      <c r="D880" s="2">
        <v>19.04</v>
      </c>
      <c r="E880" s="2">
        <v>1590.0</v>
      </c>
      <c r="F880" s="1" t="s">
        <v>1187</v>
      </c>
      <c r="G880" s="1" t="s">
        <v>32</v>
      </c>
      <c r="H880" s="1" t="s">
        <v>37</v>
      </c>
      <c r="I880" s="1" t="s">
        <v>42</v>
      </c>
      <c r="J880" s="1" t="s">
        <v>1188</v>
      </c>
      <c r="K880" s="19" t="s">
        <v>26</v>
      </c>
      <c r="L880" s="20" t="s">
        <v>53</v>
      </c>
      <c r="M880" s="21">
        <f t="shared" si="1"/>
        <v>6</v>
      </c>
      <c r="N880" s="2">
        <v>83.7936</v>
      </c>
      <c r="O880" s="2">
        <v>7.0</v>
      </c>
      <c r="P880" s="2">
        <v>144.03</v>
      </c>
      <c r="Q880" s="2">
        <v>86668.0</v>
      </c>
      <c r="R880" s="15" t="b">
        <f>ISNUMBER(MATCH(Q880,'Returned order'!A:A,0))</f>
        <v>0</v>
      </c>
      <c r="S880" s="22">
        <v>42098.0</v>
      </c>
      <c r="T880" s="15"/>
      <c r="U880" s="15"/>
      <c r="V880" s="15"/>
    </row>
    <row r="881">
      <c r="A881" s="2">
        <v>25011.0</v>
      </c>
      <c r="B881" s="1" t="s">
        <v>63</v>
      </c>
      <c r="C881" s="2">
        <v>0.02</v>
      </c>
      <c r="D881" s="2">
        <v>5.53</v>
      </c>
      <c r="E881" s="2">
        <v>1593.0</v>
      </c>
      <c r="F881" s="1" t="s">
        <v>1189</v>
      </c>
      <c r="G881" s="1" t="s">
        <v>32</v>
      </c>
      <c r="H881" s="1" t="s">
        <v>23</v>
      </c>
      <c r="I881" s="1" t="s">
        <v>24</v>
      </c>
      <c r="J881" s="1" t="s">
        <v>1190</v>
      </c>
      <c r="K881" s="19" t="s">
        <v>68</v>
      </c>
      <c r="L881" s="20" t="s">
        <v>53</v>
      </c>
      <c r="M881" s="21">
        <f t="shared" si="1"/>
        <v>6</v>
      </c>
      <c r="N881" s="2">
        <v>-77.82372</v>
      </c>
      <c r="O881" s="2">
        <v>8.0</v>
      </c>
      <c r="P881" s="2">
        <v>48.81</v>
      </c>
      <c r="Q881" s="2">
        <v>86668.0</v>
      </c>
      <c r="R881" s="15" t="b">
        <f>ISNUMBER(MATCH(Q881,'Returned order'!A:A,0))</f>
        <v>0</v>
      </c>
      <c r="S881" s="22">
        <v>42098.0</v>
      </c>
      <c r="T881" s="15"/>
      <c r="U881" s="15"/>
      <c r="V881" s="15"/>
    </row>
    <row r="882">
      <c r="A882" s="2">
        <v>21059.0</v>
      </c>
      <c r="B882" s="1" t="s">
        <v>28</v>
      </c>
      <c r="C882" s="2">
        <v>0.01</v>
      </c>
      <c r="D882" s="2">
        <v>500.98</v>
      </c>
      <c r="E882" s="2">
        <v>1595.0</v>
      </c>
      <c r="F882" s="1" t="s">
        <v>156</v>
      </c>
      <c r="G882" s="1" t="s">
        <v>32</v>
      </c>
      <c r="H882" s="1" t="s">
        <v>37</v>
      </c>
      <c r="I882" s="1" t="s">
        <v>38</v>
      </c>
      <c r="J882" s="1" t="s">
        <v>52</v>
      </c>
      <c r="K882" s="19" t="s">
        <v>26</v>
      </c>
      <c r="L882" s="20" t="s">
        <v>27</v>
      </c>
      <c r="M882" s="21">
        <f t="shared" si="1"/>
        <v>1</v>
      </c>
      <c r="N882" s="2">
        <v>5078.538</v>
      </c>
      <c r="O882" s="2">
        <v>14.0</v>
      </c>
      <c r="P882" s="2">
        <v>7360.2</v>
      </c>
      <c r="Q882" s="2">
        <v>90796.0</v>
      </c>
      <c r="R882" s="15" t="b">
        <f>ISNUMBER(MATCH(Q882,'Returned order'!A:A,0))</f>
        <v>0</v>
      </c>
      <c r="S882" s="22">
        <v>42135.0</v>
      </c>
      <c r="T882" s="15"/>
      <c r="U882" s="15"/>
      <c r="V882" s="15"/>
    </row>
    <row r="883">
      <c r="A883" s="2">
        <v>21060.0</v>
      </c>
      <c r="B883" s="1" t="s">
        <v>28</v>
      </c>
      <c r="C883" s="2">
        <v>0.08</v>
      </c>
      <c r="D883" s="2">
        <v>9.77</v>
      </c>
      <c r="E883" s="2">
        <v>1595.0</v>
      </c>
      <c r="F883" s="1" t="s">
        <v>156</v>
      </c>
      <c r="G883" s="1" t="s">
        <v>32</v>
      </c>
      <c r="H883" s="1" t="s">
        <v>37</v>
      </c>
      <c r="I883" s="1" t="s">
        <v>42</v>
      </c>
      <c r="J883" s="1" t="s">
        <v>158</v>
      </c>
      <c r="K883" s="19" t="s">
        <v>26</v>
      </c>
      <c r="L883" s="20" t="s">
        <v>27</v>
      </c>
      <c r="M883" s="21">
        <f t="shared" si="1"/>
        <v>1</v>
      </c>
      <c r="N883" s="2">
        <v>23.276</v>
      </c>
      <c r="O883" s="2">
        <v>9.0</v>
      </c>
      <c r="P883" s="2">
        <v>89.06</v>
      </c>
      <c r="Q883" s="2">
        <v>90796.0</v>
      </c>
      <c r="R883" s="15" t="b">
        <f>ISNUMBER(MATCH(Q883,'Returned order'!A:A,0))</f>
        <v>0</v>
      </c>
      <c r="S883" s="22">
        <v>42135.0</v>
      </c>
      <c r="T883" s="15"/>
      <c r="U883" s="15"/>
      <c r="V883" s="15"/>
    </row>
    <row r="884">
      <c r="A884" s="2">
        <v>21061.0</v>
      </c>
      <c r="B884" s="1" t="s">
        <v>28</v>
      </c>
      <c r="C884" s="2">
        <v>0.09</v>
      </c>
      <c r="D884" s="2">
        <v>3.28</v>
      </c>
      <c r="E884" s="2">
        <v>1595.0</v>
      </c>
      <c r="F884" s="1" t="s">
        <v>156</v>
      </c>
      <c r="G884" s="1" t="s">
        <v>32</v>
      </c>
      <c r="H884" s="1" t="s">
        <v>23</v>
      </c>
      <c r="I884" s="1" t="s">
        <v>29</v>
      </c>
      <c r="J884" s="1" t="s">
        <v>159</v>
      </c>
      <c r="K884" s="19" t="s">
        <v>26</v>
      </c>
      <c r="L884" s="20" t="s">
        <v>27</v>
      </c>
      <c r="M884" s="21">
        <f t="shared" si="1"/>
        <v>1</v>
      </c>
      <c r="N884" s="2">
        <v>17.754</v>
      </c>
      <c r="O884" s="2">
        <v>42.0</v>
      </c>
      <c r="P884" s="2">
        <v>134.97</v>
      </c>
      <c r="Q884" s="2">
        <v>90796.0</v>
      </c>
      <c r="R884" s="15" t="b">
        <f>ISNUMBER(MATCH(Q884,'Returned order'!A:A,0))</f>
        <v>0</v>
      </c>
      <c r="S884" s="22">
        <v>42135.0</v>
      </c>
      <c r="T884" s="15"/>
      <c r="U884" s="15"/>
      <c r="V884" s="15"/>
    </row>
    <row r="885">
      <c r="A885" s="2">
        <v>21928.0</v>
      </c>
      <c r="B885" s="1" t="s">
        <v>58</v>
      </c>
      <c r="C885" s="2">
        <v>0.1</v>
      </c>
      <c r="D885" s="2">
        <v>9.11</v>
      </c>
      <c r="E885" s="2">
        <v>1602.0</v>
      </c>
      <c r="F885" s="1" t="s">
        <v>1191</v>
      </c>
      <c r="G885" s="1" t="s">
        <v>51</v>
      </c>
      <c r="H885" s="1" t="s">
        <v>23</v>
      </c>
      <c r="I885" s="1" t="s">
        <v>93</v>
      </c>
      <c r="J885" s="1" t="s">
        <v>961</v>
      </c>
      <c r="K885" s="19" t="s">
        <v>26</v>
      </c>
      <c r="L885" s="20" t="s">
        <v>76</v>
      </c>
      <c r="M885" s="21">
        <f t="shared" si="1"/>
        <v>5</v>
      </c>
      <c r="N885" s="2">
        <v>-3.9312</v>
      </c>
      <c r="O885" s="2">
        <v>2.0</v>
      </c>
      <c r="P885" s="2">
        <v>17.42</v>
      </c>
      <c r="Q885" s="2">
        <v>89680.0</v>
      </c>
      <c r="R885" s="15" t="b">
        <f>ISNUMBER(MATCH(Q885,'Returned order'!A:A,0))</f>
        <v>0</v>
      </c>
      <c r="S885" s="22">
        <v>42104.0</v>
      </c>
      <c r="T885" s="15"/>
      <c r="U885" s="15"/>
      <c r="V885" s="15"/>
    </row>
    <row r="886">
      <c r="A886" s="2">
        <v>23533.0</v>
      </c>
      <c r="B886" s="1" t="s">
        <v>58</v>
      </c>
      <c r="C886" s="2">
        <v>0.09</v>
      </c>
      <c r="D886" s="2">
        <v>2.18</v>
      </c>
      <c r="E886" s="2">
        <v>1603.0</v>
      </c>
      <c r="F886" s="1" t="s">
        <v>1192</v>
      </c>
      <c r="G886" s="1" t="s">
        <v>66</v>
      </c>
      <c r="H886" s="1" t="s">
        <v>23</v>
      </c>
      <c r="I886" s="1" t="s">
        <v>81</v>
      </c>
      <c r="J886" s="1" t="s">
        <v>1193</v>
      </c>
      <c r="K886" s="19" t="s">
        <v>26</v>
      </c>
      <c r="L886" s="20" t="s">
        <v>76</v>
      </c>
      <c r="M886" s="21">
        <f t="shared" si="1"/>
        <v>5</v>
      </c>
      <c r="N886" s="2">
        <v>2.4548</v>
      </c>
      <c r="O886" s="2">
        <v>9.0</v>
      </c>
      <c r="P886" s="2">
        <v>19.12</v>
      </c>
      <c r="Q886" s="2">
        <v>89679.0</v>
      </c>
      <c r="R886" s="15" t="b">
        <f>ISNUMBER(MATCH(Q886,'Returned order'!A:A,0))</f>
        <v>0</v>
      </c>
      <c r="S886" s="22">
        <v>42020.0</v>
      </c>
      <c r="T886" s="15"/>
      <c r="U886" s="15"/>
      <c r="V886" s="15"/>
    </row>
    <row r="887">
      <c r="A887" s="2">
        <v>23534.0</v>
      </c>
      <c r="B887" s="1" t="s">
        <v>58</v>
      </c>
      <c r="C887" s="2">
        <v>0.05</v>
      </c>
      <c r="D887" s="2">
        <v>179.29</v>
      </c>
      <c r="E887" s="2">
        <v>1603.0</v>
      </c>
      <c r="F887" s="1" t="s">
        <v>1192</v>
      </c>
      <c r="G887" s="1" t="s">
        <v>66</v>
      </c>
      <c r="H887" s="1" t="s">
        <v>37</v>
      </c>
      <c r="I887" s="1" t="s">
        <v>73</v>
      </c>
      <c r="J887" s="1" t="s">
        <v>539</v>
      </c>
      <c r="K887" s="19" t="s">
        <v>26</v>
      </c>
      <c r="L887" s="20" t="s">
        <v>76</v>
      </c>
      <c r="M887" s="21">
        <f t="shared" si="1"/>
        <v>5</v>
      </c>
      <c r="N887" s="2">
        <v>-537.2797773</v>
      </c>
      <c r="O887" s="2">
        <v>1.0</v>
      </c>
      <c r="P887" s="2">
        <v>186.64</v>
      </c>
      <c r="Q887" s="2">
        <v>89679.0</v>
      </c>
      <c r="R887" s="15" t="b">
        <f>ISNUMBER(MATCH(Q887,'Returned order'!A:A,0))</f>
        <v>0</v>
      </c>
      <c r="S887" s="22">
        <v>42020.0</v>
      </c>
      <c r="T887" s="15"/>
      <c r="U887" s="15"/>
      <c r="V887" s="15"/>
    </row>
    <row r="888">
      <c r="A888" s="2">
        <v>18450.0</v>
      </c>
      <c r="B888" s="1" t="s">
        <v>63</v>
      </c>
      <c r="C888" s="2">
        <v>0.05</v>
      </c>
      <c r="D888" s="2">
        <v>1.98</v>
      </c>
      <c r="E888" s="2">
        <v>1606.0</v>
      </c>
      <c r="F888" s="1" t="s">
        <v>1194</v>
      </c>
      <c r="G888" s="1" t="s">
        <v>51</v>
      </c>
      <c r="H888" s="1" t="s">
        <v>23</v>
      </c>
      <c r="I888" s="1" t="s">
        <v>24</v>
      </c>
      <c r="J888" s="1" t="s">
        <v>1195</v>
      </c>
      <c r="K888" s="19" t="s">
        <v>26</v>
      </c>
      <c r="L888" s="20" t="s">
        <v>35</v>
      </c>
      <c r="M888" s="21">
        <f t="shared" si="1"/>
        <v>3</v>
      </c>
      <c r="N888" s="2">
        <v>-14.35982</v>
      </c>
      <c r="O888" s="2">
        <v>1.0</v>
      </c>
      <c r="P888" s="2">
        <v>3.53</v>
      </c>
      <c r="Q888" s="2">
        <v>87993.0</v>
      </c>
      <c r="R888" s="15" t="b">
        <f>ISNUMBER(MATCH(Q888,'Returned order'!A:A,0))</f>
        <v>0</v>
      </c>
      <c r="S888" s="22">
        <v>42011.0</v>
      </c>
      <c r="T888" s="15"/>
      <c r="U888" s="15"/>
      <c r="V888" s="15"/>
    </row>
    <row r="889">
      <c r="A889" s="2">
        <v>18451.0</v>
      </c>
      <c r="B889" s="1" t="s">
        <v>63</v>
      </c>
      <c r="C889" s="2">
        <v>0.07</v>
      </c>
      <c r="D889" s="2">
        <v>699.99</v>
      </c>
      <c r="E889" s="2">
        <v>1606.0</v>
      </c>
      <c r="F889" s="1" t="s">
        <v>1194</v>
      </c>
      <c r="G889" s="1" t="s">
        <v>51</v>
      </c>
      <c r="H889" s="1" t="s">
        <v>46</v>
      </c>
      <c r="I889" s="1" t="s">
        <v>138</v>
      </c>
      <c r="J889" s="1" t="s">
        <v>511</v>
      </c>
      <c r="K889" s="19" t="s">
        <v>26</v>
      </c>
      <c r="L889" s="20" t="s">
        <v>35</v>
      </c>
      <c r="M889" s="21">
        <f t="shared" si="1"/>
        <v>3</v>
      </c>
      <c r="N889" s="2">
        <v>-2870.2776</v>
      </c>
      <c r="O889" s="2">
        <v>1.0</v>
      </c>
      <c r="P889" s="2">
        <v>706.56</v>
      </c>
      <c r="Q889" s="2">
        <v>87993.0</v>
      </c>
      <c r="R889" s="15" t="b">
        <f>ISNUMBER(MATCH(Q889,'Returned order'!A:A,0))</f>
        <v>0</v>
      </c>
      <c r="S889" s="22">
        <v>42011.0</v>
      </c>
      <c r="T889" s="15"/>
      <c r="U889" s="15"/>
      <c r="V889" s="15"/>
    </row>
    <row r="890">
      <c r="A890" s="2">
        <v>18452.0</v>
      </c>
      <c r="B890" s="1" t="s">
        <v>63</v>
      </c>
      <c r="C890" s="2">
        <v>0.07</v>
      </c>
      <c r="D890" s="2">
        <v>6783.02</v>
      </c>
      <c r="E890" s="2">
        <v>1606.0</v>
      </c>
      <c r="F890" s="1" t="s">
        <v>1194</v>
      </c>
      <c r="G890" s="1" t="s">
        <v>51</v>
      </c>
      <c r="H890" s="1" t="s">
        <v>46</v>
      </c>
      <c r="I890" s="1" t="s">
        <v>103</v>
      </c>
      <c r="J890" s="1" t="s">
        <v>973</v>
      </c>
      <c r="K890" s="19" t="s">
        <v>26</v>
      </c>
      <c r="L890" s="20" t="s">
        <v>35</v>
      </c>
      <c r="M890" s="21">
        <f t="shared" si="1"/>
        <v>3</v>
      </c>
      <c r="N890" s="2">
        <v>77.9836</v>
      </c>
      <c r="O890" s="2">
        <v>2.0</v>
      </c>
      <c r="P890" s="2">
        <v>13121.07</v>
      </c>
      <c r="Q890" s="2">
        <v>87993.0</v>
      </c>
      <c r="R890" s="15" t="b">
        <f>ISNUMBER(MATCH(Q890,'Returned order'!A:A,0))</f>
        <v>0</v>
      </c>
      <c r="S890" s="22">
        <v>42011.0</v>
      </c>
      <c r="T890" s="15"/>
      <c r="U890" s="15"/>
      <c r="V890" s="15"/>
    </row>
    <row r="891">
      <c r="A891" s="2">
        <v>22921.0</v>
      </c>
      <c r="B891" s="1" t="s">
        <v>49</v>
      </c>
      <c r="C891" s="2">
        <v>0.01</v>
      </c>
      <c r="D891" s="2">
        <v>15.16</v>
      </c>
      <c r="E891" s="2">
        <v>1607.0</v>
      </c>
      <c r="F891" s="1" t="s">
        <v>1196</v>
      </c>
      <c r="G891" s="1" t="s">
        <v>51</v>
      </c>
      <c r="H891" s="1" t="s">
        <v>23</v>
      </c>
      <c r="I891" s="1" t="s">
        <v>24</v>
      </c>
      <c r="J891" s="1" t="s">
        <v>1197</v>
      </c>
      <c r="K891" s="19" t="s">
        <v>26</v>
      </c>
      <c r="L891" s="20" t="s">
        <v>35</v>
      </c>
      <c r="M891" s="21">
        <f t="shared" si="1"/>
        <v>3</v>
      </c>
      <c r="N891" s="2">
        <v>-200.859</v>
      </c>
      <c r="O891" s="2">
        <v>7.0</v>
      </c>
      <c r="P891" s="2">
        <v>110.93</v>
      </c>
      <c r="Q891" s="2">
        <v>87994.0</v>
      </c>
      <c r="R891" s="15" t="b">
        <f>ISNUMBER(MATCH(Q891,'Returned order'!A:A,0))</f>
        <v>0</v>
      </c>
      <c r="S891" s="22">
        <v>42109.0</v>
      </c>
      <c r="T891" s="15"/>
      <c r="U891" s="15"/>
      <c r="V891" s="15"/>
    </row>
    <row r="892">
      <c r="A892" s="2">
        <v>24951.0</v>
      </c>
      <c r="B892" s="1" t="s">
        <v>170</v>
      </c>
      <c r="C892" s="2">
        <v>0.1</v>
      </c>
      <c r="D892" s="2">
        <v>5.68</v>
      </c>
      <c r="E892" s="2">
        <v>1607.0</v>
      </c>
      <c r="F892" s="1" t="s">
        <v>1196</v>
      </c>
      <c r="G892" s="1" t="s">
        <v>51</v>
      </c>
      <c r="H892" s="1" t="s">
        <v>23</v>
      </c>
      <c r="I892" s="1" t="s">
        <v>257</v>
      </c>
      <c r="J892" s="1" t="s">
        <v>1198</v>
      </c>
      <c r="K892" s="19" t="s">
        <v>26</v>
      </c>
      <c r="L892" s="20" t="s">
        <v>76</v>
      </c>
      <c r="M892" s="21">
        <f t="shared" si="1"/>
        <v>5</v>
      </c>
      <c r="N892" s="2">
        <v>-33.2956</v>
      </c>
      <c r="O892" s="2">
        <v>21.0</v>
      </c>
      <c r="P892" s="2">
        <v>118.35</v>
      </c>
      <c r="Q892" s="2">
        <v>87995.0</v>
      </c>
      <c r="R892" s="15" t="b">
        <f>ISNUMBER(MATCH(Q892,'Returned order'!A:A,0))</f>
        <v>0</v>
      </c>
      <c r="S892" s="22">
        <v>42041.0</v>
      </c>
      <c r="T892" s="15"/>
      <c r="U892" s="15"/>
      <c r="V892" s="15"/>
    </row>
    <row r="893">
      <c r="A893" s="2">
        <v>22682.0</v>
      </c>
      <c r="B893" s="1" t="s">
        <v>28</v>
      </c>
      <c r="C893" s="2">
        <v>0.03</v>
      </c>
      <c r="D893" s="2">
        <v>2.16</v>
      </c>
      <c r="E893" s="2">
        <v>1609.0</v>
      </c>
      <c r="F893" s="1" t="s">
        <v>1199</v>
      </c>
      <c r="G893" s="1" t="s">
        <v>22</v>
      </c>
      <c r="H893" s="1" t="s">
        <v>23</v>
      </c>
      <c r="I893" s="1" t="s">
        <v>24</v>
      </c>
      <c r="J893" s="1" t="s">
        <v>1148</v>
      </c>
      <c r="K893" s="19" t="s">
        <v>34</v>
      </c>
      <c r="L893" s="20" t="s">
        <v>27</v>
      </c>
      <c r="M893" s="21">
        <f t="shared" si="1"/>
        <v>1</v>
      </c>
      <c r="N893" s="2">
        <v>-90.5855</v>
      </c>
      <c r="O893" s="2">
        <v>7.0</v>
      </c>
      <c r="P893" s="2">
        <v>17.31</v>
      </c>
      <c r="Q893" s="2">
        <v>87824.0</v>
      </c>
      <c r="R893" s="15" t="b">
        <f>ISNUMBER(MATCH(Q893,'Returned order'!A:A,0))</f>
        <v>0</v>
      </c>
      <c r="S893" s="22">
        <v>42135.0</v>
      </c>
      <c r="T893" s="15"/>
      <c r="U893" s="15"/>
      <c r="V893" s="15"/>
    </row>
    <row r="894">
      <c r="A894" s="2">
        <v>22683.0</v>
      </c>
      <c r="B894" s="1" t="s">
        <v>28</v>
      </c>
      <c r="C894" s="2">
        <v>0.03</v>
      </c>
      <c r="D894" s="2">
        <v>9.71</v>
      </c>
      <c r="E894" s="2">
        <v>1609.0</v>
      </c>
      <c r="F894" s="1" t="s">
        <v>1199</v>
      </c>
      <c r="G894" s="1" t="s">
        <v>22</v>
      </c>
      <c r="H894" s="1" t="s">
        <v>23</v>
      </c>
      <c r="I894" s="1" t="s">
        <v>120</v>
      </c>
      <c r="J894" s="1" t="s">
        <v>463</v>
      </c>
      <c r="K894" s="19" t="s">
        <v>34</v>
      </c>
      <c r="L894" s="20" t="s">
        <v>27</v>
      </c>
      <c r="M894" s="21">
        <f t="shared" si="1"/>
        <v>1</v>
      </c>
      <c r="N894" s="2">
        <v>-36.9</v>
      </c>
      <c r="O894" s="2">
        <v>2.0</v>
      </c>
      <c r="P894" s="2">
        <v>23.56</v>
      </c>
      <c r="Q894" s="2">
        <v>87824.0</v>
      </c>
      <c r="R894" s="15" t="b">
        <f>ISNUMBER(MATCH(Q894,'Returned order'!A:A,0))</f>
        <v>0</v>
      </c>
      <c r="S894" s="22">
        <v>42135.0</v>
      </c>
      <c r="T894" s="15"/>
      <c r="U894" s="15"/>
      <c r="V894" s="15"/>
    </row>
    <row r="895">
      <c r="A895" s="2">
        <v>18394.0</v>
      </c>
      <c r="B895" s="1" t="s">
        <v>170</v>
      </c>
      <c r="C895" s="2">
        <v>0.06</v>
      </c>
      <c r="D895" s="2">
        <v>40.97</v>
      </c>
      <c r="E895" s="2">
        <v>1614.0</v>
      </c>
      <c r="F895" s="1" t="s">
        <v>1200</v>
      </c>
      <c r="G895" s="1" t="s">
        <v>22</v>
      </c>
      <c r="H895" s="1" t="s">
        <v>46</v>
      </c>
      <c r="I895" s="1" t="s">
        <v>47</v>
      </c>
      <c r="J895" s="1" t="s">
        <v>1201</v>
      </c>
      <c r="K895" s="19" t="s">
        <v>26</v>
      </c>
      <c r="L895" s="20" t="s">
        <v>35</v>
      </c>
      <c r="M895" s="21">
        <f t="shared" si="1"/>
        <v>3</v>
      </c>
      <c r="N895" s="2">
        <v>341.1981</v>
      </c>
      <c r="O895" s="2">
        <v>12.0</v>
      </c>
      <c r="P895" s="2">
        <v>494.49</v>
      </c>
      <c r="Q895" s="2">
        <v>87823.0</v>
      </c>
      <c r="R895" s="15" t="b">
        <f>ISNUMBER(MATCH(Q895,'Returned order'!A:A,0))</f>
        <v>0</v>
      </c>
      <c r="S895" s="22">
        <v>42102.0</v>
      </c>
      <c r="T895" s="15"/>
      <c r="U895" s="15"/>
      <c r="V895" s="15"/>
    </row>
    <row r="896">
      <c r="A896" s="2">
        <v>19501.0</v>
      </c>
      <c r="B896" s="1" t="s">
        <v>28</v>
      </c>
      <c r="C896" s="2">
        <v>0.09</v>
      </c>
      <c r="D896" s="2">
        <v>12.88</v>
      </c>
      <c r="E896" s="2">
        <v>1618.0</v>
      </c>
      <c r="F896" s="1" t="s">
        <v>1202</v>
      </c>
      <c r="G896" s="1" t="s">
        <v>22</v>
      </c>
      <c r="H896" s="1" t="s">
        <v>23</v>
      </c>
      <c r="I896" s="1" t="s">
        <v>257</v>
      </c>
      <c r="J896" s="1" t="s">
        <v>1203</v>
      </c>
      <c r="K896" s="19" t="s">
        <v>68</v>
      </c>
      <c r="L896" s="20" t="s">
        <v>27</v>
      </c>
      <c r="M896" s="21">
        <f t="shared" si="1"/>
        <v>1</v>
      </c>
      <c r="N896" s="2">
        <v>-175.13</v>
      </c>
      <c r="O896" s="2">
        <v>13.0</v>
      </c>
      <c r="P896" s="2">
        <v>158.13</v>
      </c>
      <c r="Q896" s="2">
        <v>90248.0</v>
      </c>
      <c r="R896" s="15" t="b">
        <f>ISNUMBER(MATCH(Q896,'Returned order'!A:A,0))</f>
        <v>0</v>
      </c>
      <c r="S896" s="22">
        <v>42100.0</v>
      </c>
      <c r="T896" s="15"/>
      <c r="U896" s="15"/>
      <c r="V896" s="15"/>
    </row>
    <row r="897">
      <c r="A897" s="2">
        <v>19502.0</v>
      </c>
      <c r="B897" s="1" t="s">
        <v>28</v>
      </c>
      <c r="C897" s="2">
        <v>0.02</v>
      </c>
      <c r="D897" s="2">
        <v>45.99</v>
      </c>
      <c r="E897" s="2">
        <v>1620.0</v>
      </c>
      <c r="F897" s="1" t="s">
        <v>161</v>
      </c>
      <c r="G897" s="1" t="s">
        <v>22</v>
      </c>
      <c r="H897" s="1" t="s">
        <v>46</v>
      </c>
      <c r="I897" s="1" t="s">
        <v>85</v>
      </c>
      <c r="J897" s="1" t="s">
        <v>162</v>
      </c>
      <c r="K897" s="19" t="s">
        <v>26</v>
      </c>
      <c r="L897" s="20" t="s">
        <v>27</v>
      </c>
      <c r="M897" s="21">
        <f t="shared" si="1"/>
        <v>1</v>
      </c>
      <c r="N897" s="2">
        <v>3.96</v>
      </c>
      <c r="O897" s="2">
        <v>4.0</v>
      </c>
      <c r="P897" s="2">
        <v>163.01</v>
      </c>
      <c r="Q897" s="2">
        <v>90248.0</v>
      </c>
      <c r="R897" s="15" t="b">
        <f>ISNUMBER(MATCH(Q897,'Returned order'!A:A,0))</f>
        <v>0</v>
      </c>
      <c r="S897" s="22">
        <v>42100.0</v>
      </c>
      <c r="T897" s="15"/>
      <c r="U897" s="15"/>
      <c r="V897" s="15"/>
    </row>
    <row r="898">
      <c r="A898" s="2">
        <v>23750.0</v>
      </c>
      <c r="B898" s="1" t="s">
        <v>28</v>
      </c>
      <c r="C898" s="2">
        <v>0.06</v>
      </c>
      <c r="D898" s="2">
        <v>15.01</v>
      </c>
      <c r="E898" s="2">
        <v>1623.0</v>
      </c>
      <c r="F898" s="1" t="s">
        <v>1204</v>
      </c>
      <c r="G898" s="1" t="s">
        <v>66</v>
      </c>
      <c r="H898" s="1" t="s">
        <v>23</v>
      </c>
      <c r="I898" s="1" t="s">
        <v>24</v>
      </c>
      <c r="J898" s="1" t="s">
        <v>1205</v>
      </c>
      <c r="K898" s="19" t="s">
        <v>68</v>
      </c>
      <c r="L898" s="20" t="s">
        <v>61</v>
      </c>
      <c r="M898" s="21">
        <f t="shared" si="1"/>
        <v>7</v>
      </c>
      <c r="N898" s="2">
        <v>1.6169</v>
      </c>
      <c r="O898" s="2">
        <v>22.0</v>
      </c>
      <c r="P898" s="2">
        <v>333.04</v>
      </c>
      <c r="Q898" s="2">
        <v>87611.0</v>
      </c>
      <c r="R898" s="15" t="b">
        <f>ISNUMBER(MATCH(Q898,'Returned order'!A:A,0))</f>
        <v>0</v>
      </c>
      <c r="S898" s="22">
        <v>42148.0</v>
      </c>
      <c r="T898" s="15"/>
      <c r="U898" s="15"/>
      <c r="V898" s="15"/>
    </row>
    <row r="899">
      <c r="A899" s="2">
        <v>23751.0</v>
      </c>
      <c r="B899" s="1" t="s">
        <v>28</v>
      </c>
      <c r="C899" s="2">
        <v>0.09</v>
      </c>
      <c r="D899" s="2">
        <v>40.48</v>
      </c>
      <c r="E899" s="2">
        <v>1623.0</v>
      </c>
      <c r="F899" s="1" t="s">
        <v>1204</v>
      </c>
      <c r="G899" s="1" t="s">
        <v>66</v>
      </c>
      <c r="H899" s="1" t="s">
        <v>46</v>
      </c>
      <c r="I899" s="1" t="s">
        <v>47</v>
      </c>
      <c r="J899" s="1" t="s">
        <v>676</v>
      </c>
      <c r="K899" s="19" t="s">
        <v>68</v>
      </c>
      <c r="L899" s="20" t="s">
        <v>61</v>
      </c>
      <c r="M899" s="21">
        <f t="shared" si="1"/>
        <v>7</v>
      </c>
      <c r="N899" s="2">
        <v>65.394</v>
      </c>
      <c r="O899" s="2">
        <v>12.0</v>
      </c>
      <c r="P899" s="2">
        <v>472.44</v>
      </c>
      <c r="Q899" s="2">
        <v>87611.0</v>
      </c>
      <c r="R899" s="15" t="b">
        <f>ISNUMBER(MATCH(Q899,'Returned order'!A:A,0))</f>
        <v>0</v>
      </c>
      <c r="S899" s="22">
        <v>42148.0</v>
      </c>
      <c r="T899" s="15"/>
      <c r="U899" s="15"/>
      <c r="V899" s="15"/>
    </row>
    <row r="900">
      <c r="A900" s="2">
        <v>23752.0</v>
      </c>
      <c r="B900" s="1" t="s">
        <v>28</v>
      </c>
      <c r="C900" s="2">
        <v>0.05</v>
      </c>
      <c r="D900" s="2">
        <v>12.28</v>
      </c>
      <c r="E900" s="2">
        <v>1623.0</v>
      </c>
      <c r="F900" s="1" t="s">
        <v>1204</v>
      </c>
      <c r="G900" s="1" t="s">
        <v>66</v>
      </c>
      <c r="H900" s="1" t="s">
        <v>23</v>
      </c>
      <c r="I900" s="1" t="s">
        <v>120</v>
      </c>
      <c r="J900" s="1" t="s">
        <v>1100</v>
      </c>
      <c r="K900" s="19" t="s">
        <v>68</v>
      </c>
      <c r="L900" s="20" t="s">
        <v>61</v>
      </c>
      <c r="M900" s="21">
        <f t="shared" si="1"/>
        <v>7</v>
      </c>
      <c r="N900" s="2">
        <v>1.336</v>
      </c>
      <c r="O900" s="2">
        <v>1.0</v>
      </c>
      <c r="P900" s="2">
        <v>18.73</v>
      </c>
      <c r="Q900" s="2">
        <v>87611.0</v>
      </c>
      <c r="R900" s="15" t="b">
        <f>ISNUMBER(MATCH(Q900,'Returned order'!A:A,0))</f>
        <v>0</v>
      </c>
      <c r="S900" s="22">
        <v>42148.0</v>
      </c>
      <c r="T900" s="15"/>
      <c r="U900" s="15"/>
      <c r="V900" s="15"/>
    </row>
    <row r="901">
      <c r="A901" s="2">
        <v>21145.0</v>
      </c>
      <c r="B901" s="1" t="s">
        <v>63</v>
      </c>
      <c r="C901" s="2">
        <v>0.08</v>
      </c>
      <c r="D901" s="2">
        <v>213.45</v>
      </c>
      <c r="E901" s="2">
        <v>1625.0</v>
      </c>
      <c r="F901" s="1" t="s">
        <v>163</v>
      </c>
      <c r="G901" s="1" t="s">
        <v>51</v>
      </c>
      <c r="H901" s="1" t="s">
        <v>46</v>
      </c>
      <c r="I901" s="1" t="s">
        <v>103</v>
      </c>
      <c r="J901" s="1" t="s">
        <v>317</v>
      </c>
      <c r="K901" s="19" t="s">
        <v>26</v>
      </c>
      <c r="L901" s="20" t="s">
        <v>76</v>
      </c>
      <c r="M901" s="21">
        <f t="shared" si="1"/>
        <v>5</v>
      </c>
      <c r="N901" s="2">
        <v>1674.7542</v>
      </c>
      <c r="O901" s="2">
        <v>12.0</v>
      </c>
      <c r="P901" s="2">
        <v>2427.18</v>
      </c>
      <c r="Q901" s="2">
        <v>90600.0</v>
      </c>
      <c r="R901" s="15" t="b">
        <f>ISNUMBER(MATCH(Q901,'Returned order'!A:A,0))</f>
        <v>0</v>
      </c>
      <c r="S901" s="22">
        <v>42090.0</v>
      </c>
      <c r="T901" s="15"/>
      <c r="U901" s="15"/>
      <c r="V901" s="15"/>
    </row>
    <row r="902">
      <c r="A902" s="2">
        <v>21146.0</v>
      </c>
      <c r="B902" s="1" t="s">
        <v>63</v>
      </c>
      <c r="C902" s="2">
        <v>0.1</v>
      </c>
      <c r="D902" s="2">
        <v>55.98</v>
      </c>
      <c r="E902" s="2">
        <v>1625.0</v>
      </c>
      <c r="F902" s="1" t="s">
        <v>163</v>
      </c>
      <c r="G902" s="1" t="s">
        <v>51</v>
      </c>
      <c r="H902" s="1" t="s">
        <v>23</v>
      </c>
      <c r="I902" s="1" t="s">
        <v>93</v>
      </c>
      <c r="J902" s="1" t="s">
        <v>1206</v>
      </c>
      <c r="K902" s="19" t="s">
        <v>26</v>
      </c>
      <c r="L902" s="20" t="s">
        <v>76</v>
      </c>
      <c r="M902" s="21">
        <f t="shared" si="1"/>
        <v>5</v>
      </c>
      <c r="N902" s="2">
        <v>300.0465</v>
      </c>
      <c r="O902" s="2">
        <v>8.0</v>
      </c>
      <c r="P902" s="2">
        <v>434.85</v>
      </c>
      <c r="Q902" s="2">
        <v>90600.0</v>
      </c>
      <c r="R902" s="15" t="b">
        <f>ISNUMBER(MATCH(Q902,'Returned order'!A:A,0))</f>
        <v>0</v>
      </c>
      <c r="S902" s="22">
        <v>42090.0</v>
      </c>
      <c r="T902" s="15"/>
      <c r="U902" s="15"/>
      <c r="V902" s="15"/>
    </row>
    <row r="903">
      <c r="A903" s="2">
        <v>21147.0</v>
      </c>
      <c r="B903" s="1" t="s">
        <v>63</v>
      </c>
      <c r="C903" s="2">
        <v>0.0</v>
      </c>
      <c r="D903" s="2">
        <v>16.06</v>
      </c>
      <c r="E903" s="2">
        <v>1625.0</v>
      </c>
      <c r="F903" s="1" t="s">
        <v>163</v>
      </c>
      <c r="G903" s="1" t="s">
        <v>51</v>
      </c>
      <c r="H903" s="1" t="s">
        <v>23</v>
      </c>
      <c r="I903" s="1" t="s">
        <v>120</v>
      </c>
      <c r="J903" s="1" t="s">
        <v>1207</v>
      </c>
      <c r="K903" s="19" t="s">
        <v>26</v>
      </c>
      <c r="L903" s="20" t="s">
        <v>76</v>
      </c>
      <c r="M903" s="21">
        <f t="shared" si="1"/>
        <v>5</v>
      </c>
      <c r="N903" s="2">
        <v>-28.09</v>
      </c>
      <c r="O903" s="2">
        <v>1.0</v>
      </c>
      <c r="P903" s="2">
        <v>19.16</v>
      </c>
      <c r="Q903" s="2">
        <v>90600.0</v>
      </c>
      <c r="R903" s="15" t="b">
        <f>ISNUMBER(MATCH(Q903,'Returned order'!A:A,0))</f>
        <v>0</v>
      </c>
      <c r="S903" s="22">
        <v>42090.0</v>
      </c>
      <c r="T903" s="15"/>
      <c r="U903" s="15"/>
      <c r="V903" s="15"/>
    </row>
    <row r="904">
      <c r="A904" s="2">
        <v>21270.0</v>
      </c>
      <c r="B904" s="1" t="s">
        <v>63</v>
      </c>
      <c r="C904" s="2">
        <v>0.0</v>
      </c>
      <c r="D904" s="2">
        <v>209.37</v>
      </c>
      <c r="E904" s="2">
        <v>1625.0</v>
      </c>
      <c r="F904" s="1" t="s">
        <v>163</v>
      </c>
      <c r="G904" s="1" t="s">
        <v>51</v>
      </c>
      <c r="H904" s="1" t="s">
        <v>37</v>
      </c>
      <c r="I904" s="1" t="s">
        <v>73</v>
      </c>
      <c r="J904" s="1" t="s">
        <v>164</v>
      </c>
      <c r="K904" s="19" t="s">
        <v>26</v>
      </c>
      <c r="L904" s="20" t="s">
        <v>27</v>
      </c>
      <c r="M904" s="21">
        <f t="shared" si="1"/>
        <v>1</v>
      </c>
      <c r="N904" s="2">
        <v>-263.1119291</v>
      </c>
      <c r="O904" s="2">
        <v>11.0</v>
      </c>
      <c r="P904" s="2">
        <v>1959.88</v>
      </c>
      <c r="Q904" s="2">
        <v>90601.0</v>
      </c>
      <c r="R904" s="15" t="b">
        <f>ISNUMBER(MATCH(Q904,'Returned order'!A:A,0))</f>
        <v>0</v>
      </c>
      <c r="S904" s="22">
        <v>42051.0</v>
      </c>
      <c r="T904" s="15"/>
      <c r="U904" s="15"/>
      <c r="V904" s="15"/>
    </row>
    <row r="905">
      <c r="A905" s="2">
        <v>23604.0</v>
      </c>
      <c r="B905" s="1" t="s">
        <v>28</v>
      </c>
      <c r="C905" s="2">
        <v>0.06</v>
      </c>
      <c r="D905" s="2">
        <v>43.57</v>
      </c>
      <c r="E905" s="2">
        <v>1627.0</v>
      </c>
      <c r="F905" s="1" t="s">
        <v>1208</v>
      </c>
      <c r="G905" s="1" t="s">
        <v>32</v>
      </c>
      <c r="H905" s="1" t="s">
        <v>23</v>
      </c>
      <c r="I905" s="1" t="s">
        <v>120</v>
      </c>
      <c r="J905" s="1" t="s">
        <v>1209</v>
      </c>
      <c r="K905" s="19" t="s">
        <v>229</v>
      </c>
      <c r="L905" s="20" t="s">
        <v>70</v>
      </c>
      <c r="M905" s="21">
        <f t="shared" si="1"/>
        <v>4</v>
      </c>
      <c r="N905" s="2">
        <v>-38.808</v>
      </c>
      <c r="O905" s="2">
        <v>17.0</v>
      </c>
      <c r="P905" s="2">
        <v>710.16</v>
      </c>
      <c r="Q905" s="2">
        <v>90602.0</v>
      </c>
      <c r="R905" s="15" t="b">
        <f>ISNUMBER(MATCH(Q905,'Returned order'!A:A,0))</f>
        <v>0</v>
      </c>
      <c r="S905" s="22">
        <v>42152.0</v>
      </c>
      <c r="T905" s="15"/>
      <c r="U905" s="15"/>
      <c r="V905" s="15"/>
    </row>
    <row r="906">
      <c r="A906" s="2">
        <v>19769.0</v>
      </c>
      <c r="B906" s="1" t="s">
        <v>28</v>
      </c>
      <c r="C906" s="2">
        <v>0.08</v>
      </c>
      <c r="D906" s="2">
        <v>8.09</v>
      </c>
      <c r="E906" s="2">
        <v>1632.0</v>
      </c>
      <c r="F906" s="1" t="s">
        <v>1210</v>
      </c>
      <c r="G906" s="1" t="s">
        <v>51</v>
      </c>
      <c r="H906" s="1" t="s">
        <v>37</v>
      </c>
      <c r="I906" s="1" t="s">
        <v>42</v>
      </c>
      <c r="J906" s="1" t="s">
        <v>43</v>
      </c>
      <c r="K906" s="19" t="s">
        <v>229</v>
      </c>
      <c r="L906" s="20" t="s">
        <v>70</v>
      </c>
      <c r="M906" s="21">
        <f t="shared" si="1"/>
        <v>4</v>
      </c>
      <c r="N906" s="2">
        <v>15.984</v>
      </c>
      <c r="O906" s="2">
        <v>6.0</v>
      </c>
      <c r="P906" s="2">
        <v>48.25</v>
      </c>
      <c r="Q906" s="2">
        <v>90530.0</v>
      </c>
      <c r="R906" s="15" t="b">
        <f>ISNUMBER(MATCH(Q906,'Returned order'!A:A,0))</f>
        <v>0</v>
      </c>
      <c r="S906" s="22">
        <v>42019.0</v>
      </c>
      <c r="T906" s="15"/>
      <c r="U906" s="15"/>
      <c r="V906" s="15"/>
    </row>
    <row r="907">
      <c r="A907" s="2">
        <v>20359.0</v>
      </c>
      <c r="B907" s="1" t="s">
        <v>28</v>
      </c>
      <c r="C907" s="2">
        <v>0.02</v>
      </c>
      <c r="D907" s="2">
        <v>25.99</v>
      </c>
      <c r="E907" s="2">
        <v>1632.0</v>
      </c>
      <c r="F907" s="1" t="s">
        <v>1210</v>
      </c>
      <c r="G907" s="1" t="s">
        <v>51</v>
      </c>
      <c r="H907" s="1" t="s">
        <v>23</v>
      </c>
      <c r="I907" s="1" t="s">
        <v>29</v>
      </c>
      <c r="J907" s="1" t="s">
        <v>1211</v>
      </c>
      <c r="K907" s="19" t="s">
        <v>229</v>
      </c>
      <c r="L907" s="20" t="s">
        <v>35</v>
      </c>
      <c r="M907" s="21">
        <f t="shared" si="1"/>
        <v>3</v>
      </c>
      <c r="N907" s="2">
        <v>-88.158</v>
      </c>
      <c r="O907" s="2">
        <v>9.0</v>
      </c>
      <c r="P907" s="2">
        <v>243.24</v>
      </c>
      <c r="Q907" s="2">
        <v>90533.0</v>
      </c>
      <c r="R907" s="15" t="b">
        <f>ISNUMBER(MATCH(Q907,'Returned order'!A:A,0))</f>
        <v>0</v>
      </c>
      <c r="S907" s="22">
        <v>42109.0</v>
      </c>
      <c r="T907" s="15"/>
      <c r="U907" s="15"/>
      <c r="V907" s="15"/>
    </row>
    <row r="908">
      <c r="A908" s="2">
        <v>24786.0</v>
      </c>
      <c r="B908" s="1" t="s">
        <v>49</v>
      </c>
      <c r="C908" s="2">
        <v>0.03</v>
      </c>
      <c r="D908" s="2">
        <v>5.98</v>
      </c>
      <c r="E908" s="2">
        <v>1633.0</v>
      </c>
      <c r="F908" s="1" t="s">
        <v>1212</v>
      </c>
      <c r="G908" s="1" t="s">
        <v>51</v>
      </c>
      <c r="H908" s="1" t="s">
        <v>46</v>
      </c>
      <c r="I908" s="1" t="s">
        <v>47</v>
      </c>
      <c r="J908" s="1" t="s">
        <v>880</v>
      </c>
      <c r="K908" s="19" t="s">
        <v>229</v>
      </c>
      <c r="L908" s="20" t="s">
        <v>57</v>
      </c>
      <c r="M908" s="21">
        <f t="shared" si="1"/>
        <v>2</v>
      </c>
      <c r="N908" s="2">
        <v>-76.1068</v>
      </c>
      <c r="O908" s="2">
        <v>6.0</v>
      </c>
      <c r="P908" s="2">
        <v>38.54</v>
      </c>
      <c r="Q908" s="2">
        <v>90531.0</v>
      </c>
      <c r="R908" s="15" t="b">
        <f>ISNUMBER(MATCH(Q908,'Returned order'!A:A,0))</f>
        <v>0</v>
      </c>
      <c r="S908" s="22">
        <v>42045.0</v>
      </c>
      <c r="T908" s="15"/>
      <c r="U908" s="15"/>
      <c r="V908" s="15"/>
    </row>
    <row r="909">
      <c r="A909" s="2">
        <v>26340.0</v>
      </c>
      <c r="B909" s="1" t="s">
        <v>49</v>
      </c>
      <c r="C909" s="2">
        <v>0.08</v>
      </c>
      <c r="D909" s="2">
        <v>100.97</v>
      </c>
      <c r="E909" s="2">
        <v>1634.0</v>
      </c>
      <c r="F909" s="1" t="s">
        <v>1213</v>
      </c>
      <c r="G909" s="1" t="s">
        <v>51</v>
      </c>
      <c r="H909" s="1" t="s">
        <v>46</v>
      </c>
      <c r="I909" s="1" t="s">
        <v>103</v>
      </c>
      <c r="J909" s="1" t="s">
        <v>1214</v>
      </c>
      <c r="K909" s="19" t="s">
        <v>229</v>
      </c>
      <c r="L909" s="20" t="s">
        <v>70</v>
      </c>
      <c r="M909" s="21">
        <f t="shared" si="1"/>
        <v>4</v>
      </c>
      <c r="N909" s="2">
        <v>-73.49412</v>
      </c>
      <c r="O909" s="2">
        <v>15.0</v>
      </c>
      <c r="P909" s="2">
        <v>1483.16</v>
      </c>
      <c r="Q909" s="2">
        <v>90532.0</v>
      </c>
      <c r="R909" s="15" t="b">
        <f>ISNUMBER(MATCH(Q909,'Returned order'!A:A,0))</f>
        <v>0</v>
      </c>
      <c r="S909" s="22">
        <v>42103.0</v>
      </c>
      <c r="T909" s="15"/>
      <c r="U909" s="15"/>
      <c r="V909" s="15"/>
    </row>
    <row r="910">
      <c r="A910" s="2">
        <v>19144.0</v>
      </c>
      <c r="B910" s="1" t="s">
        <v>58</v>
      </c>
      <c r="C910" s="2">
        <v>0.08</v>
      </c>
      <c r="D910" s="2">
        <v>115.99</v>
      </c>
      <c r="E910" s="2">
        <v>1636.0</v>
      </c>
      <c r="F910" s="1" t="s">
        <v>1215</v>
      </c>
      <c r="G910" s="1" t="s">
        <v>51</v>
      </c>
      <c r="H910" s="1" t="s">
        <v>46</v>
      </c>
      <c r="I910" s="1" t="s">
        <v>103</v>
      </c>
      <c r="J910" s="1" t="s">
        <v>1027</v>
      </c>
      <c r="K910" s="19" t="s">
        <v>34</v>
      </c>
      <c r="L910" s="20" t="s">
        <v>35</v>
      </c>
      <c r="M910" s="21">
        <f t="shared" si="1"/>
        <v>3</v>
      </c>
      <c r="N910" s="2">
        <v>-272.860884</v>
      </c>
      <c r="O910" s="2">
        <v>5.0</v>
      </c>
      <c r="P910" s="2">
        <v>562.93</v>
      </c>
      <c r="Q910" s="2">
        <v>89704.0</v>
      </c>
      <c r="R910" s="15" t="b">
        <f>ISNUMBER(MATCH(Q910,'Returned order'!A:A,0))</f>
        <v>0</v>
      </c>
      <c r="S910" s="22">
        <v>42018.0</v>
      </c>
      <c r="T910" s="15"/>
      <c r="U910" s="15"/>
      <c r="V910" s="15"/>
    </row>
    <row r="911">
      <c r="A911" s="2">
        <v>19145.0</v>
      </c>
      <c r="B911" s="1" t="s">
        <v>58</v>
      </c>
      <c r="C911" s="2">
        <v>0.08</v>
      </c>
      <c r="D911" s="2">
        <v>4.28</v>
      </c>
      <c r="E911" s="2">
        <v>1636.0</v>
      </c>
      <c r="F911" s="1" t="s">
        <v>1215</v>
      </c>
      <c r="G911" s="1" t="s">
        <v>51</v>
      </c>
      <c r="H911" s="1" t="s">
        <v>23</v>
      </c>
      <c r="I911" s="1" t="s">
        <v>29</v>
      </c>
      <c r="J911" s="1" t="s">
        <v>1216</v>
      </c>
      <c r="K911" s="19" t="s">
        <v>34</v>
      </c>
      <c r="L911" s="20" t="s">
        <v>35</v>
      </c>
      <c r="M911" s="21">
        <f t="shared" si="1"/>
        <v>3</v>
      </c>
      <c r="N911" s="2">
        <v>10.5792</v>
      </c>
      <c r="O911" s="2">
        <v>7.0</v>
      </c>
      <c r="P911" s="2">
        <v>29.18</v>
      </c>
      <c r="Q911" s="2">
        <v>89704.0</v>
      </c>
      <c r="R911" s="15" t="b">
        <f>ISNUMBER(MATCH(Q911,'Returned order'!A:A,0))</f>
        <v>0</v>
      </c>
      <c r="S911" s="22">
        <v>42018.0</v>
      </c>
      <c r="T911" s="15"/>
      <c r="U911" s="15"/>
      <c r="V911" s="15"/>
    </row>
    <row r="912">
      <c r="A912" s="2">
        <v>20869.0</v>
      </c>
      <c r="B912" s="1" t="s">
        <v>28</v>
      </c>
      <c r="C912" s="2">
        <v>0.04</v>
      </c>
      <c r="D912" s="2">
        <v>136.98</v>
      </c>
      <c r="E912" s="2">
        <v>1636.0</v>
      </c>
      <c r="F912" s="1" t="s">
        <v>1215</v>
      </c>
      <c r="G912" s="1" t="s">
        <v>51</v>
      </c>
      <c r="H912" s="1" t="s">
        <v>37</v>
      </c>
      <c r="I912" s="1" t="s">
        <v>42</v>
      </c>
      <c r="J912" s="1" t="s">
        <v>1217</v>
      </c>
      <c r="K912" s="19" t="s">
        <v>34</v>
      </c>
      <c r="L912" s="20" t="s">
        <v>27</v>
      </c>
      <c r="M912" s="21">
        <f t="shared" si="1"/>
        <v>1</v>
      </c>
      <c r="N912" s="2">
        <v>1127.5497</v>
      </c>
      <c r="O912" s="2">
        <v>12.0</v>
      </c>
      <c r="P912" s="2">
        <v>1634.13</v>
      </c>
      <c r="Q912" s="2">
        <v>89706.0</v>
      </c>
      <c r="R912" s="15" t="b">
        <f>ISNUMBER(MATCH(Q912,'Returned order'!A:A,0))</f>
        <v>0</v>
      </c>
      <c r="S912" s="22">
        <v>42016.0</v>
      </c>
      <c r="T912" s="15"/>
      <c r="U912" s="15"/>
      <c r="V912" s="15"/>
    </row>
    <row r="913">
      <c r="A913" s="2">
        <v>26109.0</v>
      </c>
      <c r="B913" s="1" t="s">
        <v>58</v>
      </c>
      <c r="C913" s="2">
        <v>0.08</v>
      </c>
      <c r="D913" s="2">
        <v>55.48</v>
      </c>
      <c r="E913" s="2">
        <v>1639.0</v>
      </c>
      <c r="F913" s="1" t="s">
        <v>1218</v>
      </c>
      <c r="G913" s="1" t="s">
        <v>51</v>
      </c>
      <c r="H913" s="1" t="s">
        <v>23</v>
      </c>
      <c r="I913" s="1" t="s">
        <v>93</v>
      </c>
      <c r="J913" s="1" t="s">
        <v>1219</v>
      </c>
      <c r="K913" s="19" t="s">
        <v>26</v>
      </c>
      <c r="L913" s="20" t="s">
        <v>70</v>
      </c>
      <c r="M913" s="21">
        <f t="shared" si="1"/>
        <v>4</v>
      </c>
      <c r="N913" s="2">
        <v>147.7566</v>
      </c>
      <c r="O913" s="2">
        <v>4.0</v>
      </c>
      <c r="P913" s="2">
        <v>214.14</v>
      </c>
      <c r="Q913" s="2">
        <v>89705.0</v>
      </c>
      <c r="R913" s="15" t="b">
        <f>ISNUMBER(MATCH(Q913,'Returned order'!A:A,0))</f>
        <v>0</v>
      </c>
      <c r="S913" s="22">
        <v>42061.0</v>
      </c>
      <c r="T913" s="15"/>
      <c r="U913" s="15"/>
      <c r="V913" s="15"/>
    </row>
    <row r="914">
      <c r="A914" s="2">
        <v>18274.0</v>
      </c>
      <c r="B914" s="1" t="s">
        <v>170</v>
      </c>
      <c r="C914" s="2">
        <v>0.09</v>
      </c>
      <c r="D914" s="2">
        <v>107.53</v>
      </c>
      <c r="E914" s="2">
        <v>1644.0</v>
      </c>
      <c r="F914" s="1" t="s">
        <v>1220</v>
      </c>
      <c r="G914" s="1" t="s">
        <v>66</v>
      </c>
      <c r="H914" s="1" t="s">
        <v>37</v>
      </c>
      <c r="I914" s="1" t="s">
        <v>42</v>
      </c>
      <c r="J914" s="1" t="s">
        <v>1221</v>
      </c>
      <c r="K914" s="19" t="s">
        <v>68</v>
      </c>
      <c r="L914" s="20" t="s">
        <v>61</v>
      </c>
      <c r="M914" s="21">
        <f t="shared" si="1"/>
        <v>7</v>
      </c>
      <c r="N914" s="2">
        <v>69.5451</v>
      </c>
      <c r="O914" s="2">
        <v>1.0</v>
      </c>
      <c r="P914" s="2">
        <v>100.79</v>
      </c>
      <c r="Q914" s="2">
        <v>87342.0</v>
      </c>
      <c r="R914" s="15" t="b">
        <f>ISNUMBER(MATCH(Q914,'Returned order'!A:A,0))</f>
        <v>0</v>
      </c>
      <c r="S914" s="22">
        <v>42169.0</v>
      </c>
      <c r="T914" s="15"/>
      <c r="U914" s="15"/>
      <c r="V914" s="15"/>
    </row>
    <row r="915">
      <c r="A915" s="2">
        <v>24265.0</v>
      </c>
      <c r="B915" s="1" t="s">
        <v>49</v>
      </c>
      <c r="C915" s="2">
        <v>0.06</v>
      </c>
      <c r="D915" s="2">
        <v>3.29</v>
      </c>
      <c r="E915" s="2">
        <v>1646.0</v>
      </c>
      <c r="F915" s="1" t="s">
        <v>1222</v>
      </c>
      <c r="G915" s="1" t="s">
        <v>66</v>
      </c>
      <c r="H915" s="1" t="s">
        <v>23</v>
      </c>
      <c r="I915" s="1" t="s">
        <v>81</v>
      </c>
      <c r="J915" s="1" t="s">
        <v>321</v>
      </c>
      <c r="K915" s="19" t="s">
        <v>26</v>
      </c>
      <c r="L915" s="20" t="s">
        <v>61</v>
      </c>
      <c r="M915" s="21">
        <f t="shared" si="1"/>
        <v>7</v>
      </c>
      <c r="N915" s="2">
        <v>8.53</v>
      </c>
      <c r="O915" s="2">
        <v>11.0</v>
      </c>
      <c r="P915" s="2">
        <v>35.97</v>
      </c>
      <c r="Q915" s="2">
        <v>90932.0</v>
      </c>
      <c r="R915" s="15" t="b">
        <f>ISNUMBER(MATCH(Q915,'Returned order'!A:A,0))</f>
        <v>0</v>
      </c>
      <c r="S915" s="22">
        <v>42078.0</v>
      </c>
      <c r="T915" s="15"/>
      <c r="U915" s="15"/>
      <c r="V915" s="15"/>
    </row>
    <row r="916">
      <c r="A916" s="2">
        <v>21947.0</v>
      </c>
      <c r="B916" s="1" t="s">
        <v>58</v>
      </c>
      <c r="C916" s="2">
        <v>0.08</v>
      </c>
      <c r="D916" s="2">
        <v>46.89</v>
      </c>
      <c r="E916" s="2">
        <v>1648.0</v>
      </c>
      <c r="F916" s="1" t="s">
        <v>1223</v>
      </c>
      <c r="G916" s="1" t="s">
        <v>32</v>
      </c>
      <c r="H916" s="1" t="s">
        <v>23</v>
      </c>
      <c r="I916" s="1" t="s">
        <v>151</v>
      </c>
      <c r="J916" s="1" t="s">
        <v>1019</v>
      </c>
      <c r="K916" s="19" t="s">
        <v>68</v>
      </c>
      <c r="L916" s="20" t="s">
        <v>35</v>
      </c>
      <c r="M916" s="21">
        <f t="shared" si="1"/>
        <v>3</v>
      </c>
      <c r="N916" s="2">
        <v>507.633</v>
      </c>
      <c r="O916" s="2">
        <v>17.0</v>
      </c>
      <c r="P916" s="2">
        <v>735.7</v>
      </c>
      <c r="Q916" s="2">
        <v>91043.0</v>
      </c>
      <c r="R916" s="15" t="b">
        <f>ISNUMBER(MATCH(Q916,'Returned order'!A:A,0))</f>
        <v>0</v>
      </c>
      <c r="S916" s="22">
        <v>42088.0</v>
      </c>
      <c r="T916" s="15"/>
      <c r="U916" s="15"/>
      <c r="V916" s="15"/>
    </row>
    <row r="917">
      <c r="A917" s="2">
        <v>21948.0</v>
      </c>
      <c r="B917" s="1" t="s">
        <v>58</v>
      </c>
      <c r="C917" s="2">
        <v>0.05</v>
      </c>
      <c r="D917" s="2">
        <v>12.98</v>
      </c>
      <c r="E917" s="2">
        <v>1648.0</v>
      </c>
      <c r="F917" s="1" t="s">
        <v>1223</v>
      </c>
      <c r="G917" s="1" t="s">
        <v>32</v>
      </c>
      <c r="H917" s="1" t="s">
        <v>23</v>
      </c>
      <c r="I917" s="1" t="s">
        <v>257</v>
      </c>
      <c r="J917" s="1" t="s">
        <v>258</v>
      </c>
      <c r="K917" s="19" t="s">
        <v>68</v>
      </c>
      <c r="L917" s="20" t="s">
        <v>35</v>
      </c>
      <c r="M917" s="21">
        <f t="shared" si="1"/>
        <v>3</v>
      </c>
      <c r="N917" s="2">
        <v>38.23</v>
      </c>
      <c r="O917" s="2">
        <v>18.0</v>
      </c>
      <c r="P917" s="2">
        <v>225.59</v>
      </c>
      <c r="Q917" s="2">
        <v>91043.0</v>
      </c>
      <c r="R917" s="15" t="b">
        <f>ISNUMBER(MATCH(Q917,'Returned order'!A:A,0))</f>
        <v>0</v>
      </c>
      <c r="S917" s="22">
        <v>42088.0</v>
      </c>
      <c r="T917" s="15"/>
      <c r="U917" s="15"/>
      <c r="V917" s="15"/>
    </row>
    <row r="918">
      <c r="A918" s="2">
        <v>20603.0</v>
      </c>
      <c r="B918" s="1" t="s">
        <v>58</v>
      </c>
      <c r="C918" s="2">
        <v>0.03</v>
      </c>
      <c r="D918" s="2">
        <v>48.58</v>
      </c>
      <c r="E918" s="2">
        <v>1649.0</v>
      </c>
      <c r="F918" s="1" t="s">
        <v>1224</v>
      </c>
      <c r="G918" s="1" t="s">
        <v>32</v>
      </c>
      <c r="H918" s="1" t="s">
        <v>23</v>
      </c>
      <c r="I918" s="1" t="s">
        <v>151</v>
      </c>
      <c r="J918" s="1" t="s">
        <v>1225</v>
      </c>
      <c r="K918" s="19" t="s">
        <v>26</v>
      </c>
      <c r="L918" s="20" t="s">
        <v>57</v>
      </c>
      <c r="M918" s="21">
        <f t="shared" si="1"/>
        <v>2</v>
      </c>
      <c r="N918" s="2">
        <v>100.1328</v>
      </c>
      <c r="O918" s="2">
        <v>3.0</v>
      </c>
      <c r="P918" s="2">
        <v>145.12</v>
      </c>
      <c r="Q918" s="2">
        <v>91041.0</v>
      </c>
      <c r="R918" s="15" t="b">
        <f>ISNUMBER(MATCH(Q918,'Returned order'!A:A,0))</f>
        <v>0</v>
      </c>
      <c r="S918" s="22">
        <v>42059.0</v>
      </c>
      <c r="T918" s="15"/>
      <c r="U918" s="15"/>
      <c r="V918" s="15"/>
    </row>
    <row r="919">
      <c r="A919" s="2">
        <v>24016.0</v>
      </c>
      <c r="B919" s="1" t="s">
        <v>28</v>
      </c>
      <c r="C919" s="2">
        <v>0.05</v>
      </c>
      <c r="D919" s="2">
        <v>6.48</v>
      </c>
      <c r="E919" s="2">
        <v>1650.0</v>
      </c>
      <c r="F919" s="1" t="s">
        <v>1226</v>
      </c>
      <c r="G919" s="1" t="s">
        <v>32</v>
      </c>
      <c r="H919" s="1" t="s">
        <v>46</v>
      </c>
      <c r="I919" s="1" t="s">
        <v>47</v>
      </c>
      <c r="J919" s="1" t="s">
        <v>1227</v>
      </c>
      <c r="K919" s="19" t="s">
        <v>229</v>
      </c>
      <c r="L919" s="20" t="s">
        <v>53</v>
      </c>
      <c r="M919" s="21">
        <f t="shared" si="1"/>
        <v>6</v>
      </c>
      <c r="N919" s="2">
        <v>15.096</v>
      </c>
      <c r="O919" s="2">
        <v>15.0</v>
      </c>
      <c r="P919" s="2">
        <v>94.27</v>
      </c>
      <c r="Q919" s="2">
        <v>91042.0</v>
      </c>
      <c r="R919" s="15" t="b">
        <f>ISNUMBER(MATCH(Q919,'Returned order'!A:A,0))</f>
        <v>0</v>
      </c>
      <c r="S919" s="22">
        <v>42133.0</v>
      </c>
      <c r="T919" s="15"/>
      <c r="U919" s="15"/>
      <c r="V919" s="15"/>
    </row>
    <row r="920">
      <c r="A920" s="2">
        <v>24017.0</v>
      </c>
      <c r="B920" s="1" t="s">
        <v>28</v>
      </c>
      <c r="C920" s="2">
        <v>0.09</v>
      </c>
      <c r="D920" s="2">
        <v>12.53</v>
      </c>
      <c r="E920" s="2">
        <v>1650.0</v>
      </c>
      <c r="F920" s="1" t="s">
        <v>1226</v>
      </c>
      <c r="G920" s="1" t="s">
        <v>32</v>
      </c>
      <c r="H920" s="1" t="s">
        <v>23</v>
      </c>
      <c r="I920" s="1" t="s">
        <v>130</v>
      </c>
      <c r="J920" s="1" t="s">
        <v>1228</v>
      </c>
      <c r="K920" s="19" t="s">
        <v>229</v>
      </c>
      <c r="L920" s="20" t="s">
        <v>53</v>
      </c>
      <c r="M920" s="21">
        <f t="shared" si="1"/>
        <v>6</v>
      </c>
      <c r="N920" s="2">
        <v>14.9124</v>
      </c>
      <c r="O920" s="2">
        <v>7.0</v>
      </c>
      <c r="P920" s="2">
        <v>82.21</v>
      </c>
      <c r="Q920" s="2">
        <v>91042.0</v>
      </c>
      <c r="R920" s="15" t="b">
        <f>ISNUMBER(MATCH(Q920,'Returned order'!A:A,0))</f>
        <v>0</v>
      </c>
      <c r="S920" s="22">
        <v>42133.0</v>
      </c>
      <c r="T920" s="15"/>
      <c r="U920" s="15"/>
      <c r="V920" s="15"/>
    </row>
    <row r="921">
      <c r="A921" s="2">
        <v>24019.0</v>
      </c>
      <c r="B921" s="1" t="s">
        <v>28</v>
      </c>
      <c r="C921" s="2">
        <v>0.08</v>
      </c>
      <c r="D921" s="2">
        <v>65.99</v>
      </c>
      <c r="E921" s="2">
        <v>1650.0</v>
      </c>
      <c r="F921" s="1" t="s">
        <v>1226</v>
      </c>
      <c r="G921" s="1" t="s">
        <v>32</v>
      </c>
      <c r="H921" s="1" t="s">
        <v>46</v>
      </c>
      <c r="I921" s="1" t="s">
        <v>85</v>
      </c>
      <c r="J921" s="1" t="s">
        <v>1229</v>
      </c>
      <c r="K921" s="19" t="s">
        <v>229</v>
      </c>
      <c r="L921" s="20" t="s">
        <v>53</v>
      </c>
      <c r="M921" s="21">
        <f t="shared" si="1"/>
        <v>6</v>
      </c>
      <c r="N921" s="2">
        <v>-135.226</v>
      </c>
      <c r="O921" s="2">
        <v>8.0</v>
      </c>
      <c r="P921" s="2">
        <v>417.47</v>
      </c>
      <c r="Q921" s="2">
        <v>91042.0</v>
      </c>
      <c r="R921" s="15" t="b">
        <f>ISNUMBER(MATCH(Q921,'Returned order'!A:A,0))</f>
        <v>0</v>
      </c>
      <c r="S921" s="22">
        <v>42133.0</v>
      </c>
      <c r="T921" s="15"/>
      <c r="U921" s="15"/>
      <c r="V921" s="15"/>
    </row>
    <row r="922">
      <c r="A922" s="2">
        <v>19251.0</v>
      </c>
      <c r="B922" s="1" t="s">
        <v>49</v>
      </c>
      <c r="C922" s="2">
        <v>0.0</v>
      </c>
      <c r="D922" s="2">
        <v>101.41</v>
      </c>
      <c r="E922" s="2">
        <v>1653.0</v>
      </c>
      <c r="F922" s="1" t="s">
        <v>1230</v>
      </c>
      <c r="G922" s="1" t="s">
        <v>32</v>
      </c>
      <c r="H922" s="1" t="s">
        <v>23</v>
      </c>
      <c r="I922" s="1" t="s">
        <v>120</v>
      </c>
      <c r="J922" s="1" t="s">
        <v>704</v>
      </c>
      <c r="K922" s="19" t="s">
        <v>34</v>
      </c>
      <c r="L922" s="20" t="s">
        <v>53</v>
      </c>
      <c r="M922" s="21">
        <f t="shared" si="1"/>
        <v>6</v>
      </c>
      <c r="N922" s="2">
        <v>-457.73</v>
      </c>
      <c r="O922" s="2">
        <v>10.0</v>
      </c>
      <c r="P922" s="2">
        <v>1104.32</v>
      </c>
      <c r="Q922" s="2">
        <v>89885.0</v>
      </c>
      <c r="R922" s="15" t="b">
        <f>ISNUMBER(MATCH(Q922,'Returned order'!A:A,0))</f>
        <v>0</v>
      </c>
      <c r="S922" s="22">
        <v>42028.0</v>
      </c>
      <c r="T922" s="15"/>
      <c r="U922" s="15"/>
      <c r="V922" s="15"/>
    </row>
    <row r="923">
      <c r="A923" s="2">
        <v>19252.0</v>
      </c>
      <c r="B923" s="1" t="s">
        <v>49</v>
      </c>
      <c r="C923" s="2">
        <v>0.1</v>
      </c>
      <c r="D923" s="2">
        <v>95.99</v>
      </c>
      <c r="E923" s="2">
        <v>1653.0</v>
      </c>
      <c r="F923" s="1" t="s">
        <v>1230</v>
      </c>
      <c r="G923" s="1" t="s">
        <v>32</v>
      </c>
      <c r="H923" s="1" t="s">
        <v>46</v>
      </c>
      <c r="I923" s="1" t="s">
        <v>85</v>
      </c>
      <c r="J923" s="1" t="s">
        <v>295</v>
      </c>
      <c r="K923" s="19" t="s">
        <v>34</v>
      </c>
      <c r="L923" s="20" t="s">
        <v>53</v>
      </c>
      <c r="M923" s="21">
        <f t="shared" si="1"/>
        <v>6</v>
      </c>
      <c r="N923" s="2">
        <v>-268.664</v>
      </c>
      <c r="O923" s="2">
        <v>2.0</v>
      </c>
      <c r="P923" s="2">
        <v>149.8</v>
      </c>
      <c r="Q923" s="2">
        <v>89885.0</v>
      </c>
      <c r="R923" s="15" t="b">
        <f>ISNUMBER(MATCH(Q923,'Returned order'!A:A,0))</f>
        <v>0</v>
      </c>
      <c r="S923" s="22">
        <v>42028.0</v>
      </c>
      <c r="T923" s="15"/>
      <c r="U923" s="15"/>
      <c r="V923" s="15"/>
    </row>
    <row r="924">
      <c r="A924" s="2">
        <v>24187.0</v>
      </c>
      <c r="B924" s="1" t="s">
        <v>28</v>
      </c>
      <c r="C924" s="2">
        <v>0.1</v>
      </c>
      <c r="D924" s="2">
        <v>3.6</v>
      </c>
      <c r="E924" s="2">
        <v>1665.0</v>
      </c>
      <c r="F924" s="1" t="s">
        <v>1231</v>
      </c>
      <c r="G924" s="1" t="s">
        <v>22</v>
      </c>
      <c r="H924" s="1" t="s">
        <v>23</v>
      </c>
      <c r="I924" s="1" t="s">
        <v>93</v>
      </c>
      <c r="J924" s="1" t="s">
        <v>1232</v>
      </c>
      <c r="K924" s="19" t="s">
        <v>34</v>
      </c>
      <c r="L924" s="20" t="s">
        <v>70</v>
      </c>
      <c r="M924" s="21">
        <f t="shared" si="1"/>
        <v>4</v>
      </c>
      <c r="N924" s="2">
        <v>-8.28</v>
      </c>
      <c r="O924" s="2">
        <v>2.0</v>
      </c>
      <c r="P924" s="2">
        <v>6.97</v>
      </c>
      <c r="Q924" s="2">
        <v>90678.0</v>
      </c>
      <c r="R924" s="15" t="b">
        <f>ISNUMBER(MATCH(Q924,'Returned order'!A:A,0))</f>
        <v>0</v>
      </c>
      <c r="S924" s="22">
        <v>42061.0</v>
      </c>
      <c r="T924" s="15"/>
      <c r="U924" s="15"/>
      <c r="V924" s="15"/>
    </row>
    <row r="925">
      <c r="A925" s="2">
        <v>21491.0</v>
      </c>
      <c r="B925" s="1" t="s">
        <v>170</v>
      </c>
      <c r="C925" s="2">
        <v>0.03</v>
      </c>
      <c r="D925" s="2">
        <v>35.41</v>
      </c>
      <c r="E925" s="2">
        <v>1670.0</v>
      </c>
      <c r="F925" s="1" t="s">
        <v>1233</v>
      </c>
      <c r="G925" s="1" t="s">
        <v>66</v>
      </c>
      <c r="H925" s="1" t="s">
        <v>46</v>
      </c>
      <c r="I925" s="1" t="s">
        <v>47</v>
      </c>
      <c r="J925" s="1" t="s">
        <v>1234</v>
      </c>
      <c r="K925" s="19" t="s">
        <v>229</v>
      </c>
      <c r="L925" s="20" t="s">
        <v>76</v>
      </c>
      <c r="M925" s="21">
        <f t="shared" si="1"/>
        <v>5</v>
      </c>
      <c r="N925" s="2">
        <v>1912.422</v>
      </c>
      <c r="O925" s="2">
        <v>10.0</v>
      </c>
      <c r="P925" s="2">
        <v>367.52</v>
      </c>
      <c r="Q925" s="2">
        <v>86722.0</v>
      </c>
      <c r="R925" s="15" t="b">
        <f>ISNUMBER(MATCH(Q925,'Returned order'!A:A,0))</f>
        <v>0</v>
      </c>
      <c r="S925" s="22">
        <v>42118.0</v>
      </c>
      <c r="T925" s="15"/>
      <c r="U925" s="15"/>
      <c r="V925" s="15"/>
    </row>
    <row r="926">
      <c r="A926" s="2">
        <v>21492.0</v>
      </c>
      <c r="B926" s="1" t="s">
        <v>170</v>
      </c>
      <c r="C926" s="2">
        <v>0.0</v>
      </c>
      <c r="D926" s="2">
        <v>142.86</v>
      </c>
      <c r="E926" s="2">
        <v>1670.0</v>
      </c>
      <c r="F926" s="1" t="s">
        <v>1233</v>
      </c>
      <c r="G926" s="1" t="s">
        <v>66</v>
      </c>
      <c r="H926" s="1" t="s">
        <v>23</v>
      </c>
      <c r="I926" s="1" t="s">
        <v>120</v>
      </c>
      <c r="J926" s="1" t="s">
        <v>1235</v>
      </c>
      <c r="K926" s="19" t="s">
        <v>229</v>
      </c>
      <c r="L926" s="20" t="s">
        <v>76</v>
      </c>
      <c r="M926" s="21">
        <f t="shared" si="1"/>
        <v>5</v>
      </c>
      <c r="N926" s="2">
        <v>-739.326</v>
      </c>
      <c r="O926" s="2">
        <v>11.0</v>
      </c>
      <c r="P926" s="2">
        <v>1576.35</v>
      </c>
      <c r="Q926" s="2">
        <v>86722.0</v>
      </c>
      <c r="R926" s="15" t="b">
        <f>ISNUMBER(MATCH(Q926,'Returned order'!A:A,0))</f>
        <v>0</v>
      </c>
      <c r="S926" s="22">
        <v>42118.0</v>
      </c>
      <c r="T926" s="15"/>
      <c r="U926" s="15"/>
      <c r="V926" s="15"/>
    </row>
    <row r="927">
      <c r="A927" s="2">
        <v>23578.0</v>
      </c>
      <c r="B927" s="1" t="s">
        <v>170</v>
      </c>
      <c r="C927" s="2">
        <v>0.1</v>
      </c>
      <c r="D927" s="2">
        <v>4.13</v>
      </c>
      <c r="E927" s="2">
        <v>1671.0</v>
      </c>
      <c r="F927" s="1" t="s">
        <v>1236</v>
      </c>
      <c r="G927" s="1" t="s">
        <v>66</v>
      </c>
      <c r="H927" s="1" t="s">
        <v>23</v>
      </c>
      <c r="I927" s="1" t="s">
        <v>130</v>
      </c>
      <c r="J927" s="1" t="s">
        <v>1073</v>
      </c>
      <c r="K927" s="19" t="s">
        <v>229</v>
      </c>
      <c r="L927" s="20" t="s">
        <v>27</v>
      </c>
      <c r="M927" s="21">
        <f t="shared" si="1"/>
        <v>1</v>
      </c>
      <c r="N927" s="2">
        <v>-40.53</v>
      </c>
      <c r="O927" s="2">
        <v>13.0</v>
      </c>
      <c r="P927" s="2">
        <v>52.16</v>
      </c>
      <c r="Q927" s="2">
        <v>86724.0</v>
      </c>
      <c r="R927" s="15" t="b">
        <f>ISNUMBER(MATCH(Q927,'Returned order'!A:A,0))</f>
        <v>0</v>
      </c>
      <c r="S927" s="22">
        <v>42044.0</v>
      </c>
      <c r="T927" s="15"/>
      <c r="U927" s="15"/>
      <c r="V927" s="15"/>
    </row>
    <row r="928">
      <c r="A928" s="2">
        <v>22007.0</v>
      </c>
      <c r="B928" s="1" t="s">
        <v>58</v>
      </c>
      <c r="C928" s="2">
        <v>0.03</v>
      </c>
      <c r="D928" s="2">
        <v>223.98</v>
      </c>
      <c r="E928" s="2">
        <v>1671.0</v>
      </c>
      <c r="F928" s="1" t="s">
        <v>1236</v>
      </c>
      <c r="G928" s="1" t="s">
        <v>66</v>
      </c>
      <c r="H928" s="1" t="s">
        <v>23</v>
      </c>
      <c r="I928" s="1" t="s">
        <v>24</v>
      </c>
      <c r="J928" s="1" t="s">
        <v>1237</v>
      </c>
      <c r="K928" s="19" t="s">
        <v>229</v>
      </c>
      <c r="L928" s="20" t="s">
        <v>57</v>
      </c>
      <c r="M928" s="21">
        <f t="shared" si="1"/>
        <v>2</v>
      </c>
      <c r="N928" s="2">
        <v>0.696</v>
      </c>
      <c r="O928" s="2">
        <v>21.0</v>
      </c>
      <c r="P928" s="2">
        <v>4881.84</v>
      </c>
      <c r="Q928" s="2">
        <v>86725.0</v>
      </c>
      <c r="R928" s="15" t="b">
        <f>ISNUMBER(MATCH(Q928,'Returned order'!A:A,0))</f>
        <v>0</v>
      </c>
      <c r="S928" s="22">
        <v>42136.0</v>
      </c>
      <c r="T928" s="15"/>
      <c r="U928" s="15"/>
      <c r="V928" s="15"/>
    </row>
    <row r="929">
      <c r="A929" s="2">
        <v>25066.0</v>
      </c>
      <c r="B929" s="1" t="s">
        <v>170</v>
      </c>
      <c r="C929" s="2">
        <v>0.02</v>
      </c>
      <c r="D929" s="2">
        <v>284.98</v>
      </c>
      <c r="E929" s="2">
        <v>1672.0</v>
      </c>
      <c r="F929" s="1" t="s">
        <v>1238</v>
      </c>
      <c r="G929" s="1" t="s">
        <v>66</v>
      </c>
      <c r="H929" s="1" t="s">
        <v>37</v>
      </c>
      <c r="I929" s="1" t="s">
        <v>38</v>
      </c>
      <c r="J929" s="1" t="s">
        <v>843</v>
      </c>
      <c r="K929" s="19" t="s">
        <v>229</v>
      </c>
      <c r="L929" s="20" t="s">
        <v>61</v>
      </c>
      <c r="M929" s="21">
        <f t="shared" si="1"/>
        <v>7</v>
      </c>
      <c r="N929" s="2">
        <v>15.528</v>
      </c>
      <c r="O929" s="2">
        <v>3.0</v>
      </c>
      <c r="P929" s="2">
        <v>926.3</v>
      </c>
      <c r="Q929" s="2">
        <v>86723.0</v>
      </c>
      <c r="R929" s="15" t="b">
        <f>ISNUMBER(MATCH(Q929,'Returned order'!A:A,0))</f>
        <v>0</v>
      </c>
      <c r="S929" s="22">
        <v>42162.0</v>
      </c>
      <c r="T929" s="15"/>
      <c r="U929" s="15"/>
      <c r="V929" s="15"/>
    </row>
    <row r="930">
      <c r="A930" s="2">
        <v>25067.0</v>
      </c>
      <c r="B930" s="1" t="s">
        <v>170</v>
      </c>
      <c r="C930" s="2">
        <v>0.08</v>
      </c>
      <c r="D930" s="2">
        <v>55.48</v>
      </c>
      <c r="E930" s="2">
        <v>1672.0</v>
      </c>
      <c r="F930" s="1" t="s">
        <v>1238</v>
      </c>
      <c r="G930" s="1" t="s">
        <v>66</v>
      </c>
      <c r="H930" s="1" t="s">
        <v>23</v>
      </c>
      <c r="I930" s="1" t="s">
        <v>93</v>
      </c>
      <c r="J930" s="1" t="s">
        <v>137</v>
      </c>
      <c r="K930" s="19" t="s">
        <v>229</v>
      </c>
      <c r="L930" s="20" t="s">
        <v>61</v>
      </c>
      <c r="M930" s="21">
        <f t="shared" si="1"/>
        <v>7</v>
      </c>
      <c r="N930" s="2">
        <v>-225.5638</v>
      </c>
      <c r="O930" s="2">
        <v>17.0</v>
      </c>
      <c r="P930" s="2">
        <v>942.53</v>
      </c>
      <c r="Q930" s="2">
        <v>86723.0</v>
      </c>
      <c r="R930" s="15" t="b">
        <f>ISNUMBER(MATCH(Q930,'Returned order'!A:A,0))</f>
        <v>0</v>
      </c>
      <c r="S930" s="22">
        <v>42162.0</v>
      </c>
      <c r="T930" s="15"/>
      <c r="U930" s="15"/>
      <c r="V930" s="15"/>
    </row>
    <row r="931">
      <c r="A931" s="2">
        <v>18150.0</v>
      </c>
      <c r="B931" s="1" t="s">
        <v>63</v>
      </c>
      <c r="C931" s="2">
        <v>0.07</v>
      </c>
      <c r="D931" s="2">
        <v>13.73</v>
      </c>
      <c r="E931" s="2">
        <v>1679.0</v>
      </c>
      <c r="F931" s="1" t="s">
        <v>1239</v>
      </c>
      <c r="G931" s="1" t="s">
        <v>22</v>
      </c>
      <c r="H931" s="1" t="s">
        <v>37</v>
      </c>
      <c r="I931" s="1" t="s">
        <v>42</v>
      </c>
      <c r="J931" s="1" t="s">
        <v>553</v>
      </c>
      <c r="K931" s="19" t="s">
        <v>26</v>
      </c>
      <c r="L931" s="20" t="s">
        <v>76</v>
      </c>
      <c r="M931" s="21">
        <f t="shared" si="1"/>
        <v>5</v>
      </c>
      <c r="N931" s="2">
        <v>-22.72</v>
      </c>
      <c r="O931" s="2">
        <v>21.0</v>
      </c>
      <c r="P931" s="2">
        <v>276.64</v>
      </c>
      <c r="Q931" s="2">
        <v>86646.0</v>
      </c>
      <c r="R931" s="15" t="b">
        <f>ISNUMBER(MATCH(Q931,'Returned order'!A:A,0))</f>
        <v>0</v>
      </c>
      <c r="S931" s="22">
        <v>42083.0</v>
      </c>
      <c r="T931" s="15"/>
      <c r="U931" s="15"/>
      <c r="V931" s="15"/>
    </row>
    <row r="932">
      <c r="A932" s="2">
        <v>23524.0</v>
      </c>
      <c r="B932" s="1" t="s">
        <v>170</v>
      </c>
      <c r="C932" s="2">
        <v>0.09</v>
      </c>
      <c r="D932" s="2">
        <v>30.98</v>
      </c>
      <c r="E932" s="2">
        <v>1680.0</v>
      </c>
      <c r="F932" s="1" t="s">
        <v>1240</v>
      </c>
      <c r="G932" s="1" t="s">
        <v>22</v>
      </c>
      <c r="H932" s="1" t="s">
        <v>23</v>
      </c>
      <c r="I932" s="1" t="s">
        <v>88</v>
      </c>
      <c r="J932" s="1" t="s">
        <v>1241</v>
      </c>
      <c r="K932" s="19" t="s">
        <v>26</v>
      </c>
      <c r="L932" s="20" t="s">
        <v>61</v>
      </c>
      <c r="M932" s="21">
        <f t="shared" si="1"/>
        <v>7</v>
      </c>
      <c r="N932" s="2">
        <v>-163.53</v>
      </c>
      <c r="O932" s="2">
        <v>18.0</v>
      </c>
      <c r="P932" s="2">
        <v>514.62</v>
      </c>
      <c r="Q932" s="2">
        <v>86645.0</v>
      </c>
      <c r="R932" s="15" t="b">
        <f>ISNUMBER(MATCH(Q932,'Returned order'!A:A,0))</f>
        <v>0</v>
      </c>
      <c r="S932" s="22">
        <v>42127.0</v>
      </c>
      <c r="T932" s="15"/>
      <c r="U932" s="15"/>
      <c r="V932" s="15"/>
    </row>
    <row r="933">
      <c r="A933" s="2">
        <v>23525.0</v>
      </c>
      <c r="B933" s="1" t="s">
        <v>170</v>
      </c>
      <c r="C933" s="2">
        <v>0.03</v>
      </c>
      <c r="D933" s="2">
        <v>49.34</v>
      </c>
      <c r="E933" s="2">
        <v>1680.0</v>
      </c>
      <c r="F933" s="1" t="s">
        <v>1240</v>
      </c>
      <c r="G933" s="1" t="s">
        <v>22</v>
      </c>
      <c r="H933" s="1" t="s">
        <v>37</v>
      </c>
      <c r="I933" s="1" t="s">
        <v>42</v>
      </c>
      <c r="J933" s="1" t="s">
        <v>1242</v>
      </c>
      <c r="K933" s="19" t="s">
        <v>26</v>
      </c>
      <c r="L933" s="20" t="s">
        <v>61</v>
      </c>
      <c r="M933" s="21">
        <f t="shared" si="1"/>
        <v>7</v>
      </c>
      <c r="N933" s="2">
        <v>554.77</v>
      </c>
      <c r="O933" s="2">
        <v>17.0</v>
      </c>
      <c r="P933" s="2">
        <v>817.32</v>
      </c>
      <c r="Q933" s="2">
        <v>86645.0</v>
      </c>
      <c r="R933" s="15" t="b">
        <f>ISNUMBER(MATCH(Q933,'Returned order'!A:A,0))</f>
        <v>0</v>
      </c>
      <c r="S933" s="22">
        <v>42127.0</v>
      </c>
      <c r="T933" s="15"/>
      <c r="U933" s="15"/>
      <c r="V933" s="15"/>
    </row>
    <row r="934">
      <c r="A934" s="2">
        <v>1976.0</v>
      </c>
      <c r="B934" s="1" t="s">
        <v>49</v>
      </c>
      <c r="C934" s="2">
        <v>0.04</v>
      </c>
      <c r="D934" s="2">
        <v>6.28</v>
      </c>
      <c r="E934" s="2">
        <v>1682.0</v>
      </c>
      <c r="F934" s="1" t="s">
        <v>1243</v>
      </c>
      <c r="G934" s="1" t="s">
        <v>22</v>
      </c>
      <c r="H934" s="1" t="s">
        <v>37</v>
      </c>
      <c r="I934" s="1" t="s">
        <v>42</v>
      </c>
      <c r="J934" s="1" t="s">
        <v>1244</v>
      </c>
      <c r="K934" s="19" t="s">
        <v>68</v>
      </c>
      <c r="L934" s="20" t="s">
        <v>53</v>
      </c>
      <c r="M934" s="21">
        <f t="shared" si="1"/>
        <v>6</v>
      </c>
      <c r="N934" s="2">
        <v>-38.38</v>
      </c>
      <c r="O934" s="2">
        <v>43.0</v>
      </c>
      <c r="P934" s="2">
        <v>284.48</v>
      </c>
      <c r="Q934" s="2">
        <v>14115.0</v>
      </c>
      <c r="R934" s="15" t="b">
        <f>ISNUMBER(MATCH(Q934,'Returned order'!A:A,0))</f>
        <v>0</v>
      </c>
      <c r="S934" s="22">
        <v>42049.0</v>
      </c>
      <c r="T934" s="15"/>
      <c r="U934" s="15"/>
      <c r="V934" s="15"/>
    </row>
    <row r="935">
      <c r="A935" s="2">
        <v>5358.0</v>
      </c>
      <c r="B935" s="1" t="s">
        <v>49</v>
      </c>
      <c r="C935" s="2">
        <v>0.08</v>
      </c>
      <c r="D935" s="2">
        <v>4.98</v>
      </c>
      <c r="E935" s="2">
        <v>1682.0</v>
      </c>
      <c r="F935" s="1" t="s">
        <v>1243</v>
      </c>
      <c r="G935" s="1" t="s">
        <v>22</v>
      </c>
      <c r="H935" s="1" t="s">
        <v>23</v>
      </c>
      <c r="I935" s="1" t="s">
        <v>93</v>
      </c>
      <c r="J935" s="1" t="s">
        <v>1245</v>
      </c>
      <c r="K935" s="19" t="s">
        <v>68</v>
      </c>
      <c r="L935" s="20" t="s">
        <v>53</v>
      </c>
      <c r="M935" s="21">
        <f t="shared" si="1"/>
        <v>6</v>
      </c>
      <c r="N935" s="2">
        <v>-56.35</v>
      </c>
      <c r="O935" s="2">
        <v>47.0</v>
      </c>
      <c r="P935" s="2">
        <v>225.98</v>
      </c>
      <c r="Q935" s="2">
        <v>38080.0</v>
      </c>
      <c r="R935" s="15" t="b">
        <f>ISNUMBER(MATCH(Q935,'Returned order'!A:A,0))</f>
        <v>0</v>
      </c>
      <c r="S935" s="22">
        <v>42077.0</v>
      </c>
      <c r="T935" s="15"/>
      <c r="U935" s="15"/>
      <c r="V935" s="15"/>
    </row>
    <row r="936">
      <c r="A936" s="2">
        <v>19976.0</v>
      </c>
      <c r="B936" s="1" t="s">
        <v>49</v>
      </c>
      <c r="C936" s="2">
        <v>0.04</v>
      </c>
      <c r="D936" s="2">
        <v>6.28</v>
      </c>
      <c r="E936" s="2">
        <v>1683.0</v>
      </c>
      <c r="F936" s="1" t="s">
        <v>1246</v>
      </c>
      <c r="G936" s="1" t="s">
        <v>22</v>
      </c>
      <c r="H936" s="1" t="s">
        <v>37</v>
      </c>
      <c r="I936" s="1" t="s">
        <v>42</v>
      </c>
      <c r="J936" s="1" t="s">
        <v>1244</v>
      </c>
      <c r="K936" s="19" t="s">
        <v>68</v>
      </c>
      <c r="L936" s="20" t="s">
        <v>53</v>
      </c>
      <c r="M936" s="21">
        <f t="shared" si="1"/>
        <v>6</v>
      </c>
      <c r="N936" s="2">
        <v>-19.9576</v>
      </c>
      <c r="O936" s="2">
        <v>11.0</v>
      </c>
      <c r="P936" s="2">
        <v>72.77</v>
      </c>
      <c r="Q936" s="2">
        <v>90612.0</v>
      </c>
      <c r="R936" s="15" t="b">
        <f>ISNUMBER(MATCH(Q936,'Returned order'!A:A,0))</f>
        <v>0</v>
      </c>
      <c r="S936" s="22">
        <v>42049.0</v>
      </c>
      <c r="T936" s="15"/>
      <c r="U936" s="15"/>
      <c r="V936" s="15"/>
    </row>
    <row r="937">
      <c r="A937" s="2">
        <v>23358.0</v>
      </c>
      <c r="B937" s="1" t="s">
        <v>49</v>
      </c>
      <c r="C937" s="2">
        <v>0.08</v>
      </c>
      <c r="D937" s="2">
        <v>4.98</v>
      </c>
      <c r="E937" s="2">
        <v>1683.0</v>
      </c>
      <c r="F937" s="1" t="s">
        <v>1246</v>
      </c>
      <c r="G937" s="1" t="s">
        <v>22</v>
      </c>
      <c r="H937" s="1" t="s">
        <v>23</v>
      </c>
      <c r="I937" s="1" t="s">
        <v>93</v>
      </c>
      <c r="J937" s="1" t="s">
        <v>1245</v>
      </c>
      <c r="K937" s="19" t="s">
        <v>68</v>
      </c>
      <c r="L937" s="20" t="s">
        <v>53</v>
      </c>
      <c r="M937" s="21">
        <f t="shared" si="1"/>
        <v>6</v>
      </c>
      <c r="N937" s="2">
        <v>-56.35</v>
      </c>
      <c r="O937" s="2">
        <v>12.0</v>
      </c>
      <c r="P937" s="2">
        <v>57.7</v>
      </c>
      <c r="Q937" s="2">
        <v>90613.0</v>
      </c>
      <c r="R937" s="15" t="b">
        <f>ISNUMBER(MATCH(Q937,'Returned order'!A:A,0))</f>
        <v>0</v>
      </c>
      <c r="S937" s="22">
        <v>42077.0</v>
      </c>
      <c r="T937" s="15"/>
      <c r="U937" s="15"/>
      <c r="V937" s="15"/>
    </row>
    <row r="938">
      <c r="A938" s="2">
        <v>19751.0</v>
      </c>
      <c r="B938" s="1" t="s">
        <v>170</v>
      </c>
      <c r="C938" s="2">
        <v>0.08</v>
      </c>
      <c r="D938" s="2">
        <v>2.08</v>
      </c>
      <c r="E938" s="2">
        <v>1686.0</v>
      </c>
      <c r="F938" s="1" t="s">
        <v>1247</v>
      </c>
      <c r="G938" s="1" t="s">
        <v>32</v>
      </c>
      <c r="H938" s="1" t="s">
        <v>37</v>
      </c>
      <c r="I938" s="1" t="s">
        <v>42</v>
      </c>
      <c r="J938" s="1" t="s">
        <v>180</v>
      </c>
      <c r="K938" s="19" t="s">
        <v>68</v>
      </c>
      <c r="L938" s="20" t="s">
        <v>57</v>
      </c>
      <c r="M938" s="21">
        <f t="shared" si="1"/>
        <v>2</v>
      </c>
      <c r="N938" s="2">
        <v>-129.01</v>
      </c>
      <c r="O938" s="2">
        <v>9.0</v>
      </c>
      <c r="P938" s="2">
        <v>19.67</v>
      </c>
      <c r="Q938" s="2">
        <v>86973.0</v>
      </c>
      <c r="R938" s="15" t="b">
        <f>ISNUMBER(MATCH(Q938,'Returned order'!A:A,0))</f>
        <v>0</v>
      </c>
      <c r="S938" s="22">
        <v>42066.0</v>
      </c>
      <c r="T938" s="15"/>
      <c r="U938" s="15"/>
      <c r="V938" s="15"/>
    </row>
    <row r="939">
      <c r="A939" s="2">
        <v>25690.0</v>
      </c>
      <c r="B939" s="1" t="s">
        <v>28</v>
      </c>
      <c r="C939" s="2">
        <v>0.0</v>
      </c>
      <c r="D939" s="2">
        <v>48.91</v>
      </c>
      <c r="E939" s="2">
        <v>1689.0</v>
      </c>
      <c r="F939" s="1" t="s">
        <v>1248</v>
      </c>
      <c r="G939" s="1" t="s">
        <v>32</v>
      </c>
      <c r="H939" s="1" t="s">
        <v>23</v>
      </c>
      <c r="I939" s="1" t="s">
        <v>120</v>
      </c>
      <c r="J939" s="1" t="s">
        <v>1249</v>
      </c>
      <c r="K939" s="19" t="s">
        <v>68</v>
      </c>
      <c r="L939" s="20" t="s">
        <v>57</v>
      </c>
      <c r="M939" s="21">
        <f t="shared" si="1"/>
        <v>2</v>
      </c>
      <c r="N939" s="2">
        <v>-628.38</v>
      </c>
      <c r="O939" s="2">
        <v>10.0</v>
      </c>
      <c r="P939" s="2">
        <v>514.79</v>
      </c>
      <c r="Q939" s="2">
        <v>91077.0</v>
      </c>
      <c r="R939" s="15" t="b">
        <f>ISNUMBER(MATCH(Q939,'Returned order'!A:A,0))</f>
        <v>0</v>
      </c>
      <c r="S939" s="22">
        <v>42087.0</v>
      </c>
      <c r="T939" s="15"/>
      <c r="U939" s="15"/>
      <c r="V939" s="15"/>
    </row>
    <row r="940">
      <c r="A940" s="2">
        <v>22798.0</v>
      </c>
      <c r="B940" s="1" t="s">
        <v>170</v>
      </c>
      <c r="C940" s="2">
        <v>0.05</v>
      </c>
      <c r="D940" s="2">
        <v>115.99</v>
      </c>
      <c r="E940" s="2">
        <v>1690.0</v>
      </c>
      <c r="F940" s="1" t="s">
        <v>166</v>
      </c>
      <c r="G940" s="1" t="s">
        <v>32</v>
      </c>
      <c r="H940" s="1" t="s">
        <v>46</v>
      </c>
      <c r="I940" s="1" t="s">
        <v>85</v>
      </c>
      <c r="J940" s="1">
        <v>636.0</v>
      </c>
      <c r="K940" s="19" t="s">
        <v>26</v>
      </c>
      <c r="L940" s="20" t="s">
        <v>53</v>
      </c>
      <c r="M940" s="21">
        <f t="shared" si="1"/>
        <v>6</v>
      </c>
      <c r="N940" s="2">
        <v>616.5357</v>
      </c>
      <c r="O940" s="2">
        <v>9.0</v>
      </c>
      <c r="P940" s="2">
        <v>893.53</v>
      </c>
      <c r="Q940" s="2">
        <v>91076.0</v>
      </c>
      <c r="R940" s="15" t="b">
        <f>ISNUMBER(MATCH(Q940,'Returned order'!A:A,0))</f>
        <v>0</v>
      </c>
      <c r="S940" s="22">
        <v>42028.0</v>
      </c>
      <c r="T940" s="15"/>
      <c r="U940" s="15"/>
      <c r="V940" s="15"/>
    </row>
    <row r="941">
      <c r="A941" s="2">
        <v>23626.0</v>
      </c>
      <c r="B941" s="1" t="s">
        <v>49</v>
      </c>
      <c r="C941" s="2">
        <v>0.09</v>
      </c>
      <c r="D941" s="2">
        <v>95.43</v>
      </c>
      <c r="E941" s="2">
        <v>1690.0</v>
      </c>
      <c r="F941" s="1" t="s">
        <v>166</v>
      </c>
      <c r="G941" s="1" t="s">
        <v>32</v>
      </c>
      <c r="H941" s="1" t="s">
        <v>23</v>
      </c>
      <c r="I941" s="1" t="s">
        <v>120</v>
      </c>
      <c r="J941" s="1" t="s">
        <v>167</v>
      </c>
      <c r="K941" s="19" t="s">
        <v>26</v>
      </c>
      <c r="L941" s="20" t="s">
        <v>27</v>
      </c>
      <c r="M941" s="21">
        <f t="shared" si="1"/>
        <v>1</v>
      </c>
      <c r="N941" s="2">
        <v>-143.235</v>
      </c>
      <c r="O941" s="2">
        <v>22.0</v>
      </c>
      <c r="P941" s="2">
        <v>2053.6</v>
      </c>
      <c r="Q941" s="2">
        <v>91078.0</v>
      </c>
      <c r="R941" s="15" t="b">
        <f>ISNUMBER(MATCH(Q941,'Returned order'!A:A,0))</f>
        <v>0</v>
      </c>
      <c r="S941" s="22">
        <v>42156.0</v>
      </c>
      <c r="T941" s="15"/>
      <c r="U941" s="15"/>
      <c r="V941" s="15"/>
    </row>
    <row r="942">
      <c r="A942" s="2">
        <v>19481.0</v>
      </c>
      <c r="B942" s="1" t="s">
        <v>49</v>
      </c>
      <c r="C942" s="2">
        <v>0.0</v>
      </c>
      <c r="D942" s="2">
        <v>6.84</v>
      </c>
      <c r="E942" s="2">
        <v>1692.0</v>
      </c>
      <c r="F942" s="1" t="s">
        <v>1250</v>
      </c>
      <c r="G942" s="1" t="s">
        <v>22</v>
      </c>
      <c r="H942" s="1" t="s">
        <v>23</v>
      </c>
      <c r="I942" s="1" t="s">
        <v>257</v>
      </c>
      <c r="J942" s="1" t="s">
        <v>1251</v>
      </c>
      <c r="K942" s="19" t="s">
        <v>68</v>
      </c>
      <c r="L942" s="20" t="s">
        <v>76</v>
      </c>
      <c r="M942" s="21">
        <f t="shared" si="1"/>
        <v>5</v>
      </c>
      <c r="N942" s="2">
        <v>-123.1816</v>
      </c>
      <c r="O942" s="2">
        <v>5.0</v>
      </c>
      <c r="P942" s="2">
        <v>37.89</v>
      </c>
      <c r="Q942" s="2">
        <v>90189.0</v>
      </c>
      <c r="R942" s="15" t="b">
        <f>ISNUMBER(MATCH(Q942,'Returned order'!A:A,0))</f>
        <v>0</v>
      </c>
      <c r="S942" s="22">
        <v>42027.0</v>
      </c>
      <c r="T942" s="15"/>
      <c r="U942" s="15"/>
      <c r="V942" s="15"/>
    </row>
    <row r="943">
      <c r="A943" s="2">
        <v>19482.0</v>
      </c>
      <c r="B943" s="1" t="s">
        <v>49</v>
      </c>
      <c r="C943" s="2">
        <v>0.07</v>
      </c>
      <c r="D943" s="2">
        <v>30.98</v>
      </c>
      <c r="E943" s="2">
        <v>1693.0</v>
      </c>
      <c r="F943" s="1" t="s">
        <v>1252</v>
      </c>
      <c r="G943" s="1" t="s">
        <v>22</v>
      </c>
      <c r="H943" s="1" t="s">
        <v>23</v>
      </c>
      <c r="I943" s="1" t="s">
        <v>93</v>
      </c>
      <c r="J943" s="1" t="s">
        <v>1017</v>
      </c>
      <c r="K943" s="19" t="s">
        <v>229</v>
      </c>
      <c r="L943" s="20" t="s">
        <v>76</v>
      </c>
      <c r="M943" s="21">
        <f t="shared" si="1"/>
        <v>5</v>
      </c>
      <c r="N943" s="2">
        <v>-28.798</v>
      </c>
      <c r="O943" s="2">
        <v>11.0</v>
      </c>
      <c r="P943" s="2">
        <v>343.79</v>
      </c>
      <c r="Q943" s="2">
        <v>90189.0</v>
      </c>
      <c r="R943" s="15" t="b">
        <f>ISNUMBER(MATCH(Q943,'Returned order'!A:A,0))</f>
        <v>0</v>
      </c>
      <c r="S943" s="22">
        <v>42027.0</v>
      </c>
      <c r="T943" s="15"/>
      <c r="U943" s="15"/>
      <c r="V943" s="15"/>
    </row>
    <row r="944">
      <c r="A944" s="2">
        <v>21262.0</v>
      </c>
      <c r="B944" s="1" t="s">
        <v>170</v>
      </c>
      <c r="C944" s="2">
        <v>0.01</v>
      </c>
      <c r="D944" s="2">
        <v>15.67</v>
      </c>
      <c r="E944" s="2">
        <v>1693.0</v>
      </c>
      <c r="F944" s="1" t="s">
        <v>1252</v>
      </c>
      <c r="G944" s="1" t="s">
        <v>22</v>
      </c>
      <c r="H944" s="1" t="s">
        <v>23</v>
      </c>
      <c r="I944" s="1" t="s">
        <v>88</v>
      </c>
      <c r="J944" s="1" t="s">
        <v>1253</v>
      </c>
      <c r="K944" s="19" t="s">
        <v>229</v>
      </c>
      <c r="L944" s="20" t="s">
        <v>27</v>
      </c>
      <c r="M944" s="21">
        <f t="shared" si="1"/>
        <v>1</v>
      </c>
      <c r="N944" s="2">
        <v>-273.98</v>
      </c>
      <c r="O944" s="2">
        <v>11.0</v>
      </c>
      <c r="P944" s="2">
        <v>188.09</v>
      </c>
      <c r="Q944" s="2">
        <v>90190.0</v>
      </c>
      <c r="R944" s="15" t="b">
        <f>ISNUMBER(MATCH(Q944,'Returned order'!A:A,0))</f>
        <v>0</v>
      </c>
      <c r="S944" s="22">
        <v>42135.0</v>
      </c>
      <c r="T944" s="15"/>
      <c r="U944" s="15"/>
      <c r="V944" s="15"/>
    </row>
    <row r="945">
      <c r="A945" s="2">
        <v>24941.0</v>
      </c>
      <c r="B945" s="1" t="s">
        <v>63</v>
      </c>
      <c r="C945" s="2">
        <v>0.0</v>
      </c>
      <c r="D945" s="2">
        <v>13.43</v>
      </c>
      <c r="E945" s="2">
        <v>1697.0</v>
      </c>
      <c r="F945" s="1" t="s">
        <v>1254</v>
      </c>
      <c r="G945" s="1" t="s">
        <v>51</v>
      </c>
      <c r="H945" s="1" t="s">
        <v>23</v>
      </c>
      <c r="I945" s="1" t="s">
        <v>120</v>
      </c>
      <c r="J945" s="1" t="s">
        <v>1255</v>
      </c>
      <c r="K945" s="19" t="s">
        <v>229</v>
      </c>
      <c r="L945" s="20" t="s">
        <v>76</v>
      </c>
      <c r="M945" s="21">
        <f t="shared" si="1"/>
        <v>5</v>
      </c>
      <c r="N945" s="2">
        <v>-253.778</v>
      </c>
      <c r="O945" s="2">
        <v>9.0</v>
      </c>
      <c r="P945" s="2">
        <v>129.54</v>
      </c>
      <c r="Q945" s="2">
        <v>86338.0</v>
      </c>
      <c r="R945" s="15" t="b">
        <f>ISNUMBER(MATCH(Q945,'Returned order'!A:A,0))</f>
        <v>0</v>
      </c>
      <c r="S945" s="22">
        <v>42020.0</v>
      </c>
      <c r="T945" s="15"/>
      <c r="U945" s="15"/>
      <c r="V945" s="15"/>
    </row>
    <row r="946">
      <c r="A946" s="2">
        <v>18275.0</v>
      </c>
      <c r="B946" s="1" t="s">
        <v>170</v>
      </c>
      <c r="C946" s="2">
        <v>0.05</v>
      </c>
      <c r="D946" s="2">
        <v>3.98</v>
      </c>
      <c r="E946" s="2">
        <v>1699.0</v>
      </c>
      <c r="F946" s="1" t="s">
        <v>1256</v>
      </c>
      <c r="G946" s="1" t="s">
        <v>66</v>
      </c>
      <c r="H946" s="1" t="s">
        <v>23</v>
      </c>
      <c r="I946" s="1" t="s">
        <v>24</v>
      </c>
      <c r="J946" s="1" t="s">
        <v>1257</v>
      </c>
      <c r="K946" s="19" t="s">
        <v>26</v>
      </c>
      <c r="L946" s="20" t="s">
        <v>35</v>
      </c>
      <c r="M946" s="21">
        <f t="shared" si="1"/>
        <v>3</v>
      </c>
      <c r="N946" s="2">
        <v>-152.5245</v>
      </c>
      <c r="O946" s="2">
        <v>12.0</v>
      </c>
      <c r="P946" s="2">
        <v>49.44</v>
      </c>
      <c r="Q946" s="2">
        <v>87345.0</v>
      </c>
      <c r="R946" s="15" t="b">
        <f>ISNUMBER(MATCH(Q946,'Returned order'!A:A,0))</f>
        <v>0</v>
      </c>
      <c r="S946" s="22">
        <v>42088.0</v>
      </c>
      <c r="T946" s="15"/>
      <c r="U946" s="15"/>
      <c r="V946" s="15"/>
    </row>
    <row r="947">
      <c r="A947" s="2">
        <v>18276.0</v>
      </c>
      <c r="B947" s="1" t="s">
        <v>170</v>
      </c>
      <c r="C947" s="2">
        <v>0.01</v>
      </c>
      <c r="D947" s="2">
        <v>6.48</v>
      </c>
      <c r="E947" s="2">
        <v>1699.0</v>
      </c>
      <c r="F947" s="1" t="s">
        <v>1256</v>
      </c>
      <c r="G947" s="1" t="s">
        <v>66</v>
      </c>
      <c r="H947" s="1" t="s">
        <v>23</v>
      </c>
      <c r="I947" s="1" t="s">
        <v>93</v>
      </c>
      <c r="J947" s="1" t="s">
        <v>1258</v>
      </c>
      <c r="K947" s="19" t="s">
        <v>26</v>
      </c>
      <c r="L947" s="20" t="s">
        <v>35</v>
      </c>
      <c r="M947" s="21">
        <f t="shared" si="1"/>
        <v>3</v>
      </c>
      <c r="N947" s="2">
        <v>-18.85</v>
      </c>
      <c r="O947" s="2">
        <v>2.0</v>
      </c>
      <c r="P947" s="2">
        <v>14.29</v>
      </c>
      <c r="Q947" s="2">
        <v>87345.0</v>
      </c>
      <c r="R947" s="15" t="b">
        <f>ISNUMBER(MATCH(Q947,'Returned order'!A:A,0))</f>
        <v>0</v>
      </c>
      <c r="S947" s="22">
        <v>42088.0</v>
      </c>
      <c r="T947" s="15"/>
      <c r="U947" s="15"/>
      <c r="V947" s="15"/>
    </row>
    <row r="948">
      <c r="A948" s="2">
        <v>24158.0</v>
      </c>
      <c r="B948" s="1" t="s">
        <v>63</v>
      </c>
      <c r="C948" s="2">
        <v>0.05</v>
      </c>
      <c r="D948" s="2">
        <v>14.81</v>
      </c>
      <c r="E948" s="2">
        <v>1702.0</v>
      </c>
      <c r="F948" s="1" t="s">
        <v>1259</v>
      </c>
      <c r="G948" s="1" t="s">
        <v>51</v>
      </c>
      <c r="H948" s="1" t="s">
        <v>23</v>
      </c>
      <c r="I948" s="1" t="s">
        <v>151</v>
      </c>
      <c r="J948" s="1" t="s">
        <v>678</v>
      </c>
      <c r="K948" s="19" t="s">
        <v>229</v>
      </c>
      <c r="L948" s="20" t="s">
        <v>53</v>
      </c>
      <c r="M948" s="21">
        <f t="shared" si="1"/>
        <v>6</v>
      </c>
      <c r="N948" s="2">
        <v>-220.052</v>
      </c>
      <c r="O948" s="2">
        <v>3.0</v>
      </c>
      <c r="P948" s="2">
        <v>45.28</v>
      </c>
      <c r="Q948" s="2">
        <v>90473.0</v>
      </c>
      <c r="R948" s="15" t="b">
        <f>ISNUMBER(MATCH(Q948,'Returned order'!A:A,0))</f>
        <v>0</v>
      </c>
      <c r="S948" s="22">
        <v>42021.0</v>
      </c>
      <c r="T948" s="15"/>
      <c r="U948" s="15"/>
      <c r="V948" s="15"/>
    </row>
    <row r="949">
      <c r="A949" s="2">
        <v>24159.0</v>
      </c>
      <c r="B949" s="1" t="s">
        <v>63</v>
      </c>
      <c r="C949" s="2">
        <v>0.05</v>
      </c>
      <c r="D949" s="2">
        <v>4.2</v>
      </c>
      <c r="E949" s="2">
        <v>1702.0</v>
      </c>
      <c r="F949" s="1" t="s">
        <v>1259</v>
      </c>
      <c r="G949" s="1" t="s">
        <v>51</v>
      </c>
      <c r="H949" s="1" t="s">
        <v>23</v>
      </c>
      <c r="I949" s="1" t="s">
        <v>93</v>
      </c>
      <c r="J949" s="1" t="s">
        <v>947</v>
      </c>
      <c r="K949" s="19" t="s">
        <v>229</v>
      </c>
      <c r="L949" s="20" t="s">
        <v>53</v>
      </c>
      <c r="M949" s="21">
        <f t="shared" si="1"/>
        <v>6</v>
      </c>
      <c r="N949" s="2">
        <v>20.39337</v>
      </c>
      <c r="O949" s="2">
        <v>3.0</v>
      </c>
      <c r="P949" s="2">
        <v>13.57</v>
      </c>
      <c r="Q949" s="2">
        <v>90473.0</v>
      </c>
      <c r="R949" s="15" t="b">
        <f>ISNUMBER(MATCH(Q949,'Returned order'!A:A,0))</f>
        <v>0</v>
      </c>
      <c r="S949" s="22">
        <v>42021.0</v>
      </c>
      <c r="T949" s="15"/>
      <c r="U949" s="15"/>
      <c r="V949" s="15"/>
    </row>
    <row r="950">
      <c r="A950" s="2">
        <v>25761.0</v>
      </c>
      <c r="B950" s="1" t="s">
        <v>63</v>
      </c>
      <c r="C950" s="2">
        <v>0.05</v>
      </c>
      <c r="D950" s="2">
        <v>5.68</v>
      </c>
      <c r="E950" s="2">
        <v>1708.0</v>
      </c>
      <c r="F950" s="1" t="s">
        <v>1260</v>
      </c>
      <c r="G950" s="1" t="s">
        <v>66</v>
      </c>
      <c r="H950" s="1" t="s">
        <v>23</v>
      </c>
      <c r="I950" s="1" t="s">
        <v>88</v>
      </c>
      <c r="J950" s="1" t="s">
        <v>145</v>
      </c>
      <c r="K950" s="19" t="s">
        <v>26</v>
      </c>
      <c r="L950" s="20" t="s">
        <v>53</v>
      </c>
      <c r="M950" s="21">
        <f t="shared" si="1"/>
        <v>6</v>
      </c>
      <c r="N950" s="2">
        <v>38.2812</v>
      </c>
      <c r="O950" s="2">
        <v>10.0</v>
      </c>
      <c r="P950" s="2">
        <v>55.48</v>
      </c>
      <c r="Q950" s="2">
        <v>88781.0</v>
      </c>
      <c r="R950" s="15" t="b">
        <f>ISNUMBER(MATCH(Q950,'Returned order'!A:A,0))</f>
        <v>0</v>
      </c>
      <c r="S950" s="22">
        <v>42021.0</v>
      </c>
      <c r="T950" s="15"/>
      <c r="U950" s="15"/>
      <c r="V950" s="15"/>
    </row>
    <row r="951">
      <c r="A951" s="2">
        <v>26037.0</v>
      </c>
      <c r="B951" s="1" t="s">
        <v>49</v>
      </c>
      <c r="C951" s="2">
        <v>0.03</v>
      </c>
      <c r="D951" s="2">
        <v>205.99</v>
      </c>
      <c r="E951" s="2">
        <v>1708.0</v>
      </c>
      <c r="F951" s="1" t="s">
        <v>1260</v>
      </c>
      <c r="G951" s="1" t="s">
        <v>66</v>
      </c>
      <c r="H951" s="1" t="s">
        <v>46</v>
      </c>
      <c r="I951" s="1" t="s">
        <v>85</v>
      </c>
      <c r="J951" s="1">
        <v>6185.0</v>
      </c>
      <c r="K951" s="19" t="s">
        <v>26</v>
      </c>
      <c r="L951" s="20" t="s">
        <v>35</v>
      </c>
      <c r="M951" s="21">
        <f t="shared" si="1"/>
        <v>3</v>
      </c>
      <c r="N951" s="2">
        <v>3670.3515</v>
      </c>
      <c r="O951" s="2">
        <v>29.0</v>
      </c>
      <c r="P951" s="2">
        <v>5319.35</v>
      </c>
      <c r="Q951" s="2">
        <v>88784.0</v>
      </c>
      <c r="R951" s="15" t="b">
        <f>ISNUMBER(MATCH(Q951,'Returned order'!A:A,0))</f>
        <v>0</v>
      </c>
      <c r="S951" s="22">
        <v>42144.0</v>
      </c>
      <c r="T951" s="15"/>
      <c r="U951" s="15"/>
      <c r="V951" s="15"/>
    </row>
    <row r="952">
      <c r="A952" s="2">
        <v>23822.0</v>
      </c>
      <c r="B952" s="1" t="s">
        <v>49</v>
      </c>
      <c r="C952" s="2">
        <v>0.01</v>
      </c>
      <c r="D952" s="2">
        <v>14.28</v>
      </c>
      <c r="E952" s="2">
        <v>1709.0</v>
      </c>
      <c r="F952" s="1" t="s">
        <v>1261</v>
      </c>
      <c r="G952" s="1" t="s">
        <v>22</v>
      </c>
      <c r="H952" s="1" t="s">
        <v>23</v>
      </c>
      <c r="I952" s="1" t="s">
        <v>24</v>
      </c>
      <c r="J952" s="1" t="s">
        <v>1262</v>
      </c>
      <c r="K952" s="19" t="s">
        <v>26</v>
      </c>
      <c r="L952" s="20" t="s">
        <v>35</v>
      </c>
      <c r="M952" s="21">
        <f t="shared" si="1"/>
        <v>3</v>
      </c>
      <c r="N952" s="2">
        <v>21.0035</v>
      </c>
      <c r="O952" s="2">
        <v>2.0</v>
      </c>
      <c r="P952" s="2">
        <v>30.44</v>
      </c>
      <c r="Q952" s="2">
        <v>88782.0</v>
      </c>
      <c r="R952" s="15" t="b">
        <f>ISNUMBER(MATCH(Q952,'Returned order'!A:A,0))</f>
        <v>0</v>
      </c>
      <c r="S952" s="22">
        <v>42025.0</v>
      </c>
      <c r="T952" s="15"/>
      <c r="U952" s="15"/>
      <c r="V952" s="15"/>
    </row>
    <row r="953">
      <c r="A953" s="2">
        <v>24577.0</v>
      </c>
      <c r="B953" s="1" t="s">
        <v>63</v>
      </c>
      <c r="C953" s="2">
        <v>0.04</v>
      </c>
      <c r="D953" s="2">
        <v>95.43</v>
      </c>
      <c r="E953" s="2">
        <v>1709.0</v>
      </c>
      <c r="F953" s="1" t="s">
        <v>1261</v>
      </c>
      <c r="G953" s="1" t="s">
        <v>66</v>
      </c>
      <c r="H953" s="1" t="s">
        <v>23</v>
      </c>
      <c r="I953" s="1" t="s">
        <v>120</v>
      </c>
      <c r="J953" s="1" t="s">
        <v>167</v>
      </c>
      <c r="K953" s="19" t="s">
        <v>26</v>
      </c>
      <c r="L953" s="20" t="s">
        <v>61</v>
      </c>
      <c r="M953" s="21">
        <f t="shared" si="1"/>
        <v>7</v>
      </c>
      <c r="N953" s="2">
        <v>13.536</v>
      </c>
      <c r="O953" s="2">
        <v>33.0</v>
      </c>
      <c r="P953" s="2">
        <v>3251.76</v>
      </c>
      <c r="Q953" s="2">
        <v>88783.0</v>
      </c>
      <c r="R953" s="15" t="b">
        <f>ISNUMBER(MATCH(Q953,'Returned order'!A:A,0))</f>
        <v>0</v>
      </c>
      <c r="S953" s="22">
        <v>42134.0</v>
      </c>
      <c r="T953" s="15"/>
      <c r="U953" s="15"/>
      <c r="V953" s="15"/>
    </row>
    <row r="954">
      <c r="A954" s="2">
        <v>19287.0</v>
      </c>
      <c r="B954" s="1" t="s">
        <v>49</v>
      </c>
      <c r="C954" s="2">
        <v>0.07</v>
      </c>
      <c r="D954" s="2">
        <v>7.59</v>
      </c>
      <c r="E954" s="2">
        <v>1711.0</v>
      </c>
      <c r="F954" s="1" t="s">
        <v>1263</v>
      </c>
      <c r="G954" s="1" t="s">
        <v>32</v>
      </c>
      <c r="H954" s="1" t="s">
        <v>37</v>
      </c>
      <c r="I954" s="1" t="s">
        <v>42</v>
      </c>
      <c r="J954" s="1" t="s">
        <v>413</v>
      </c>
      <c r="K954" s="19" t="s">
        <v>229</v>
      </c>
      <c r="L954" s="20" t="s">
        <v>27</v>
      </c>
      <c r="M954" s="21">
        <f t="shared" si="1"/>
        <v>1</v>
      </c>
      <c r="N954" s="2">
        <v>-167.048</v>
      </c>
      <c r="O954" s="2">
        <v>3.0</v>
      </c>
      <c r="P954" s="2">
        <v>22.48</v>
      </c>
      <c r="Q954" s="2">
        <v>87747.0</v>
      </c>
      <c r="R954" s="15" t="b">
        <f>ISNUMBER(MATCH(Q954,'Returned order'!A:A,0))</f>
        <v>0</v>
      </c>
      <c r="S954" s="22">
        <v>42079.0</v>
      </c>
      <c r="T954" s="15"/>
      <c r="U954" s="15"/>
      <c r="V954" s="15"/>
    </row>
    <row r="955">
      <c r="A955" s="2">
        <v>21655.0</v>
      </c>
      <c r="B955" s="1" t="s">
        <v>170</v>
      </c>
      <c r="C955" s="2">
        <v>0.03</v>
      </c>
      <c r="D955" s="2">
        <v>11.66</v>
      </c>
      <c r="E955" s="2">
        <v>1712.0</v>
      </c>
      <c r="F955" s="1" t="s">
        <v>1264</v>
      </c>
      <c r="G955" s="1" t="s">
        <v>32</v>
      </c>
      <c r="H955" s="1" t="s">
        <v>23</v>
      </c>
      <c r="I955" s="1" t="s">
        <v>29</v>
      </c>
      <c r="J955" s="1" t="s">
        <v>1265</v>
      </c>
      <c r="K955" s="19" t="s">
        <v>229</v>
      </c>
      <c r="L955" s="20" t="s">
        <v>53</v>
      </c>
      <c r="M955" s="21">
        <f t="shared" si="1"/>
        <v>6</v>
      </c>
      <c r="N955" s="2">
        <v>-31.094</v>
      </c>
      <c r="O955" s="2">
        <v>22.0</v>
      </c>
      <c r="P955" s="2">
        <v>267.32</v>
      </c>
      <c r="Q955" s="2">
        <v>87749.0</v>
      </c>
      <c r="R955" s="15" t="b">
        <f>ISNUMBER(MATCH(Q955,'Returned order'!A:A,0))</f>
        <v>0</v>
      </c>
      <c r="S955" s="22">
        <v>42105.0</v>
      </c>
      <c r="T955" s="15"/>
      <c r="U955" s="15"/>
      <c r="V955" s="15"/>
    </row>
    <row r="956">
      <c r="A956" s="2">
        <v>25078.0</v>
      </c>
      <c r="B956" s="1" t="s">
        <v>28</v>
      </c>
      <c r="C956" s="2">
        <v>0.01</v>
      </c>
      <c r="D956" s="2">
        <v>23.99</v>
      </c>
      <c r="E956" s="2">
        <v>1713.0</v>
      </c>
      <c r="F956" s="1" t="s">
        <v>1266</v>
      </c>
      <c r="G956" s="1" t="s">
        <v>32</v>
      </c>
      <c r="H956" s="1" t="s">
        <v>46</v>
      </c>
      <c r="I956" s="1" t="s">
        <v>103</v>
      </c>
      <c r="J956" s="1" t="s">
        <v>1267</v>
      </c>
      <c r="K956" s="19" t="s">
        <v>229</v>
      </c>
      <c r="L956" s="20" t="s">
        <v>76</v>
      </c>
      <c r="M956" s="21">
        <f t="shared" si="1"/>
        <v>5</v>
      </c>
      <c r="N956" s="2">
        <v>-6.202</v>
      </c>
      <c r="O956" s="2">
        <v>11.0</v>
      </c>
      <c r="P956" s="2">
        <v>284.39</v>
      </c>
      <c r="Q956" s="2">
        <v>87748.0</v>
      </c>
      <c r="R956" s="15" t="b">
        <f>ISNUMBER(MATCH(Q956,'Returned order'!A:A,0))</f>
        <v>0</v>
      </c>
      <c r="S956" s="22">
        <v>42153.0</v>
      </c>
      <c r="T956" s="15"/>
      <c r="U956" s="15"/>
      <c r="V956" s="15"/>
    </row>
    <row r="957">
      <c r="A957" s="2">
        <v>19884.0</v>
      </c>
      <c r="B957" s="1" t="s">
        <v>170</v>
      </c>
      <c r="C957" s="2">
        <v>0.01</v>
      </c>
      <c r="D957" s="2">
        <v>300.98</v>
      </c>
      <c r="E957" s="2">
        <v>1718.0</v>
      </c>
      <c r="F957" s="1" t="s">
        <v>1268</v>
      </c>
      <c r="G957" s="1" t="s">
        <v>22</v>
      </c>
      <c r="H957" s="1" t="s">
        <v>37</v>
      </c>
      <c r="I957" s="1" t="s">
        <v>38</v>
      </c>
      <c r="J957" s="1" t="s">
        <v>1116</v>
      </c>
      <c r="K957" s="19" t="s">
        <v>229</v>
      </c>
      <c r="L957" s="20" t="s">
        <v>61</v>
      </c>
      <c r="M957" s="21">
        <f t="shared" si="1"/>
        <v>7</v>
      </c>
      <c r="N957" s="2">
        <v>-48.874</v>
      </c>
      <c r="O957" s="2">
        <v>3.0</v>
      </c>
      <c r="P957" s="2">
        <v>974.14</v>
      </c>
      <c r="Q957" s="2">
        <v>90621.0</v>
      </c>
      <c r="R957" s="15" t="b">
        <f>ISNUMBER(MATCH(Q957,'Returned order'!A:A,0))</f>
        <v>0</v>
      </c>
      <c r="S957" s="22">
        <v>42071.0</v>
      </c>
      <c r="T957" s="15"/>
      <c r="U957" s="15"/>
      <c r="V957" s="15"/>
    </row>
    <row r="958">
      <c r="A958" s="2">
        <v>20619.0</v>
      </c>
      <c r="B958" s="1" t="s">
        <v>63</v>
      </c>
      <c r="C958" s="2">
        <v>0.06</v>
      </c>
      <c r="D958" s="2">
        <v>16.48</v>
      </c>
      <c r="E958" s="2">
        <v>1719.0</v>
      </c>
      <c r="F958" s="1" t="s">
        <v>1269</v>
      </c>
      <c r="G958" s="1" t="s">
        <v>32</v>
      </c>
      <c r="H958" s="1" t="s">
        <v>46</v>
      </c>
      <c r="I958" s="1" t="s">
        <v>47</v>
      </c>
      <c r="J958" s="1" t="s">
        <v>148</v>
      </c>
      <c r="K958" s="19" t="s">
        <v>229</v>
      </c>
      <c r="L958" s="20" t="s">
        <v>53</v>
      </c>
      <c r="M958" s="21">
        <f t="shared" si="1"/>
        <v>6</v>
      </c>
      <c r="N958" s="2">
        <v>-144.592</v>
      </c>
      <c r="O958" s="2">
        <v>8.0</v>
      </c>
      <c r="P958" s="2">
        <v>128.13</v>
      </c>
      <c r="Q958" s="2">
        <v>90786.0</v>
      </c>
      <c r="R958" s="15" t="b">
        <f>ISNUMBER(MATCH(Q958,'Returned order'!A:A,0))</f>
        <v>0</v>
      </c>
      <c r="S958" s="22">
        <v>42021.0</v>
      </c>
      <c r="T958" s="15"/>
      <c r="U958" s="15"/>
      <c r="V958" s="15"/>
    </row>
    <row r="959">
      <c r="A959" s="2">
        <v>22596.0</v>
      </c>
      <c r="B959" s="1" t="s">
        <v>28</v>
      </c>
      <c r="C959" s="2">
        <v>0.04</v>
      </c>
      <c r="D959" s="2">
        <v>12.44</v>
      </c>
      <c r="E959" s="2">
        <v>1721.0</v>
      </c>
      <c r="F959" s="1" t="s">
        <v>1270</v>
      </c>
      <c r="G959" s="1" t="s">
        <v>32</v>
      </c>
      <c r="H959" s="1" t="s">
        <v>23</v>
      </c>
      <c r="I959" s="1" t="s">
        <v>120</v>
      </c>
      <c r="J959" s="1" t="s">
        <v>1271</v>
      </c>
      <c r="K959" s="19" t="s">
        <v>229</v>
      </c>
      <c r="L959" s="20" t="s">
        <v>53</v>
      </c>
      <c r="M959" s="21">
        <f t="shared" si="1"/>
        <v>6</v>
      </c>
      <c r="N959" s="2">
        <v>-258.566</v>
      </c>
      <c r="O959" s="2">
        <v>37.0</v>
      </c>
      <c r="P959" s="2">
        <v>464.94</v>
      </c>
      <c r="Q959" s="2">
        <v>90787.0</v>
      </c>
      <c r="R959" s="15" t="b">
        <f>ISNUMBER(MATCH(Q959,'Returned order'!A:A,0))</f>
        <v>0</v>
      </c>
      <c r="S959" s="22">
        <v>42140.0</v>
      </c>
      <c r="T959" s="15"/>
      <c r="U959" s="15"/>
      <c r="V959" s="15"/>
    </row>
    <row r="960">
      <c r="A960" s="2">
        <v>5670.0</v>
      </c>
      <c r="B960" s="1" t="s">
        <v>170</v>
      </c>
      <c r="C960" s="2">
        <v>0.1</v>
      </c>
      <c r="D960" s="2">
        <v>49.99</v>
      </c>
      <c r="E960" s="2">
        <v>1723.0</v>
      </c>
      <c r="F960" s="1" t="s">
        <v>1272</v>
      </c>
      <c r="G960" s="1" t="s">
        <v>32</v>
      </c>
      <c r="H960" s="1" t="s">
        <v>46</v>
      </c>
      <c r="I960" s="1" t="s">
        <v>47</v>
      </c>
      <c r="J960" s="1" t="s">
        <v>1273</v>
      </c>
      <c r="K960" s="19" t="s">
        <v>34</v>
      </c>
      <c r="L960" s="20" t="s">
        <v>53</v>
      </c>
      <c r="M960" s="21">
        <f t="shared" si="1"/>
        <v>6</v>
      </c>
      <c r="N960" s="2">
        <v>13.508</v>
      </c>
      <c r="O960" s="2">
        <v>46.0</v>
      </c>
      <c r="P960" s="2">
        <v>2188.06</v>
      </c>
      <c r="Q960" s="2">
        <v>40101.0</v>
      </c>
      <c r="R960" s="15" t="b">
        <f>ISNUMBER(MATCH(Q960,'Returned order'!A:A,0))</f>
        <v>0</v>
      </c>
      <c r="S960" s="22">
        <v>42035.0</v>
      </c>
      <c r="T960" s="15"/>
      <c r="U960" s="15"/>
      <c r="V960" s="15"/>
    </row>
    <row r="961">
      <c r="A961" s="2">
        <v>6212.0</v>
      </c>
      <c r="B961" s="1" t="s">
        <v>63</v>
      </c>
      <c r="C961" s="2">
        <v>0.05</v>
      </c>
      <c r="D961" s="2">
        <v>6.68</v>
      </c>
      <c r="E961" s="2">
        <v>1723.0</v>
      </c>
      <c r="F961" s="1" t="s">
        <v>1272</v>
      </c>
      <c r="G961" s="1" t="s">
        <v>32</v>
      </c>
      <c r="H961" s="1" t="s">
        <v>23</v>
      </c>
      <c r="I961" s="1" t="s">
        <v>93</v>
      </c>
      <c r="J961" s="1" t="s">
        <v>900</v>
      </c>
      <c r="K961" s="19" t="s">
        <v>34</v>
      </c>
      <c r="L961" s="20" t="s">
        <v>53</v>
      </c>
      <c r="M961" s="21">
        <f t="shared" si="1"/>
        <v>6</v>
      </c>
      <c r="N961" s="2">
        <v>-66.48</v>
      </c>
      <c r="O961" s="2">
        <v>46.0</v>
      </c>
      <c r="P961" s="2">
        <v>320.93</v>
      </c>
      <c r="Q961" s="2">
        <v>44002.0</v>
      </c>
      <c r="R961" s="15" t="b">
        <f>ISNUMBER(MATCH(Q961,'Returned order'!A:A,0))</f>
        <v>0</v>
      </c>
      <c r="S961" s="22">
        <v>42042.0</v>
      </c>
      <c r="T961" s="15"/>
      <c r="U961" s="15"/>
      <c r="V961" s="15"/>
    </row>
    <row r="962">
      <c r="A962" s="2">
        <v>6213.0</v>
      </c>
      <c r="B962" s="1" t="s">
        <v>63</v>
      </c>
      <c r="C962" s="2">
        <v>0.03</v>
      </c>
      <c r="D962" s="2">
        <v>17.7</v>
      </c>
      <c r="E962" s="2">
        <v>1723.0</v>
      </c>
      <c r="F962" s="1" t="s">
        <v>1272</v>
      </c>
      <c r="G962" s="1" t="s">
        <v>32</v>
      </c>
      <c r="H962" s="1" t="s">
        <v>23</v>
      </c>
      <c r="I962" s="1" t="s">
        <v>120</v>
      </c>
      <c r="J962" s="1" t="s">
        <v>1170</v>
      </c>
      <c r="K962" s="19" t="s">
        <v>34</v>
      </c>
      <c r="L962" s="20" t="s">
        <v>53</v>
      </c>
      <c r="M962" s="21">
        <f t="shared" si="1"/>
        <v>6</v>
      </c>
      <c r="N962" s="2">
        <v>-52.33</v>
      </c>
      <c r="O962" s="2">
        <v>14.0</v>
      </c>
      <c r="P962" s="2">
        <v>261.85</v>
      </c>
      <c r="Q962" s="2">
        <v>44002.0</v>
      </c>
      <c r="R962" s="15" t="b">
        <f>ISNUMBER(MATCH(Q962,'Returned order'!A:A,0))</f>
        <v>0</v>
      </c>
      <c r="S962" s="22">
        <v>42042.0</v>
      </c>
      <c r="T962" s="15"/>
      <c r="U962" s="15"/>
      <c r="V962" s="15"/>
    </row>
    <row r="963">
      <c r="A963" s="2">
        <v>4596.0</v>
      </c>
      <c r="B963" s="1" t="s">
        <v>28</v>
      </c>
      <c r="C963" s="2">
        <v>0.04</v>
      </c>
      <c r="D963" s="2">
        <v>12.44</v>
      </c>
      <c r="E963" s="2">
        <v>1723.0</v>
      </c>
      <c r="F963" s="1" t="s">
        <v>1272</v>
      </c>
      <c r="G963" s="1" t="s">
        <v>32</v>
      </c>
      <c r="H963" s="1" t="s">
        <v>23</v>
      </c>
      <c r="I963" s="1" t="s">
        <v>120</v>
      </c>
      <c r="J963" s="1" t="s">
        <v>1271</v>
      </c>
      <c r="K963" s="19" t="s">
        <v>34</v>
      </c>
      <c r="L963" s="20" t="s">
        <v>53</v>
      </c>
      <c r="M963" s="21">
        <f t="shared" si="1"/>
        <v>6</v>
      </c>
      <c r="N963" s="2">
        <v>-59.06</v>
      </c>
      <c r="O963" s="2">
        <v>146.0</v>
      </c>
      <c r="P963" s="2">
        <v>1834.61</v>
      </c>
      <c r="Q963" s="2">
        <v>32710.0</v>
      </c>
      <c r="R963" s="15" t="b">
        <f>ISNUMBER(MATCH(Q963,'Returned order'!A:A,0))</f>
        <v>0</v>
      </c>
      <c r="S963" s="22">
        <v>42140.0</v>
      </c>
      <c r="T963" s="15"/>
      <c r="U963" s="15"/>
      <c r="V963" s="15"/>
    </row>
    <row r="964">
      <c r="A964" s="2">
        <v>18244.0</v>
      </c>
      <c r="B964" s="1" t="s">
        <v>28</v>
      </c>
      <c r="C964" s="2">
        <v>0.05</v>
      </c>
      <c r="D964" s="2">
        <v>35.99</v>
      </c>
      <c r="E964" s="2">
        <v>1725.0</v>
      </c>
      <c r="F964" s="1" t="s">
        <v>1274</v>
      </c>
      <c r="G964" s="1" t="s">
        <v>32</v>
      </c>
      <c r="H964" s="1" t="s">
        <v>46</v>
      </c>
      <c r="I964" s="1" t="s">
        <v>85</v>
      </c>
      <c r="J964" s="1" t="s">
        <v>750</v>
      </c>
      <c r="K964" s="19" t="s">
        <v>26</v>
      </c>
      <c r="L964" s="20" t="s">
        <v>70</v>
      </c>
      <c r="M964" s="21">
        <f t="shared" si="1"/>
        <v>4</v>
      </c>
      <c r="N964" s="2">
        <v>149.166</v>
      </c>
      <c r="O964" s="2">
        <v>9.0</v>
      </c>
      <c r="P964" s="2">
        <v>261.56</v>
      </c>
      <c r="Q964" s="2">
        <v>87193.0</v>
      </c>
      <c r="R964" s="15" t="b">
        <f>ISNUMBER(MATCH(Q964,'Returned order'!A:A,0))</f>
        <v>0</v>
      </c>
      <c r="S964" s="22">
        <v>42131.0</v>
      </c>
      <c r="T964" s="15"/>
      <c r="U964" s="15"/>
      <c r="V964" s="15"/>
    </row>
    <row r="965">
      <c r="A965" s="2">
        <v>24872.0</v>
      </c>
      <c r="B965" s="1" t="s">
        <v>49</v>
      </c>
      <c r="C965" s="2">
        <v>0.1</v>
      </c>
      <c r="D965" s="2">
        <v>14.98</v>
      </c>
      <c r="E965" s="2">
        <v>1727.0</v>
      </c>
      <c r="F965" s="1" t="s">
        <v>1275</v>
      </c>
      <c r="G965" s="1" t="s">
        <v>66</v>
      </c>
      <c r="H965" s="1" t="s">
        <v>23</v>
      </c>
      <c r="I965" s="1" t="s">
        <v>120</v>
      </c>
      <c r="J965" s="1" t="s">
        <v>196</v>
      </c>
      <c r="K965" s="19" t="s">
        <v>26</v>
      </c>
      <c r="L965" s="20" t="s">
        <v>35</v>
      </c>
      <c r="M965" s="21">
        <f t="shared" si="1"/>
        <v>3</v>
      </c>
      <c r="N965" s="2">
        <v>-76.9</v>
      </c>
      <c r="O965" s="2">
        <v>8.0</v>
      </c>
      <c r="P965" s="2">
        <v>114.81</v>
      </c>
      <c r="Q965" s="2">
        <v>87194.0</v>
      </c>
      <c r="R965" s="15" t="b">
        <f>ISNUMBER(MATCH(Q965,'Returned order'!A:A,0))</f>
        <v>0</v>
      </c>
      <c r="S965" s="22">
        <v>42025.0</v>
      </c>
      <c r="T965" s="15"/>
      <c r="U965" s="15"/>
      <c r="V965" s="15"/>
    </row>
    <row r="966">
      <c r="A966" s="2">
        <v>26066.0</v>
      </c>
      <c r="B966" s="1" t="s">
        <v>28</v>
      </c>
      <c r="C966" s="2">
        <v>0.04</v>
      </c>
      <c r="D966" s="2">
        <v>55.48</v>
      </c>
      <c r="E966" s="2">
        <v>1728.0</v>
      </c>
      <c r="F966" s="1" t="s">
        <v>1276</v>
      </c>
      <c r="G966" s="1" t="s">
        <v>32</v>
      </c>
      <c r="H966" s="1" t="s">
        <v>23</v>
      </c>
      <c r="I966" s="1" t="s">
        <v>93</v>
      </c>
      <c r="J966" s="1" t="s">
        <v>1219</v>
      </c>
      <c r="K966" s="19" t="s">
        <v>26</v>
      </c>
      <c r="L966" s="20" t="s">
        <v>61</v>
      </c>
      <c r="M966" s="21">
        <f t="shared" si="1"/>
        <v>7</v>
      </c>
      <c r="N966" s="2">
        <v>376.8849</v>
      </c>
      <c r="O966" s="2">
        <v>10.0</v>
      </c>
      <c r="P966" s="2">
        <v>546.21</v>
      </c>
      <c r="Q966" s="2">
        <v>87195.0</v>
      </c>
      <c r="R966" s="15" t="b">
        <f>ISNUMBER(MATCH(Q966,'Returned order'!A:A,0))</f>
        <v>0</v>
      </c>
      <c r="S966" s="22">
        <v>42057.0</v>
      </c>
      <c r="T966" s="15"/>
      <c r="U966" s="15"/>
      <c r="V966" s="15"/>
    </row>
    <row r="967">
      <c r="A967" s="2">
        <v>24545.0</v>
      </c>
      <c r="B967" s="1" t="s">
        <v>28</v>
      </c>
      <c r="C967" s="2">
        <v>0.1</v>
      </c>
      <c r="D967" s="2">
        <v>65.99</v>
      </c>
      <c r="E967" s="2">
        <v>1730.0</v>
      </c>
      <c r="F967" s="1" t="s">
        <v>1277</v>
      </c>
      <c r="G967" s="1" t="s">
        <v>66</v>
      </c>
      <c r="H967" s="1" t="s">
        <v>46</v>
      </c>
      <c r="I967" s="1" t="s">
        <v>85</v>
      </c>
      <c r="J967" s="1" t="s">
        <v>823</v>
      </c>
      <c r="K967" s="19" t="s">
        <v>34</v>
      </c>
      <c r="L967" s="20" t="s">
        <v>57</v>
      </c>
      <c r="M967" s="21">
        <f t="shared" si="1"/>
        <v>2</v>
      </c>
      <c r="N967" s="2">
        <v>-88.6248</v>
      </c>
      <c r="O967" s="2">
        <v>5.0</v>
      </c>
      <c r="P967" s="2">
        <v>272.86</v>
      </c>
      <c r="Q967" s="2">
        <v>90653.0</v>
      </c>
      <c r="R967" s="15" t="b">
        <f>ISNUMBER(MATCH(Q967,'Returned order'!A:A,0))</f>
        <v>0</v>
      </c>
      <c r="S967" s="22">
        <v>42101.0</v>
      </c>
      <c r="T967" s="15"/>
      <c r="U967" s="15"/>
      <c r="V967" s="15"/>
    </row>
    <row r="968">
      <c r="A968" s="2">
        <v>566.0</v>
      </c>
      <c r="B968" s="1" t="s">
        <v>49</v>
      </c>
      <c r="C968" s="2">
        <v>0.02</v>
      </c>
      <c r="D968" s="2">
        <v>60.98</v>
      </c>
      <c r="E968" s="2">
        <v>1733.0</v>
      </c>
      <c r="F968" s="1" t="s">
        <v>1278</v>
      </c>
      <c r="G968" s="1" t="s">
        <v>66</v>
      </c>
      <c r="H968" s="1" t="s">
        <v>23</v>
      </c>
      <c r="I968" s="1" t="s">
        <v>151</v>
      </c>
      <c r="J968" s="1" t="s">
        <v>1180</v>
      </c>
      <c r="K968" s="19" t="s">
        <v>26</v>
      </c>
      <c r="L968" s="20" t="s">
        <v>53</v>
      </c>
      <c r="M968" s="21">
        <f t="shared" si="1"/>
        <v>6</v>
      </c>
      <c r="N968" s="2">
        <v>-662.52</v>
      </c>
      <c r="O968" s="2">
        <v>34.0</v>
      </c>
      <c r="P968" s="2">
        <v>2119.54</v>
      </c>
      <c r="Q968" s="2">
        <v>3841.0</v>
      </c>
      <c r="R968" s="15" t="b">
        <f>ISNUMBER(MATCH(Q968,'Returned order'!A:A,0))</f>
        <v>0</v>
      </c>
      <c r="S968" s="22">
        <v>42098.0</v>
      </c>
      <c r="T968" s="15"/>
      <c r="U968" s="15"/>
      <c r="V968" s="15"/>
    </row>
    <row r="969">
      <c r="A969" s="2">
        <v>567.0</v>
      </c>
      <c r="B969" s="1" t="s">
        <v>49</v>
      </c>
      <c r="C969" s="2">
        <v>0.02</v>
      </c>
      <c r="D969" s="2">
        <v>1270.99</v>
      </c>
      <c r="E969" s="2">
        <v>1733.0</v>
      </c>
      <c r="F969" s="1" t="s">
        <v>1278</v>
      </c>
      <c r="G969" s="1" t="s">
        <v>66</v>
      </c>
      <c r="H969" s="1" t="s">
        <v>23</v>
      </c>
      <c r="I969" s="1" t="s">
        <v>24</v>
      </c>
      <c r="J969" s="1" t="s">
        <v>541</v>
      </c>
      <c r="K969" s="19" t="s">
        <v>26</v>
      </c>
      <c r="L969" s="20" t="s">
        <v>53</v>
      </c>
      <c r="M969" s="21">
        <f t="shared" si="1"/>
        <v>6</v>
      </c>
      <c r="N969" s="2">
        <v>9228.2256</v>
      </c>
      <c r="O969" s="2">
        <v>36.0</v>
      </c>
      <c r="P969" s="2">
        <v>45737.33</v>
      </c>
      <c r="Q969" s="2">
        <v>3841.0</v>
      </c>
      <c r="R969" s="15" t="b">
        <f>ISNUMBER(MATCH(Q969,'Returned order'!A:A,0))</f>
        <v>0</v>
      </c>
      <c r="S969" s="22">
        <v>42098.0</v>
      </c>
      <c r="T969" s="15"/>
      <c r="U969" s="15"/>
      <c r="V969" s="15"/>
    </row>
    <row r="970">
      <c r="A970" s="2">
        <v>8389.0</v>
      </c>
      <c r="B970" s="1" t="s">
        <v>28</v>
      </c>
      <c r="C970" s="2">
        <v>0.02</v>
      </c>
      <c r="D970" s="2">
        <v>30.98</v>
      </c>
      <c r="E970" s="2">
        <v>1733.0</v>
      </c>
      <c r="F970" s="1" t="s">
        <v>1278</v>
      </c>
      <c r="G970" s="1" t="s">
        <v>66</v>
      </c>
      <c r="H970" s="1" t="s">
        <v>23</v>
      </c>
      <c r="I970" s="1" t="s">
        <v>93</v>
      </c>
      <c r="J970" s="1" t="s">
        <v>1279</v>
      </c>
      <c r="K970" s="19" t="s">
        <v>26</v>
      </c>
      <c r="L970" s="20" t="s">
        <v>61</v>
      </c>
      <c r="M970" s="21">
        <f t="shared" si="1"/>
        <v>7</v>
      </c>
      <c r="N970" s="2">
        <v>-32.28</v>
      </c>
      <c r="O970" s="2">
        <v>13.0</v>
      </c>
      <c r="P970" s="2">
        <v>438.25</v>
      </c>
      <c r="Q970" s="2">
        <v>59937.0</v>
      </c>
      <c r="R970" s="15" t="b">
        <f>ISNUMBER(MATCH(Q970,'Returned order'!A:A,0))</f>
        <v>1</v>
      </c>
      <c r="S970" s="22">
        <v>42183.0</v>
      </c>
      <c r="T970" s="15"/>
      <c r="U970" s="15"/>
      <c r="V970" s="15"/>
    </row>
    <row r="971">
      <c r="A971" s="2">
        <v>18566.0</v>
      </c>
      <c r="B971" s="1" t="s">
        <v>49</v>
      </c>
      <c r="C971" s="2">
        <v>0.02</v>
      </c>
      <c r="D971" s="2">
        <v>60.98</v>
      </c>
      <c r="E971" s="2">
        <v>1734.0</v>
      </c>
      <c r="F971" s="1" t="s">
        <v>1280</v>
      </c>
      <c r="G971" s="1" t="s">
        <v>66</v>
      </c>
      <c r="H971" s="1" t="s">
        <v>23</v>
      </c>
      <c r="I971" s="1" t="s">
        <v>151</v>
      </c>
      <c r="J971" s="1" t="s">
        <v>1180</v>
      </c>
      <c r="K971" s="19" t="s">
        <v>26</v>
      </c>
      <c r="L971" s="20" t="s">
        <v>53</v>
      </c>
      <c r="M971" s="21">
        <f t="shared" si="1"/>
        <v>6</v>
      </c>
      <c r="N971" s="2">
        <v>-596.268</v>
      </c>
      <c r="O971" s="2">
        <v>9.0</v>
      </c>
      <c r="P971" s="2">
        <v>561.06</v>
      </c>
      <c r="Q971" s="2">
        <v>88443.0</v>
      </c>
      <c r="R971" s="15" t="b">
        <f>ISNUMBER(MATCH(Q971,'Returned order'!A:A,0))</f>
        <v>0</v>
      </c>
      <c r="S971" s="22">
        <v>42098.0</v>
      </c>
      <c r="T971" s="15"/>
      <c r="U971" s="15"/>
      <c r="V971" s="15"/>
    </row>
    <row r="972">
      <c r="A972" s="2">
        <v>18567.0</v>
      </c>
      <c r="B972" s="1" t="s">
        <v>49</v>
      </c>
      <c r="C972" s="2">
        <v>0.02</v>
      </c>
      <c r="D972" s="2">
        <v>1270.99</v>
      </c>
      <c r="E972" s="2">
        <v>1734.0</v>
      </c>
      <c r="F972" s="1" t="s">
        <v>1280</v>
      </c>
      <c r="G972" s="1" t="s">
        <v>66</v>
      </c>
      <c r="H972" s="1" t="s">
        <v>23</v>
      </c>
      <c r="I972" s="1" t="s">
        <v>24</v>
      </c>
      <c r="J972" s="1" t="s">
        <v>541</v>
      </c>
      <c r="K972" s="19" t="s">
        <v>26</v>
      </c>
      <c r="L972" s="20" t="s">
        <v>53</v>
      </c>
      <c r="M972" s="21">
        <f t="shared" si="1"/>
        <v>6</v>
      </c>
      <c r="N972" s="2">
        <v>7889.6877</v>
      </c>
      <c r="O972" s="2">
        <v>9.0</v>
      </c>
      <c r="P972" s="2">
        <v>11434.33</v>
      </c>
      <c r="Q972" s="2">
        <v>88443.0</v>
      </c>
      <c r="R972" s="15" t="b">
        <f>ISNUMBER(MATCH(Q972,'Returned order'!A:A,0))</f>
        <v>0</v>
      </c>
      <c r="S972" s="22">
        <v>42098.0</v>
      </c>
      <c r="T972" s="15"/>
      <c r="U972" s="15"/>
      <c r="V972" s="15"/>
    </row>
    <row r="973">
      <c r="A973" s="2">
        <v>18568.0</v>
      </c>
      <c r="B973" s="1" t="s">
        <v>49</v>
      </c>
      <c r="C973" s="2">
        <v>0.05</v>
      </c>
      <c r="D973" s="2">
        <v>205.99</v>
      </c>
      <c r="E973" s="2">
        <v>1734.0</v>
      </c>
      <c r="F973" s="1" t="s">
        <v>1280</v>
      </c>
      <c r="G973" s="1" t="s">
        <v>66</v>
      </c>
      <c r="H973" s="1" t="s">
        <v>46</v>
      </c>
      <c r="I973" s="1" t="s">
        <v>85</v>
      </c>
      <c r="J973" s="1" t="s">
        <v>1152</v>
      </c>
      <c r="K973" s="19" t="s">
        <v>26</v>
      </c>
      <c r="L973" s="20" t="s">
        <v>53</v>
      </c>
      <c r="M973" s="21">
        <f t="shared" si="1"/>
        <v>6</v>
      </c>
      <c r="N973" s="2">
        <v>1545.80976</v>
      </c>
      <c r="O973" s="2">
        <v>19.0</v>
      </c>
      <c r="P973" s="2">
        <v>3229.24</v>
      </c>
      <c r="Q973" s="2">
        <v>88443.0</v>
      </c>
      <c r="R973" s="15" t="b">
        <f>ISNUMBER(MATCH(Q973,'Returned order'!A:A,0))</f>
        <v>0</v>
      </c>
      <c r="S973" s="22">
        <v>42098.0</v>
      </c>
      <c r="T973" s="15"/>
      <c r="U973" s="15"/>
      <c r="V973" s="15"/>
    </row>
    <row r="974">
      <c r="A974" s="2">
        <v>26389.0</v>
      </c>
      <c r="B974" s="1" t="s">
        <v>28</v>
      </c>
      <c r="C974" s="2">
        <v>0.02</v>
      </c>
      <c r="D974" s="2">
        <v>30.98</v>
      </c>
      <c r="E974" s="2">
        <v>1735.0</v>
      </c>
      <c r="F974" s="1" t="s">
        <v>1281</v>
      </c>
      <c r="G974" s="1" t="s">
        <v>66</v>
      </c>
      <c r="H974" s="1" t="s">
        <v>23</v>
      </c>
      <c r="I974" s="1" t="s">
        <v>93</v>
      </c>
      <c r="J974" s="1" t="s">
        <v>1279</v>
      </c>
      <c r="K974" s="19" t="s">
        <v>26</v>
      </c>
      <c r="L974" s="20" t="s">
        <v>61</v>
      </c>
      <c r="M974" s="21">
        <f t="shared" si="1"/>
        <v>7</v>
      </c>
      <c r="N974" s="2">
        <v>-16.14</v>
      </c>
      <c r="O974" s="2">
        <v>3.0</v>
      </c>
      <c r="P974" s="2">
        <v>101.13</v>
      </c>
      <c r="Q974" s="2">
        <v>88444.0</v>
      </c>
      <c r="R974" s="15" t="b">
        <f>ISNUMBER(MATCH(Q974,'Returned order'!A:A,0))</f>
        <v>0</v>
      </c>
      <c r="S974" s="22">
        <v>42183.0</v>
      </c>
      <c r="T974" s="15"/>
      <c r="U974" s="15"/>
      <c r="V974" s="15"/>
    </row>
    <row r="975">
      <c r="A975" s="2">
        <v>18012.0</v>
      </c>
      <c r="B975" s="1" t="s">
        <v>49</v>
      </c>
      <c r="C975" s="2">
        <v>0.09</v>
      </c>
      <c r="D975" s="2">
        <v>30.93</v>
      </c>
      <c r="E975" s="2">
        <v>1737.0</v>
      </c>
      <c r="F975" s="1" t="s">
        <v>1282</v>
      </c>
      <c r="G975" s="1" t="s">
        <v>32</v>
      </c>
      <c r="H975" s="1" t="s">
        <v>37</v>
      </c>
      <c r="I975" s="1" t="s">
        <v>42</v>
      </c>
      <c r="J975" s="1" t="s">
        <v>1283</v>
      </c>
      <c r="K975" s="19" t="s">
        <v>229</v>
      </c>
      <c r="L975" s="20" t="s">
        <v>35</v>
      </c>
      <c r="M975" s="21">
        <f t="shared" si="1"/>
        <v>3</v>
      </c>
      <c r="N975" s="2">
        <v>-130.424</v>
      </c>
      <c r="O975" s="2">
        <v>16.0</v>
      </c>
      <c r="P975" s="2">
        <v>451.83</v>
      </c>
      <c r="Q975" s="2">
        <v>85866.0</v>
      </c>
      <c r="R975" s="15" t="b">
        <f>ISNUMBER(MATCH(Q975,'Returned order'!A:A,0))</f>
        <v>0</v>
      </c>
      <c r="S975" s="22">
        <v>42158.0</v>
      </c>
      <c r="T975" s="15"/>
      <c r="U975" s="15"/>
      <c r="V975" s="15"/>
    </row>
    <row r="976">
      <c r="A976" s="2">
        <v>18013.0</v>
      </c>
      <c r="B976" s="1" t="s">
        <v>49</v>
      </c>
      <c r="C976" s="2">
        <v>0.03</v>
      </c>
      <c r="D976" s="2">
        <v>1.68</v>
      </c>
      <c r="E976" s="2">
        <v>1737.0</v>
      </c>
      <c r="F976" s="1" t="s">
        <v>1282</v>
      </c>
      <c r="G976" s="1" t="s">
        <v>32</v>
      </c>
      <c r="H976" s="1" t="s">
        <v>23</v>
      </c>
      <c r="I976" s="1" t="s">
        <v>29</v>
      </c>
      <c r="J976" s="1" t="s">
        <v>1284</v>
      </c>
      <c r="K976" s="19" t="s">
        <v>229</v>
      </c>
      <c r="L976" s="20" t="s">
        <v>35</v>
      </c>
      <c r="M976" s="21">
        <f t="shared" si="1"/>
        <v>3</v>
      </c>
      <c r="N976" s="2">
        <v>-106.421</v>
      </c>
      <c r="O976" s="2">
        <v>11.0</v>
      </c>
      <c r="P976" s="2">
        <v>20.24</v>
      </c>
      <c r="Q976" s="2">
        <v>85866.0</v>
      </c>
      <c r="R976" s="15" t="b">
        <f>ISNUMBER(MATCH(Q976,'Returned order'!A:A,0))</f>
        <v>0</v>
      </c>
      <c r="S976" s="22">
        <v>42158.0</v>
      </c>
      <c r="T976" s="15"/>
      <c r="U976" s="15"/>
      <c r="V976" s="15"/>
    </row>
    <row r="977">
      <c r="A977" s="2">
        <v>18306.0</v>
      </c>
      <c r="B977" s="1" t="s">
        <v>63</v>
      </c>
      <c r="C977" s="2">
        <v>0.08</v>
      </c>
      <c r="D977" s="2">
        <v>175.99</v>
      </c>
      <c r="E977" s="2">
        <v>1738.0</v>
      </c>
      <c r="F977" s="1" t="s">
        <v>1285</v>
      </c>
      <c r="G977" s="1" t="s">
        <v>32</v>
      </c>
      <c r="H977" s="1" t="s">
        <v>46</v>
      </c>
      <c r="I977" s="1" t="s">
        <v>85</v>
      </c>
      <c r="J977" s="1">
        <v>5165.0</v>
      </c>
      <c r="K977" s="19" t="s">
        <v>229</v>
      </c>
      <c r="L977" s="20" t="s">
        <v>53</v>
      </c>
      <c r="M977" s="21">
        <f t="shared" si="1"/>
        <v>6</v>
      </c>
      <c r="N977" s="2">
        <v>-16476.838</v>
      </c>
      <c r="O977" s="2">
        <v>10.0</v>
      </c>
      <c r="P977" s="2">
        <v>1486.34</v>
      </c>
      <c r="Q977" s="2">
        <v>85865.0</v>
      </c>
      <c r="R977" s="15" t="b">
        <f>ISNUMBER(MATCH(Q977,'Returned order'!A:A,0))</f>
        <v>0</v>
      </c>
      <c r="S977" s="22">
        <v>42091.0</v>
      </c>
      <c r="T977" s="15"/>
      <c r="U977" s="15"/>
      <c r="V977" s="15"/>
    </row>
    <row r="978">
      <c r="A978" s="2">
        <v>18804.0</v>
      </c>
      <c r="B978" s="1" t="s">
        <v>170</v>
      </c>
      <c r="C978" s="2">
        <v>0.04</v>
      </c>
      <c r="D978" s="2">
        <v>35.44</v>
      </c>
      <c r="E978" s="2">
        <v>1738.0</v>
      </c>
      <c r="F978" s="1" t="s">
        <v>1285</v>
      </c>
      <c r="G978" s="1" t="s">
        <v>32</v>
      </c>
      <c r="H978" s="1" t="s">
        <v>23</v>
      </c>
      <c r="I978" s="1" t="s">
        <v>93</v>
      </c>
      <c r="J978" s="1" t="s">
        <v>1286</v>
      </c>
      <c r="K978" s="19" t="s">
        <v>229</v>
      </c>
      <c r="L978" s="20" t="s">
        <v>61</v>
      </c>
      <c r="M978" s="21">
        <f t="shared" si="1"/>
        <v>7</v>
      </c>
      <c r="N978" s="2">
        <v>-108.2725</v>
      </c>
      <c r="O978" s="2">
        <v>11.0</v>
      </c>
      <c r="P978" s="2">
        <v>406.26</v>
      </c>
      <c r="Q978" s="2">
        <v>85868.0</v>
      </c>
      <c r="R978" s="15" t="b">
        <f>ISNUMBER(MATCH(Q978,'Returned order'!A:A,0))</f>
        <v>0</v>
      </c>
      <c r="S978" s="22">
        <v>42169.0</v>
      </c>
      <c r="T978" s="15"/>
      <c r="U978" s="15"/>
      <c r="V978" s="15"/>
    </row>
    <row r="979">
      <c r="A979" s="2">
        <v>22593.0</v>
      </c>
      <c r="B979" s="1" t="s">
        <v>28</v>
      </c>
      <c r="C979" s="2">
        <v>0.09</v>
      </c>
      <c r="D979" s="2">
        <v>349.45</v>
      </c>
      <c r="E979" s="2">
        <v>1739.0</v>
      </c>
      <c r="F979" s="1" t="s">
        <v>1287</v>
      </c>
      <c r="G979" s="1" t="s">
        <v>32</v>
      </c>
      <c r="H979" s="1" t="s">
        <v>37</v>
      </c>
      <c r="I979" s="1" t="s">
        <v>73</v>
      </c>
      <c r="J979" s="1" t="s">
        <v>787</v>
      </c>
      <c r="K979" s="19" t="s">
        <v>229</v>
      </c>
      <c r="L979" s="20" t="s">
        <v>61</v>
      </c>
      <c r="M979" s="21">
        <f t="shared" si="1"/>
        <v>7</v>
      </c>
      <c r="N979" s="2">
        <v>-90.748</v>
      </c>
      <c r="O979" s="2">
        <v>17.0</v>
      </c>
      <c r="P979" s="2">
        <v>5835.41</v>
      </c>
      <c r="Q979" s="2">
        <v>85867.0</v>
      </c>
      <c r="R979" s="15" t="b">
        <f>ISNUMBER(MATCH(Q979,'Returned order'!A:A,0))</f>
        <v>0</v>
      </c>
      <c r="S979" s="22">
        <v>42127.0</v>
      </c>
      <c r="T979" s="15"/>
      <c r="U979" s="15"/>
      <c r="V979" s="15"/>
    </row>
    <row r="980">
      <c r="A980" s="2">
        <v>20591.0</v>
      </c>
      <c r="B980" s="1" t="s">
        <v>63</v>
      </c>
      <c r="C980" s="2">
        <v>0.0</v>
      </c>
      <c r="D980" s="2">
        <v>55.99</v>
      </c>
      <c r="E980" s="2">
        <v>1743.0</v>
      </c>
      <c r="F980" s="1" t="s">
        <v>1288</v>
      </c>
      <c r="G980" s="1" t="s">
        <v>22</v>
      </c>
      <c r="H980" s="1" t="s">
        <v>46</v>
      </c>
      <c r="I980" s="1" t="s">
        <v>85</v>
      </c>
      <c r="J980" s="1" t="s">
        <v>1289</v>
      </c>
      <c r="K980" s="19" t="s">
        <v>68</v>
      </c>
      <c r="L980" s="20" t="s">
        <v>70</v>
      </c>
      <c r="M980" s="21">
        <f t="shared" si="1"/>
        <v>4</v>
      </c>
      <c r="N980" s="2">
        <v>-121.05808</v>
      </c>
      <c r="O980" s="2">
        <v>1.0</v>
      </c>
      <c r="P980" s="2">
        <v>52.1</v>
      </c>
      <c r="Q980" s="2">
        <v>91025.0</v>
      </c>
      <c r="R980" s="15" t="b">
        <f>ISNUMBER(MATCH(Q980,'Returned order'!A:A,0))</f>
        <v>0</v>
      </c>
      <c r="S980" s="22">
        <v>42047.0</v>
      </c>
      <c r="T980" s="15"/>
      <c r="U980" s="15"/>
      <c r="V980" s="15"/>
    </row>
    <row r="981">
      <c r="A981" s="2">
        <v>2571.0</v>
      </c>
      <c r="B981" s="1" t="s">
        <v>49</v>
      </c>
      <c r="C981" s="2">
        <v>0.02</v>
      </c>
      <c r="D981" s="2">
        <v>4.13</v>
      </c>
      <c r="E981" s="2">
        <v>1745.0</v>
      </c>
      <c r="F981" s="1" t="s">
        <v>1290</v>
      </c>
      <c r="G981" s="1" t="s">
        <v>51</v>
      </c>
      <c r="H981" s="1" t="s">
        <v>23</v>
      </c>
      <c r="I981" s="1" t="s">
        <v>130</v>
      </c>
      <c r="J981" s="1" t="s">
        <v>1291</v>
      </c>
      <c r="K981" s="19" t="s">
        <v>229</v>
      </c>
      <c r="L981" s="20" t="s">
        <v>76</v>
      </c>
      <c r="M981" s="21">
        <f t="shared" si="1"/>
        <v>5</v>
      </c>
      <c r="N981" s="2">
        <v>-51.737</v>
      </c>
      <c r="O981" s="2">
        <v>9.0</v>
      </c>
      <c r="P981" s="2">
        <v>45.87</v>
      </c>
      <c r="Q981" s="2">
        <v>18561.0</v>
      </c>
      <c r="R981" s="15" t="b">
        <f>ISNUMBER(MATCH(Q981,'Returned order'!A:A,0))</f>
        <v>0</v>
      </c>
      <c r="S981" s="22">
        <v>42013.0</v>
      </c>
      <c r="T981" s="15"/>
      <c r="U981" s="15"/>
      <c r="V981" s="15"/>
    </row>
    <row r="982">
      <c r="A982" s="2">
        <v>1863.0</v>
      </c>
      <c r="B982" s="1" t="s">
        <v>170</v>
      </c>
      <c r="C982" s="2">
        <v>0.04</v>
      </c>
      <c r="D982" s="2">
        <v>60.65</v>
      </c>
      <c r="E982" s="2">
        <v>1745.0</v>
      </c>
      <c r="F982" s="1" t="s">
        <v>1290</v>
      </c>
      <c r="G982" s="1" t="s">
        <v>51</v>
      </c>
      <c r="H982" s="1" t="s">
        <v>37</v>
      </c>
      <c r="I982" s="1" t="s">
        <v>42</v>
      </c>
      <c r="J982" s="1" t="s">
        <v>1292</v>
      </c>
      <c r="K982" s="19" t="s">
        <v>229</v>
      </c>
      <c r="L982" s="20" t="s">
        <v>53</v>
      </c>
      <c r="M982" s="21">
        <f t="shared" si="1"/>
        <v>6</v>
      </c>
      <c r="N982" s="2">
        <v>116.5063</v>
      </c>
      <c r="O982" s="2">
        <v>4.0</v>
      </c>
      <c r="P982" s="2">
        <v>256.77</v>
      </c>
      <c r="Q982" s="2">
        <v>13408.0</v>
      </c>
      <c r="R982" s="15" t="b">
        <f>ISNUMBER(MATCH(Q982,'Returned order'!A:A,0))</f>
        <v>0</v>
      </c>
      <c r="S982" s="22">
        <v>42049.0</v>
      </c>
      <c r="T982" s="15"/>
      <c r="U982" s="15"/>
      <c r="V982" s="15"/>
    </row>
    <row r="983">
      <c r="A983" s="2">
        <v>1692.0</v>
      </c>
      <c r="B983" s="1" t="s">
        <v>28</v>
      </c>
      <c r="C983" s="2">
        <v>0.04</v>
      </c>
      <c r="D983" s="2">
        <v>124.49</v>
      </c>
      <c r="E983" s="2">
        <v>1745.0</v>
      </c>
      <c r="F983" s="1" t="s">
        <v>1290</v>
      </c>
      <c r="G983" s="1" t="s">
        <v>22</v>
      </c>
      <c r="H983" s="1" t="s">
        <v>37</v>
      </c>
      <c r="I983" s="1" t="s">
        <v>73</v>
      </c>
      <c r="J983" s="1" t="s">
        <v>432</v>
      </c>
      <c r="K983" s="19" t="s">
        <v>229</v>
      </c>
      <c r="L983" s="20" t="s">
        <v>76</v>
      </c>
      <c r="M983" s="21">
        <f t="shared" si="1"/>
        <v>5</v>
      </c>
      <c r="N983" s="2">
        <v>-247.55157</v>
      </c>
      <c r="O983" s="2">
        <v>4.0</v>
      </c>
      <c r="P983" s="2">
        <v>605.82</v>
      </c>
      <c r="Q983" s="2">
        <v>12224.0</v>
      </c>
      <c r="R983" s="15" t="b">
        <f>ISNUMBER(MATCH(Q983,'Returned order'!A:A,0))</f>
        <v>0</v>
      </c>
      <c r="S983" s="22">
        <v>42167.0</v>
      </c>
      <c r="T983" s="15"/>
      <c r="U983" s="15"/>
      <c r="V983" s="15"/>
    </row>
    <row r="984">
      <c r="A984" s="2">
        <v>1693.0</v>
      </c>
      <c r="B984" s="1" t="s">
        <v>28</v>
      </c>
      <c r="C984" s="2">
        <v>0.1</v>
      </c>
      <c r="D984" s="2">
        <v>35.99</v>
      </c>
      <c r="E984" s="2">
        <v>1745.0</v>
      </c>
      <c r="F984" s="1" t="s">
        <v>1290</v>
      </c>
      <c r="G984" s="1" t="s">
        <v>22</v>
      </c>
      <c r="H984" s="1" t="s">
        <v>46</v>
      </c>
      <c r="I984" s="1" t="s">
        <v>85</v>
      </c>
      <c r="J984" s="1" t="s">
        <v>1293</v>
      </c>
      <c r="K984" s="19" t="s">
        <v>229</v>
      </c>
      <c r="L984" s="20" t="s">
        <v>76</v>
      </c>
      <c r="M984" s="21">
        <f t="shared" si="1"/>
        <v>5</v>
      </c>
      <c r="N984" s="2">
        <v>-277.20924</v>
      </c>
      <c r="O984" s="2">
        <v>54.0</v>
      </c>
      <c r="P984" s="2">
        <v>1569.0</v>
      </c>
      <c r="Q984" s="2">
        <v>12224.0</v>
      </c>
      <c r="R984" s="15" t="b">
        <f>ISNUMBER(MATCH(Q984,'Returned order'!A:A,0))</f>
        <v>0</v>
      </c>
      <c r="S984" s="22">
        <v>42167.0</v>
      </c>
      <c r="T984" s="15"/>
      <c r="U984" s="15"/>
      <c r="V984" s="15"/>
    </row>
    <row r="985">
      <c r="A985" s="2">
        <v>19692.0</v>
      </c>
      <c r="B985" s="1" t="s">
        <v>28</v>
      </c>
      <c r="C985" s="2">
        <v>0.04</v>
      </c>
      <c r="D985" s="2">
        <v>124.49</v>
      </c>
      <c r="E985" s="2">
        <v>1748.0</v>
      </c>
      <c r="F985" s="1" t="s">
        <v>1294</v>
      </c>
      <c r="G985" s="1" t="s">
        <v>22</v>
      </c>
      <c r="H985" s="1" t="s">
        <v>37</v>
      </c>
      <c r="I985" s="1" t="s">
        <v>73</v>
      </c>
      <c r="J985" s="1" t="s">
        <v>432</v>
      </c>
      <c r="K985" s="19" t="s">
        <v>68</v>
      </c>
      <c r="L985" s="20" t="s">
        <v>76</v>
      </c>
      <c r="M985" s="21">
        <f t="shared" si="1"/>
        <v>5</v>
      </c>
      <c r="N985" s="2">
        <v>-93.0645</v>
      </c>
      <c r="O985" s="2">
        <v>1.0</v>
      </c>
      <c r="P985" s="2">
        <v>151.46</v>
      </c>
      <c r="Q985" s="2">
        <v>87245.0</v>
      </c>
      <c r="R985" s="15" t="b">
        <f>ISNUMBER(MATCH(Q985,'Returned order'!A:A,0))</f>
        <v>0</v>
      </c>
      <c r="S985" s="22">
        <v>42167.0</v>
      </c>
      <c r="T985" s="15"/>
      <c r="U985" s="15"/>
      <c r="V985" s="15"/>
    </row>
    <row r="986">
      <c r="A986" s="2">
        <v>20571.0</v>
      </c>
      <c r="B986" s="1" t="s">
        <v>49</v>
      </c>
      <c r="C986" s="2">
        <v>0.02</v>
      </c>
      <c r="D986" s="2">
        <v>4.13</v>
      </c>
      <c r="E986" s="2">
        <v>1749.0</v>
      </c>
      <c r="F986" s="1" t="s">
        <v>1295</v>
      </c>
      <c r="G986" s="1" t="s">
        <v>51</v>
      </c>
      <c r="H986" s="1" t="s">
        <v>23</v>
      </c>
      <c r="I986" s="1" t="s">
        <v>130</v>
      </c>
      <c r="J986" s="1" t="s">
        <v>1291</v>
      </c>
      <c r="K986" s="19" t="s">
        <v>68</v>
      </c>
      <c r="L986" s="20" t="s">
        <v>76</v>
      </c>
      <c r="M986" s="21">
        <f t="shared" si="1"/>
        <v>5</v>
      </c>
      <c r="N986" s="2">
        <v>-48.236</v>
      </c>
      <c r="O986" s="2">
        <v>2.0</v>
      </c>
      <c r="P986" s="2">
        <v>10.19</v>
      </c>
      <c r="Q986" s="2">
        <v>87243.0</v>
      </c>
      <c r="R986" s="15" t="b">
        <f>ISNUMBER(MATCH(Q986,'Returned order'!A:A,0))</f>
        <v>0</v>
      </c>
      <c r="S986" s="22">
        <v>42013.0</v>
      </c>
      <c r="T986" s="15"/>
      <c r="U986" s="15"/>
      <c r="V986" s="15"/>
    </row>
    <row r="987">
      <c r="A987" s="2">
        <v>19863.0</v>
      </c>
      <c r="B987" s="1" t="s">
        <v>170</v>
      </c>
      <c r="C987" s="2">
        <v>0.04</v>
      </c>
      <c r="D987" s="2">
        <v>60.65</v>
      </c>
      <c r="E987" s="2">
        <v>1749.0</v>
      </c>
      <c r="F987" s="1" t="s">
        <v>1295</v>
      </c>
      <c r="G987" s="1" t="s">
        <v>51</v>
      </c>
      <c r="H987" s="1" t="s">
        <v>37</v>
      </c>
      <c r="I987" s="1" t="s">
        <v>42</v>
      </c>
      <c r="J987" s="1" t="s">
        <v>1292</v>
      </c>
      <c r="K987" s="19" t="s">
        <v>68</v>
      </c>
      <c r="L987" s="20" t="s">
        <v>53</v>
      </c>
      <c r="M987" s="21">
        <f t="shared" si="1"/>
        <v>6</v>
      </c>
      <c r="N987" s="2">
        <v>44.2911</v>
      </c>
      <c r="O987" s="2">
        <v>1.0</v>
      </c>
      <c r="P987" s="2">
        <v>64.19</v>
      </c>
      <c r="Q987" s="2">
        <v>87244.0</v>
      </c>
      <c r="R987" s="15" t="b">
        <f>ISNUMBER(MATCH(Q987,'Returned order'!A:A,0))</f>
        <v>0</v>
      </c>
      <c r="S987" s="22">
        <v>42049.0</v>
      </c>
      <c r="T987" s="15"/>
      <c r="U987" s="15"/>
      <c r="V987" s="15"/>
    </row>
    <row r="988">
      <c r="A988" s="2">
        <v>19477.0</v>
      </c>
      <c r="B988" s="1" t="s">
        <v>170</v>
      </c>
      <c r="C988" s="2">
        <v>0.04</v>
      </c>
      <c r="D988" s="2">
        <v>8.5</v>
      </c>
      <c r="E988" s="2">
        <v>1754.0</v>
      </c>
      <c r="F988" s="1" t="s">
        <v>1296</v>
      </c>
      <c r="G988" s="1" t="s">
        <v>22</v>
      </c>
      <c r="H988" s="1" t="s">
        <v>46</v>
      </c>
      <c r="I988" s="1" t="s">
        <v>47</v>
      </c>
      <c r="J988" s="1" t="s">
        <v>690</v>
      </c>
      <c r="K988" s="19" t="s">
        <v>34</v>
      </c>
      <c r="L988" s="20" t="s">
        <v>76</v>
      </c>
      <c r="M988" s="21">
        <f t="shared" si="1"/>
        <v>5</v>
      </c>
      <c r="N988" s="2">
        <v>43.2752</v>
      </c>
      <c r="O988" s="2">
        <v>14.0</v>
      </c>
      <c r="P988" s="2">
        <v>118.57</v>
      </c>
      <c r="Q988" s="2">
        <v>90178.0</v>
      </c>
      <c r="R988" s="15" t="b">
        <f>ISNUMBER(MATCH(Q988,'Returned order'!A:A,0))</f>
        <v>0</v>
      </c>
      <c r="S988" s="22">
        <v>42062.0</v>
      </c>
      <c r="T988" s="15"/>
      <c r="U988" s="15"/>
      <c r="V988" s="15"/>
    </row>
    <row r="989">
      <c r="A989" s="2">
        <v>19478.0</v>
      </c>
      <c r="B989" s="1" t="s">
        <v>170</v>
      </c>
      <c r="C989" s="2">
        <v>0.1</v>
      </c>
      <c r="D989" s="2">
        <v>15.99</v>
      </c>
      <c r="E989" s="2">
        <v>1754.0</v>
      </c>
      <c r="F989" s="1" t="s">
        <v>1296</v>
      </c>
      <c r="G989" s="1" t="s">
        <v>22</v>
      </c>
      <c r="H989" s="1" t="s">
        <v>46</v>
      </c>
      <c r="I989" s="1" t="s">
        <v>103</v>
      </c>
      <c r="J989" s="1" t="s">
        <v>1297</v>
      </c>
      <c r="K989" s="19" t="s">
        <v>34</v>
      </c>
      <c r="L989" s="20" t="s">
        <v>76</v>
      </c>
      <c r="M989" s="21">
        <f t="shared" si="1"/>
        <v>5</v>
      </c>
      <c r="N989" s="2">
        <v>-36.21462</v>
      </c>
      <c r="O989" s="2">
        <v>5.0</v>
      </c>
      <c r="P989" s="2">
        <v>79.47</v>
      </c>
      <c r="Q989" s="2">
        <v>90178.0</v>
      </c>
      <c r="R989" s="15" t="b">
        <f>ISNUMBER(MATCH(Q989,'Returned order'!A:A,0))</f>
        <v>0</v>
      </c>
      <c r="S989" s="22">
        <v>42062.0</v>
      </c>
      <c r="T989" s="15"/>
      <c r="U989" s="15"/>
      <c r="V989" s="15"/>
    </row>
    <row r="990">
      <c r="A990" s="2">
        <v>19479.0</v>
      </c>
      <c r="B990" s="1" t="s">
        <v>170</v>
      </c>
      <c r="C990" s="2">
        <v>0.09</v>
      </c>
      <c r="D990" s="2">
        <v>95.99</v>
      </c>
      <c r="E990" s="2">
        <v>1754.0</v>
      </c>
      <c r="F990" s="1" t="s">
        <v>1296</v>
      </c>
      <c r="G990" s="1" t="s">
        <v>22</v>
      </c>
      <c r="H990" s="1" t="s">
        <v>46</v>
      </c>
      <c r="I990" s="1" t="s">
        <v>85</v>
      </c>
      <c r="J990" s="1" t="s">
        <v>1298</v>
      </c>
      <c r="K990" s="19" t="s">
        <v>34</v>
      </c>
      <c r="L990" s="20" t="s">
        <v>76</v>
      </c>
      <c r="M990" s="21">
        <f t="shared" si="1"/>
        <v>5</v>
      </c>
      <c r="N990" s="2">
        <v>7.03296</v>
      </c>
      <c r="O990" s="2">
        <v>8.0</v>
      </c>
      <c r="P990" s="2">
        <v>627.28</v>
      </c>
      <c r="Q990" s="2">
        <v>90178.0</v>
      </c>
      <c r="R990" s="15" t="b">
        <f>ISNUMBER(MATCH(Q990,'Returned order'!A:A,0))</f>
        <v>0</v>
      </c>
      <c r="S990" s="22">
        <v>42062.0</v>
      </c>
      <c r="T990" s="15"/>
      <c r="U990" s="15"/>
      <c r="V990" s="15"/>
    </row>
    <row r="991">
      <c r="A991" s="2">
        <v>25920.0</v>
      </c>
      <c r="B991" s="1" t="s">
        <v>28</v>
      </c>
      <c r="C991" s="2">
        <v>0.0</v>
      </c>
      <c r="D991" s="2">
        <v>115.99</v>
      </c>
      <c r="E991" s="2">
        <v>1764.0</v>
      </c>
      <c r="F991" s="1" t="s">
        <v>1299</v>
      </c>
      <c r="G991" s="1" t="s">
        <v>22</v>
      </c>
      <c r="H991" s="1" t="s">
        <v>46</v>
      </c>
      <c r="I991" s="1" t="s">
        <v>85</v>
      </c>
      <c r="J991" s="1">
        <v>8890.0</v>
      </c>
      <c r="K991" s="19" t="s">
        <v>229</v>
      </c>
      <c r="L991" s="20" t="s">
        <v>70</v>
      </c>
      <c r="M991" s="21">
        <f t="shared" si="1"/>
        <v>4</v>
      </c>
      <c r="N991" s="2">
        <v>-16.772</v>
      </c>
      <c r="O991" s="2">
        <v>11.0</v>
      </c>
      <c r="P991" s="2">
        <v>1160.42</v>
      </c>
      <c r="Q991" s="2">
        <v>89775.0</v>
      </c>
      <c r="R991" s="15" t="b">
        <f>ISNUMBER(MATCH(Q991,'Returned order'!A:A,0))</f>
        <v>0</v>
      </c>
      <c r="S991" s="22">
        <v>42026.0</v>
      </c>
      <c r="T991" s="15"/>
      <c r="U991" s="15"/>
      <c r="V991" s="15"/>
    </row>
    <row r="992">
      <c r="A992" s="2">
        <v>25608.0</v>
      </c>
      <c r="B992" s="1" t="s">
        <v>28</v>
      </c>
      <c r="C992" s="2">
        <v>0.06</v>
      </c>
      <c r="D992" s="2">
        <v>19.98</v>
      </c>
      <c r="E992" s="2">
        <v>1764.0</v>
      </c>
      <c r="F992" s="1" t="s">
        <v>1299</v>
      </c>
      <c r="G992" s="1" t="s">
        <v>22</v>
      </c>
      <c r="H992" s="1" t="s">
        <v>37</v>
      </c>
      <c r="I992" s="1" t="s">
        <v>42</v>
      </c>
      <c r="J992" s="1" t="s">
        <v>1300</v>
      </c>
      <c r="K992" s="19" t="s">
        <v>229</v>
      </c>
      <c r="L992" s="20" t="s">
        <v>61</v>
      </c>
      <c r="M992" s="21">
        <f t="shared" si="1"/>
        <v>7</v>
      </c>
      <c r="N992" s="2">
        <v>514.1772</v>
      </c>
      <c r="O992" s="2">
        <v>5.0</v>
      </c>
      <c r="P992" s="2">
        <v>103.37</v>
      </c>
      <c r="Q992" s="2">
        <v>89776.0</v>
      </c>
      <c r="R992" s="15" t="b">
        <f>ISNUMBER(MATCH(Q992,'Returned order'!A:A,0))</f>
        <v>0</v>
      </c>
      <c r="S992" s="22">
        <v>42064.0</v>
      </c>
      <c r="T992" s="15"/>
      <c r="U992" s="15"/>
      <c r="V992" s="15"/>
    </row>
    <row r="993">
      <c r="A993" s="2">
        <v>25609.0</v>
      </c>
      <c r="B993" s="1" t="s">
        <v>28</v>
      </c>
      <c r="C993" s="2">
        <v>0.08</v>
      </c>
      <c r="D993" s="2">
        <v>1.76</v>
      </c>
      <c r="E993" s="2">
        <v>1764.0</v>
      </c>
      <c r="F993" s="1" t="s">
        <v>1299</v>
      </c>
      <c r="G993" s="1" t="s">
        <v>22</v>
      </c>
      <c r="H993" s="1" t="s">
        <v>37</v>
      </c>
      <c r="I993" s="1" t="s">
        <v>42</v>
      </c>
      <c r="J993" s="1" t="s">
        <v>1301</v>
      </c>
      <c r="K993" s="19" t="s">
        <v>229</v>
      </c>
      <c r="L993" s="20" t="s">
        <v>61</v>
      </c>
      <c r="M993" s="21">
        <f t="shared" si="1"/>
        <v>7</v>
      </c>
      <c r="N993" s="2">
        <v>235.656</v>
      </c>
      <c r="O993" s="2">
        <v>23.0</v>
      </c>
      <c r="P993" s="2">
        <v>40.22</v>
      </c>
      <c r="Q993" s="2">
        <v>89776.0</v>
      </c>
      <c r="R993" s="15" t="b">
        <f>ISNUMBER(MATCH(Q993,'Returned order'!A:A,0))</f>
        <v>0</v>
      </c>
      <c r="S993" s="22">
        <v>42064.0</v>
      </c>
      <c r="T993" s="15"/>
      <c r="U993" s="15"/>
      <c r="V993" s="15"/>
    </row>
    <row r="994">
      <c r="A994" s="2">
        <v>25054.0</v>
      </c>
      <c r="B994" s="1" t="s">
        <v>49</v>
      </c>
      <c r="C994" s="2">
        <v>0.0</v>
      </c>
      <c r="D994" s="2">
        <v>5.77</v>
      </c>
      <c r="E994" s="2">
        <v>1765.0</v>
      </c>
      <c r="F994" s="1" t="s">
        <v>1302</v>
      </c>
      <c r="G994" s="1" t="s">
        <v>22</v>
      </c>
      <c r="H994" s="1" t="s">
        <v>23</v>
      </c>
      <c r="I994" s="1" t="s">
        <v>24</v>
      </c>
      <c r="J994" s="1" t="s">
        <v>1303</v>
      </c>
      <c r="K994" s="19" t="s">
        <v>68</v>
      </c>
      <c r="L994" s="20" t="s">
        <v>27</v>
      </c>
      <c r="M994" s="21">
        <f t="shared" si="1"/>
        <v>1</v>
      </c>
      <c r="N994" s="2">
        <v>3.5581</v>
      </c>
      <c r="O994" s="2">
        <v>8.0</v>
      </c>
      <c r="P994" s="2">
        <v>52.43</v>
      </c>
      <c r="Q994" s="2">
        <v>89777.0</v>
      </c>
      <c r="R994" s="15" t="b">
        <f>ISNUMBER(MATCH(Q994,'Returned order'!A:A,0))</f>
        <v>0</v>
      </c>
      <c r="S994" s="22">
        <v>42128.0</v>
      </c>
      <c r="T994" s="15"/>
      <c r="U994" s="15"/>
      <c r="V994" s="15"/>
    </row>
    <row r="995">
      <c r="A995" s="2">
        <v>20636.0</v>
      </c>
      <c r="B995" s="1" t="s">
        <v>58</v>
      </c>
      <c r="C995" s="2">
        <v>0.01</v>
      </c>
      <c r="D995" s="2">
        <v>50.98</v>
      </c>
      <c r="E995" s="2">
        <v>1767.0</v>
      </c>
      <c r="F995" s="1" t="s">
        <v>1304</v>
      </c>
      <c r="G995" s="1" t="s">
        <v>51</v>
      </c>
      <c r="H995" s="1" t="s">
        <v>46</v>
      </c>
      <c r="I995" s="1" t="s">
        <v>47</v>
      </c>
      <c r="J995" s="1" t="s">
        <v>752</v>
      </c>
      <c r="K995" s="19" t="s">
        <v>229</v>
      </c>
      <c r="L995" s="20" t="s">
        <v>70</v>
      </c>
      <c r="M995" s="21">
        <f t="shared" si="1"/>
        <v>4</v>
      </c>
      <c r="N995" s="2">
        <v>5.3397</v>
      </c>
      <c r="O995" s="2">
        <v>16.0</v>
      </c>
      <c r="P995" s="2">
        <v>818.49</v>
      </c>
      <c r="Q995" s="2">
        <v>89211.0</v>
      </c>
      <c r="R995" s="15" t="b">
        <f>ISNUMBER(MATCH(Q995,'Returned order'!A:A,0))</f>
        <v>0</v>
      </c>
      <c r="S995" s="22">
        <v>42089.0</v>
      </c>
      <c r="T995" s="15"/>
      <c r="U995" s="15"/>
      <c r="V995" s="15"/>
    </row>
    <row r="996">
      <c r="A996" s="2">
        <v>24894.0</v>
      </c>
      <c r="B996" s="1" t="s">
        <v>63</v>
      </c>
      <c r="C996" s="2">
        <v>0.07</v>
      </c>
      <c r="D996" s="2">
        <v>60.98</v>
      </c>
      <c r="E996" s="2">
        <v>1771.0</v>
      </c>
      <c r="F996" s="1" t="s">
        <v>1305</v>
      </c>
      <c r="G996" s="1" t="s">
        <v>51</v>
      </c>
      <c r="H996" s="1" t="s">
        <v>23</v>
      </c>
      <c r="I996" s="1" t="s">
        <v>151</v>
      </c>
      <c r="J996" s="1" t="s">
        <v>1180</v>
      </c>
      <c r="K996" s="19" t="s">
        <v>68</v>
      </c>
      <c r="L996" s="20" t="s">
        <v>76</v>
      </c>
      <c r="M996" s="21">
        <f t="shared" si="1"/>
        <v>5</v>
      </c>
      <c r="N996" s="2">
        <v>-807.89</v>
      </c>
      <c r="O996" s="2">
        <v>7.0</v>
      </c>
      <c r="P996" s="2">
        <v>410.17</v>
      </c>
      <c r="Q996" s="2">
        <v>89106.0</v>
      </c>
      <c r="R996" s="15" t="b">
        <f>ISNUMBER(MATCH(Q996,'Returned order'!A:A,0))</f>
        <v>0</v>
      </c>
      <c r="S996" s="22">
        <v>42069.0</v>
      </c>
      <c r="T996" s="15"/>
      <c r="U996" s="15"/>
      <c r="V996" s="15"/>
    </row>
    <row r="997">
      <c r="A997" s="2">
        <v>19826.0</v>
      </c>
      <c r="B997" s="1" t="s">
        <v>170</v>
      </c>
      <c r="C997" s="2">
        <v>0.09</v>
      </c>
      <c r="D997" s="2">
        <v>12.95</v>
      </c>
      <c r="E997" s="2">
        <v>1775.0</v>
      </c>
      <c r="F997" s="1" t="s">
        <v>1306</v>
      </c>
      <c r="G997" s="1" t="s">
        <v>22</v>
      </c>
      <c r="H997" s="1" t="s">
        <v>23</v>
      </c>
      <c r="I997" s="1" t="s">
        <v>24</v>
      </c>
      <c r="J997" s="1" t="s">
        <v>1127</v>
      </c>
      <c r="K997" s="19" t="s">
        <v>68</v>
      </c>
      <c r="L997" s="20" t="s">
        <v>61</v>
      </c>
      <c r="M997" s="21">
        <f t="shared" si="1"/>
        <v>7</v>
      </c>
      <c r="N997" s="2">
        <v>123.89175</v>
      </c>
      <c r="O997" s="2">
        <v>21.0</v>
      </c>
      <c r="P997" s="2">
        <v>269.54</v>
      </c>
      <c r="Q997" s="2">
        <v>89944.0</v>
      </c>
      <c r="R997" s="15" t="b">
        <f>ISNUMBER(MATCH(Q997,'Returned order'!A:A,0))</f>
        <v>0</v>
      </c>
      <c r="S997" s="22">
        <v>42169.0</v>
      </c>
      <c r="T997" s="15"/>
      <c r="U997" s="15"/>
      <c r="V997" s="15"/>
    </row>
    <row r="998">
      <c r="A998" s="2">
        <v>20278.0</v>
      </c>
      <c r="B998" s="1" t="s">
        <v>49</v>
      </c>
      <c r="C998" s="2">
        <v>0.08</v>
      </c>
      <c r="D998" s="2">
        <v>5.78</v>
      </c>
      <c r="E998" s="2">
        <v>1776.0</v>
      </c>
      <c r="F998" s="1" t="s">
        <v>1307</v>
      </c>
      <c r="G998" s="1" t="s">
        <v>22</v>
      </c>
      <c r="H998" s="1" t="s">
        <v>23</v>
      </c>
      <c r="I998" s="1" t="s">
        <v>93</v>
      </c>
      <c r="J998" s="1" t="s">
        <v>544</v>
      </c>
      <c r="K998" s="19" t="s">
        <v>68</v>
      </c>
      <c r="L998" s="20" t="s">
        <v>35</v>
      </c>
      <c r="M998" s="21">
        <f t="shared" si="1"/>
        <v>3</v>
      </c>
      <c r="N998" s="2">
        <v>-53.898</v>
      </c>
      <c r="O998" s="2">
        <v>19.0</v>
      </c>
      <c r="P998" s="2">
        <v>106.57</v>
      </c>
      <c r="Q998" s="2">
        <v>89941.0</v>
      </c>
      <c r="R998" s="15" t="b">
        <f>ISNUMBER(MATCH(Q998,'Returned order'!A:A,0))</f>
        <v>0</v>
      </c>
      <c r="S998" s="22">
        <v>42039.0</v>
      </c>
      <c r="T998" s="15"/>
      <c r="U998" s="15"/>
      <c r="V998" s="15"/>
    </row>
    <row r="999">
      <c r="A999" s="2">
        <v>20391.0</v>
      </c>
      <c r="B999" s="1" t="s">
        <v>170</v>
      </c>
      <c r="C999" s="2">
        <v>0.07</v>
      </c>
      <c r="D999" s="2">
        <v>5.43</v>
      </c>
      <c r="E999" s="2">
        <v>1777.0</v>
      </c>
      <c r="F999" s="1" t="s">
        <v>1308</v>
      </c>
      <c r="G999" s="1" t="s">
        <v>22</v>
      </c>
      <c r="H999" s="1" t="s">
        <v>23</v>
      </c>
      <c r="I999" s="1" t="s">
        <v>93</v>
      </c>
      <c r="J999" s="1" t="s">
        <v>538</v>
      </c>
      <c r="K999" s="19" t="s">
        <v>68</v>
      </c>
      <c r="L999" s="20" t="s">
        <v>35</v>
      </c>
      <c r="M999" s="21">
        <f t="shared" si="1"/>
        <v>3</v>
      </c>
      <c r="N999" s="2">
        <v>26.5029</v>
      </c>
      <c r="O999" s="2">
        <v>7.0</v>
      </c>
      <c r="P999" s="2">
        <v>38.41</v>
      </c>
      <c r="Q999" s="2">
        <v>89939.0</v>
      </c>
      <c r="R999" s="15" t="b">
        <f>ISNUMBER(MATCH(Q999,'Returned order'!A:A,0))</f>
        <v>0</v>
      </c>
      <c r="S999" s="22">
        <v>42116.0</v>
      </c>
      <c r="T999" s="15"/>
      <c r="U999" s="15"/>
      <c r="V999" s="15"/>
    </row>
    <row r="1000">
      <c r="A1000" s="2">
        <v>21163.0</v>
      </c>
      <c r="B1000" s="1" t="s">
        <v>170</v>
      </c>
      <c r="C1000" s="2">
        <v>0.02</v>
      </c>
      <c r="D1000" s="2">
        <v>10.06</v>
      </c>
      <c r="E1000" s="2">
        <v>1777.0</v>
      </c>
      <c r="F1000" s="1" t="s">
        <v>1308</v>
      </c>
      <c r="G1000" s="1" t="s">
        <v>22</v>
      </c>
      <c r="H1000" s="1" t="s">
        <v>23</v>
      </c>
      <c r="I1000" s="1" t="s">
        <v>93</v>
      </c>
      <c r="J1000" s="1" t="s">
        <v>310</v>
      </c>
      <c r="K1000" s="19" t="s">
        <v>68</v>
      </c>
      <c r="L1000" s="20" t="s">
        <v>53</v>
      </c>
      <c r="M1000" s="21">
        <f t="shared" si="1"/>
        <v>6</v>
      </c>
      <c r="N1000" s="2">
        <v>90.6246</v>
      </c>
      <c r="O1000" s="2">
        <v>13.0</v>
      </c>
      <c r="P1000" s="2">
        <v>131.34</v>
      </c>
      <c r="Q1000" s="2">
        <v>89940.0</v>
      </c>
      <c r="R1000" s="15" t="b">
        <f>ISNUMBER(MATCH(Q1000,'Returned order'!A:A,0))</f>
        <v>0</v>
      </c>
      <c r="S1000" s="22">
        <v>42007.0</v>
      </c>
      <c r="T1000" s="15"/>
      <c r="U1000" s="15"/>
      <c r="V1000" s="15"/>
    </row>
    <row r="1001">
      <c r="A1001" s="2">
        <v>20600.0</v>
      </c>
      <c r="B1001" s="1" t="s">
        <v>49</v>
      </c>
      <c r="C1001" s="2">
        <v>0.03</v>
      </c>
      <c r="D1001" s="2">
        <v>19.99</v>
      </c>
      <c r="E1001" s="2">
        <v>1777.0</v>
      </c>
      <c r="F1001" s="1" t="s">
        <v>1308</v>
      </c>
      <c r="G1001" s="1" t="s">
        <v>32</v>
      </c>
      <c r="H1001" s="1" t="s">
        <v>37</v>
      </c>
      <c r="I1001" s="1" t="s">
        <v>42</v>
      </c>
      <c r="J1001" s="1" t="s">
        <v>461</v>
      </c>
      <c r="K1001" s="19" t="s">
        <v>68</v>
      </c>
      <c r="L1001" s="20" t="s">
        <v>70</v>
      </c>
      <c r="M1001" s="21">
        <f t="shared" si="1"/>
        <v>4</v>
      </c>
      <c r="N1001" s="2">
        <v>-20.8764</v>
      </c>
      <c r="O1001" s="2">
        <v>12.0</v>
      </c>
      <c r="P1001" s="2">
        <v>251.61</v>
      </c>
      <c r="Q1001" s="2">
        <v>89942.0</v>
      </c>
      <c r="R1001" s="15" t="b">
        <f>ISNUMBER(MATCH(Q1001,'Returned order'!A:A,0))</f>
        <v>0</v>
      </c>
      <c r="S1001" s="22">
        <v>42096.0</v>
      </c>
      <c r="T1001" s="15"/>
      <c r="U1001" s="15"/>
      <c r="V1001" s="15"/>
    </row>
    <row r="1002">
      <c r="A1002" s="2">
        <v>25498.0</v>
      </c>
      <c r="B1002" s="1" t="s">
        <v>28</v>
      </c>
      <c r="C1002" s="2">
        <v>0.06</v>
      </c>
      <c r="D1002" s="2">
        <v>13.99</v>
      </c>
      <c r="E1002" s="2">
        <v>1778.0</v>
      </c>
      <c r="F1002" s="1" t="s">
        <v>1309</v>
      </c>
      <c r="G1002" s="1" t="s">
        <v>22</v>
      </c>
      <c r="H1002" s="1" t="s">
        <v>46</v>
      </c>
      <c r="I1002" s="1" t="s">
        <v>103</v>
      </c>
      <c r="J1002" s="1" t="s">
        <v>1035</v>
      </c>
      <c r="K1002" s="19" t="s">
        <v>68</v>
      </c>
      <c r="L1002" s="20" t="s">
        <v>61</v>
      </c>
      <c r="M1002" s="21">
        <f t="shared" si="1"/>
        <v>7</v>
      </c>
      <c r="N1002" s="2">
        <v>6.48324</v>
      </c>
      <c r="O1002" s="2">
        <v>21.0</v>
      </c>
      <c r="P1002" s="2">
        <v>287.99</v>
      </c>
      <c r="Q1002" s="2">
        <v>89943.0</v>
      </c>
      <c r="R1002" s="15" t="b">
        <f>ISNUMBER(MATCH(Q1002,'Returned order'!A:A,0))</f>
        <v>0</v>
      </c>
      <c r="S1002" s="22">
        <v>42134.0</v>
      </c>
      <c r="T1002" s="15"/>
      <c r="U1002" s="15"/>
      <c r="V1002" s="15"/>
    </row>
    <row r="1003">
      <c r="A1003" s="2">
        <v>25499.0</v>
      </c>
      <c r="B1003" s="1" t="s">
        <v>28</v>
      </c>
      <c r="C1003" s="2">
        <v>0.06</v>
      </c>
      <c r="D1003" s="2">
        <v>15.04</v>
      </c>
      <c r="E1003" s="2">
        <v>1778.0</v>
      </c>
      <c r="F1003" s="1" t="s">
        <v>1309</v>
      </c>
      <c r="G1003" s="1" t="s">
        <v>22</v>
      </c>
      <c r="H1003" s="1" t="s">
        <v>23</v>
      </c>
      <c r="I1003" s="1" t="s">
        <v>93</v>
      </c>
      <c r="J1003" s="1" t="s">
        <v>559</v>
      </c>
      <c r="K1003" s="19" t="s">
        <v>68</v>
      </c>
      <c r="L1003" s="20" t="s">
        <v>61</v>
      </c>
      <c r="M1003" s="21">
        <f t="shared" si="1"/>
        <v>7</v>
      </c>
      <c r="N1003" s="2">
        <v>2.332</v>
      </c>
      <c r="O1003" s="2">
        <v>3.0</v>
      </c>
      <c r="P1003" s="2">
        <v>46.86</v>
      </c>
      <c r="Q1003" s="2">
        <v>89943.0</v>
      </c>
      <c r="R1003" s="15" t="b">
        <f>ISNUMBER(MATCH(Q1003,'Returned order'!A:A,0))</f>
        <v>0</v>
      </c>
      <c r="S1003" s="22">
        <v>42134.0</v>
      </c>
      <c r="T1003" s="15"/>
      <c r="U1003" s="15"/>
      <c r="V1003" s="15"/>
    </row>
    <row r="1004">
      <c r="A1004" s="2">
        <v>19237.0</v>
      </c>
      <c r="B1004" s="1" t="s">
        <v>28</v>
      </c>
      <c r="C1004" s="2">
        <v>0.0</v>
      </c>
      <c r="D1004" s="2">
        <v>55.48</v>
      </c>
      <c r="E1004" s="2">
        <v>1781.0</v>
      </c>
      <c r="F1004" s="1" t="s">
        <v>1310</v>
      </c>
      <c r="G1004" s="1" t="s">
        <v>32</v>
      </c>
      <c r="H1004" s="1" t="s">
        <v>23</v>
      </c>
      <c r="I1004" s="1" t="s">
        <v>93</v>
      </c>
      <c r="J1004" s="1" t="s">
        <v>137</v>
      </c>
      <c r="K1004" s="19" t="s">
        <v>34</v>
      </c>
      <c r="L1004" s="20" t="s">
        <v>76</v>
      </c>
      <c r="M1004" s="21">
        <f t="shared" si="1"/>
        <v>5</v>
      </c>
      <c r="N1004" s="2">
        <v>454.4478</v>
      </c>
      <c r="O1004" s="2">
        <v>11.0</v>
      </c>
      <c r="P1004" s="2">
        <v>658.62</v>
      </c>
      <c r="Q1004" s="2">
        <v>89857.0</v>
      </c>
      <c r="R1004" s="15" t="b">
        <f>ISNUMBER(MATCH(Q1004,'Returned order'!A:A,0))</f>
        <v>0</v>
      </c>
      <c r="S1004" s="22">
        <v>42167.0</v>
      </c>
      <c r="T1004" s="15"/>
      <c r="U1004" s="15"/>
      <c r="V1004" s="15"/>
    </row>
    <row r="1005">
      <c r="A1005" s="2">
        <v>19419.0</v>
      </c>
      <c r="B1005" s="1" t="s">
        <v>170</v>
      </c>
      <c r="C1005" s="2">
        <v>0.03</v>
      </c>
      <c r="D1005" s="2">
        <v>5.08</v>
      </c>
      <c r="E1005" s="2">
        <v>1781.0</v>
      </c>
      <c r="F1005" s="1" t="s">
        <v>1310</v>
      </c>
      <c r="G1005" s="1" t="s">
        <v>51</v>
      </c>
      <c r="H1005" s="1" t="s">
        <v>37</v>
      </c>
      <c r="I1005" s="1" t="s">
        <v>42</v>
      </c>
      <c r="J1005" s="1" t="s">
        <v>1311</v>
      </c>
      <c r="K1005" s="19" t="s">
        <v>34</v>
      </c>
      <c r="L1005" s="20" t="s">
        <v>35</v>
      </c>
      <c r="M1005" s="21">
        <f t="shared" si="1"/>
        <v>3</v>
      </c>
      <c r="N1005" s="2">
        <v>15.1524</v>
      </c>
      <c r="O1005" s="2">
        <v>4.0</v>
      </c>
      <c r="P1005" s="2">
        <v>21.96</v>
      </c>
      <c r="Q1005" s="2">
        <v>89858.0</v>
      </c>
      <c r="R1005" s="15" t="b">
        <f>ISNUMBER(MATCH(Q1005,'Returned order'!A:A,0))</f>
        <v>0</v>
      </c>
      <c r="S1005" s="22">
        <v>42011.0</v>
      </c>
      <c r="T1005" s="15"/>
      <c r="U1005" s="15"/>
      <c r="V1005" s="15"/>
    </row>
    <row r="1006">
      <c r="A1006" s="2">
        <v>21283.0</v>
      </c>
      <c r="B1006" s="1" t="s">
        <v>28</v>
      </c>
      <c r="C1006" s="2">
        <v>0.03</v>
      </c>
      <c r="D1006" s="2">
        <v>3.28</v>
      </c>
      <c r="E1006" s="2">
        <v>1782.0</v>
      </c>
      <c r="F1006" s="1" t="s">
        <v>1312</v>
      </c>
      <c r="G1006" s="1" t="s">
        <v>51</v>
      </c>
      <c r="H1006" s="1" t="s">
        <v>23</v>
      </c>
      <c r="I1006" s="1" t="s">
        <v>29</v>
      </c>
      <c r="J1006" s="1" t="s">
        <v>1313</v>
      </c>
      <c r="K1006" s="19" t="s">
        <v>34</v>
      </c>
      <c r="L1006" s="20" t="s">
        <v>57</v>
      </c>
      <c r="M1006" s="21">
        <f t="shared" si="1"/>
        <v>2</v>
      </c>
      <c r="N1006" s="2">
        <v>-90.7556</v>
      </c>
      <c r="O1006" s="2">
        <v>7.0</v>
      </c>
      <c r="P1006" s="2">
        <v>24.57</v>
      </c>
      <c r="Q1006" s="2">
        <v>89856.0</v>
      </c>
      <c r="R1006" s="15" t="b">
        <f>ISNUMBER(MATCH(Q1006,'Returned order'!A:A,0))</f>
        <v>0</v>
      </c>
      <c r="S1006" s="22">
        <v>42010.0</v>
      </c>
      <c r="T1006" s="15"/>
      <c r="U1006" s="15"/>
      <c r="V1006" s="15"/>
    </row>
    <row r="1007">
      <c r="A1007" s="2">
        <v>23966.0</v>
      </c>
      <c r="B1007" s="1" t="s">
        <v>58</v>
      </c>
      <c r="C1007" s="2">
        <v>0.04</v>
      </c>
      <c r="D1007" s="2">
        <v>205.99</v>
      </c>
      <c r="E1007" s="2">
        <v>1788.0</v>
      </c>
      <c r="F1007" s="1" t="s">
        <v>1314</v>
      </c>
      <c r="G1007" s="1" t="s">
        <v>22</v>
      </c>
      <c r="H1007" s="1" t="s">
        <v>46</v>
      </c>
      <c r="I1007" s="1" t="s">
        <v>85</v>
      </c>
      <c r="J1007" s="1" t="s">
        <v>172</v>
      </c>
      <c r="K1007" s="19" t="s">
        <v>229</v>
      </c>
      <c r="L1007" s="20" t="s">
        <v>35</v>
      </c>
      <c r="M1007" s="21">
        <f t="shared" si="1"/>
        <v>3</v>
      </c>
      <c r="N1007" s="2">
        <v>960.984</v>
      </c>
      <c r="O1007" s="2">
        <v>6.0</v>
      </c>
      <c r="P1007" s="2">
        <v>1008.53</v>
      </c>
      <c r="Q1007" s="2">
        <v>88256.0</v>
      </c>
      <c r="R1007" s="15" t="b">
        <f>ISNUMBER(MATCH(Q1007,'Returned order'!A:A,0))</f>
        <v>0</v>
      </c>
      <c r="S1007" s="22">
        <v>42025.0</v>
      </c>
      <c r="T1007" s="15"/>
      <c r="U1007" s="15"/>
      <c r="V1007" s="15"/>
    </row>
    <row r="1008">
      <c r="A1008" s="2">
        <v>21284.0</v>
      </c>
      <c r="B1008" s="1" t="s">
        <v>58</v>
      </c>
      <c r="C1008" s="2">
        <v>0.04</v>
      </c>
      <c r="D1008" s="2">
        <v>880.98</v>
      </c>
      <c r="E1008" s="2">
        <v>1793.0</v>
      </c>
      <c r="F1008" s="1" t="s">
        <v>1315</v>
      </c>
      <c r="G1008" s="1" t="s">
        <v>51</v>
      </c>
      <c r="H1008" s="1" t="s">
        <v>37</v>
      </c>
      <c r="I1008" s="1" t="s">
        <v>55</v>
      </c>
      <c r="J1008" s="1" t="s">
        <v>633</v>
      </c>
      <c r="K1008" s="19" t="s">
        <v>68</v>
      </c>
      <c r="L1008" s="20" t="s">
        <v>57</v>
      </c>
      <c r="M1008" s="21">
        <f t="shared" si="1"/>
        <v>2</v>
      </c>
      <c r="N1008" s="2">
        <v>-13706.464</v>
      </c>
      <c r="O1008" s="2">
        <v>8.0</v>
      </c>
      <c r="P1008" s="2">
        <v>6968.9</v>
      </c>
      <c r="Q1008" s="2">
        <v>87853.0</v>
      </c>
      <c r="R1008" s="15" t="b">
        <f>ISNUMBER(MATCH(Q1008,'Returned order'!A:A,0))</f>
        <v>0</v>
      </c>
      <c r="S1008" s="22">
        <v>42010.0</v>
      </c>
      <c r="T1008" s="15"/>
      <c r="U1008" s="15"/>
      <c r="V1008" s="15"/>
    </row>
    <row r="1009">
      <c r="A1009" s="2">
        <v>22986.0</v>
      </c>
      <c r="B1009" s="1" t="s">
        <v>58</v>
      </c>
      <c r="C1009" s="2">
        <v>0.04</v>
      </c>
      <c r="D1009" s="2">
        <v>3.68</v>
      </c>
      <c r="E1009" s="2">
        <v>1802.0</v>
      </c>
      <c r="F1009" s="1" t="s">
        <v>1316</v>
      </c>
      <c r="G1009" s="1" t="s">
        <v>32</v>
      </c>
      <c r="H1009" s="1" t="s">
        <v>23</v>
      </c>
      <c r="I1009" s="1" t="s">
        <v>257</v>
      </c>
      <c r="J1009" s="1" t="s">
        <v>684</v>
      </c>
      <c r="K1009" s="19" t="s">
        <v>229</v>
      </c>
      <c r="L1009" s="20" t="s">
        <v>27</v>
      </c>
      <c r="M1009" s="21">
        <f t="shared" si="1"/>
        <v>1</v>
      </c>
      <c r="N1009" s="2">
        <v>300.9258</v>
      </c>
      <c r="O1009" s="2">
        <v>11.0</v>
      </c>
      <c r="P1009" s="2">
        <v>41.29</v>
      </c>
      <c r="Q1009" s="2">
        <v>91543.0</v>
      </c>
      <c r="R1009" s="15" t="b">
        <f>ISNUMBER(MATCH(Q1009,'Returned order'!A:A,0))</f>
        <v>0</v>
      </c>
      <c r="S1009" s="22">
        <v>42156.0</v>
      </c>
      <c r="T1009" s="15"/>
      <c r="U1009" s="15"/>
      <c r="V1009" s="15"/>
    </row>
    <row r="1010">
      <c r="A1010" s="2">
        <v>18901.0</v>
      </c>
      <c r="B1010" s="1" t="s">
        <v>63</v>
      </c>
      <c r="C1010" s="2">
        <v>0.01</v>
      </c>
      <c r="D1010" s="2">
        <v>8.12</v>
      </c>
      <c r="E1010" s="2">
        <v>1808.0</v>
      </c>
      <c r="F1010" s="1" t="s">
        <v>1317</v>
      </c>
      <c r="G1010" s="1" t="s">
        <v>51</v>
      </c>
      <c r="H1010" s="1" t="s">
        <v>46</v>
      </c>
      <c r="I1010" s="1" t="s">
        <v>47</v>
      </c>
      <c r="J1010" s="1" t="s">
        <v>674</v>
      </c>
      <c r="K1010" s="19" t="s">
        <v>26</v>
      </c>
      <c r="L1010" s="20" t="s">
        <v>57</v>
      </c>
      <c r="M1010" s="21">
        <f t="shared" si="1"/>
        <v>2</v>
      </c>
      <c r="N1010" s="2">
        <v>-40.76</v>
      </c>
      <c r="O1010" s="2">
        <v>10.0</v>
      </c>
      <c r="P1010" s="2">
        <v>88.64</v>
      </c>
      <c r="Q1010" s="2">
        <v>89251.0</v>
      </c>
      <c r="R1010" s="15" t="b">
        <f>ISNUMBER(MATCH(Q1010,'Returned order'!A:A,0))</f>
        <v>0</v>
      </c>
      <c r="S1010" s="22">
        <v>42080.0</v>
      </c>
      <c r="T1010" s="15"/>
      <c r="U1010" s="15"/>
      <c r="V1010" s="15"/>
    </row>
    <row r="1011">
      <c r="A1011" s="2">
        <v>21746.0</v>
      </c>
      <c r="B1011" s="1" t="s">
        <v>49</v>
      </c>
      <c r="C1011" s="2">
        <v>0.09</v>
      </c>
      <c r="D1011" s="2">
        <v>77.51</v>
      </c>
      <c r="E1011" s="2">
        <v>1814.0</v>
      </c>
      <c r="F1011" s="1" t="s">
        <v>1318</v>
      </c>
      <c r="G1011" s="1" t="s">
        <v>51</v>
      </c>
      <c r="H1011" s="1" t="s">
        <v>46</v>
      </c>
      <c r="I1011" s="1" t="s">
        <v>47</v>
      </c>
      <c r="J1011" s="1" t="s">
        <v>1319</v>
      </c>
      <c r="K1011" s="19" t="s">
        <v>229</v>
      </c>
      <c r="L1011" s="20" t="s">
        <v>53</v>
      </c>
      <c r="M1011" s="21">
        <f t="shared" si="1"/>
        <v>6</v>
      </c>
      <c r="N1011" s="2">
        <v>-986.524</v>
      </c>
      <c r="O1011" s="2">
        <v>17.0</v>
      </c>
      <c r="P1011" s="2">
        <v>1300.54</v>
      </c>
      <c r="Q1011" s="2">
        <v>90524.0</v>
      </c>
      <c r="R1011" s="15" t="b">
        <f>ISNUMBER(MATCH(Q1011,'Returned order'!A:A,0))</f>
        <v>0</v>
      </c>
      <c r="S1011" s="22">
        <v>42147.0</v>
      </c>
      <c r="T1011" s="15"/>
      <c r="U1011" s="15"/>
      <c r="V1011" s="15"/>
    </row>
    <row r="1012">
      <c r="A1012" s="2">
        <v>21747.0</v>
      </c>
      <c r="B1012" s="1" t="s">
        <v>49</v>
      </c>
      <c r="C1012" s="2">
        <v>0.0</v>
      </c>
      <c r="D1012" s="2">
        <v>2.88</v>
      </c>
      <c r="E1012" s="2">
        <v>1814.0</v>
      </c>
      <c r="F1012" s="1" t="s">
        <v>1318</v>
      </c>
      <c r="G1012" s="1" t="s">
        <v>51</v>
      </c>
      <c r="H1012" s="1" t="s">
        <v>23</v>
      </c>
      <c r="I1012" s="1" t="s">
        <v>29</v>
      </c>
      <c r="J1012" s="1" t="s">
        <v>365</v>
      </c>
      <c r="K1012" s="19" t="s">
        <v>229</v>
      </c>
      <c r="L1012" s="20" t="s">
        <v>53</v>
      </c>
      <c r="M1012" s="21">
        <f t="shared" si="1"/>
        <v>6</v>
      </c>
      <c r="N1012" s="2">
        <v>-141.666</v>
      </c>
      <c r="O1012" s="2">
        <v>13.0</v>
      </c>
      <c r="P1012" s="2">
        <v>38.06</v>
      </c>
      <c r="Q1012" s="2">
        <v>90524.0</v>
      </c>
      <c r="R1012" s="15" t="b">
        <f>ISNUMBER(MATCH(Q1012,'Returned order'!A:A,0))</f>
        <v>0</v>
      </c>
      <c r="S1012" s="22">
        <v>42147.0</v>
      </c>
      <c r="T1012" s="15"/>
      <c r="U1012" s="15"/>
      <c r="V1012" s="15"/>
    </row>
    <row r="1013">
      <c r="A1013" s="2">
        <v>24463.0</v>
      </c>
      <c r="B1013" s="1" t="s">
        <v>63</v>
      </c>
      <c r="C1013" s="2">
        <v>0.06</v>
      </c>
      <c r="D1013" s="2">
        <v>90.97</v>
      </c>
      <c r="E1013" s="2">
        <v>1815.0</v>
      </c>
      <c r="F1013" s="1" t="s">
        <v>1320</v>
      </c>
      <c r="G1013" s="1" t="s">
        <v>51</v>
      </c>
      <c r="H1013" s="1" t="s">
        <v>46</v>
      </c>
      <c r="I1013" s="1" t="s">
        <v>103</v>
      </c>
      <c r="J1013" s="1" t="s">
        <v>1321</v>
      </c>
      <c r="K1013" s="19" t="s">
        <v>229</v>
      </c>
      <c r="L1013" s="20" t="s">
        <v>35</v>
      </c>
      <c r="M1013" s="21">
        <f t="shared" si="1"/>
        <v>3</v>
      </c>
      <c r="N1013" s="2">
        <v>47.334</v>
      </c>
      <c r="O1013" s="2">
        <v>14.0</v>
      </c>
      <c r="P1013" s="2">
        <v>1263.35</v>
      </c>
      <c r="Q1013" s="2">
        <v>90525.0</v>
      </c>
      <c r="R1013" s="15" t="b">
        <f>ISNUMBER(MATCH(Q1013,'Returned order'!A:A,0))</f>
        <v>0</v>
      </c>
      <c r="S1013" s="22">
        <v>42046.0</v>
      </c>
      <c r="T1013" s="15"/>
      <c r="U1013" s="15"/>
      <c r="V1013" s="15"/>
    </row>
    <row r="1014">
      <c r="A1014" s="2">
        <v>22843.0</v>
      </c>
      <c r="B1014" s="1" t="s">
        <v>170</v>
      </c>
      <c r="C1014" s="2">
        <v>0.01</v>
      </c>
      <c r="D1014" s="2">
        <v>10.48</v>
      </c>
      <c r="E1014" s="2">
        <v>1816.0</v>
      </c>
      <c r="F1014" s="1" t="s">
        <v>1322</v>
      </c>
      <c r="G1014" s="1" t="s">
        <v>22</v>
      </c>
      <c r="H1014" s="1" t="s">
        <v>23</v>
      </c>
      <c r="I1014" s="1" t="s">
        <v>29</v>
      </c>
      <c r="J1014" s="1" t="s">
        <v>1323</v>
      </c>
      <c r="K1014" s="19" t="s">
        <v>68</v>
      </c>
      <c r="L1014" s="20" t="s">
        <v>70</v>
      </c>
      <c r="M1014" s="21">
        <f t="shared" si="1"/>
        <v>4</v>
      </c>
      <c r="N1014" s="2">
        <v>60.5616</v>
      </c>
      <c r="O1014" s="2">
        <v>19.0</v>
      </c>
      <c r="P1014" s="2">
        <v>202.38</v>
      </c>
      <c r="Q1014" s="2">
        <v>85990.0</v>
      </c>
      <c r="R1014" s="15" t="b">
        <f>ISNUMBER(MATCH(Q1014,'Returned order'!A:A,0))</f>
        <v>0</v>
      </c>
      <c r="S1014" s="22">
        <v>42040.0</v>
      </c>
      <c r="T1014" s="15"/>
      <c r="U1014" s="15"/>
      <c r="V1014" s="15"/>
    </row>
    <row r="1015">
      <c r="A1015" s="2">
        <v>24622.0</v>
      </c>
      <c r="B1015" s="1" t="s">
        <v>49</v>
      </c>
      <c r="C1015" s="2">
        <v>0.06</v>
      </c>
      <c r="D1015" s="2">
        <v>17.98</v>
      </c>
      <c r="E1015" s="2">
        <v>1818.0</v>
      </c>
      <c r="F1015" s="1" t="s">
        <v>1324</v>
      </c>
      <c r="G1015" s="1" t="s">
        <v>22</v>
      </c>
      <c r="H1015" s="1" t="s">
        <v>46</v>
      </c>
      <c r="I1015" s="1" t="s">
        <v>103</v>
      </c>
      <c r="J1015" s="1" t="s">
        <v>160</v>
      </c>
      <c r="K1015" s="19" t="s">
        <v>68</v>
      </c>
      <c r="L1015" s="20" t="s">
        <v>35</v>
      </c>
      <c r="M1015" s="21">
        <f t="shared" si="1"/>
        <v>3</v>
      </c>
      <c r="N1015" s="2">
        <v>-47.243088</v>
      </c>
      <c r="O1015" s="2">
        <v>3.0</v>
      </c>
      <c r="P1015" s="2">
        <v>56.38</v>
      </c>
      <c r="Q1015" s="2">
        <v>85991.0</v>
      </c>
      <c r="R1015" s="15" t="b">
        <f>ISNUMBER(MATCH(Q1015,'Returned order'!A:A,0))</f>
        <v>0</v>
      </c>
      <c r="S1015" s="22">
        <v>42109.0</v>
      </c>
      <c r="T1015" s="15"/>
      <c r="U1015" s="15"/>
      <c r="V1015" s="15"/>
    </row>
    <row r="1016">
      <c r="A1016" s="2">
        <v>24623.0</v>
      </c>
      <c r="B1016" s="1" t="s">
        <v>49</v>
      </c>
      <c r="C1016" s="2">
        <v>0.1</v>
      </c>
      <c r="D1016" s="2">
        <v>9.99</v>
      </c>
      <c r="E1016" s="2">
        <v>1818.0</v>
      </c>
      <c r="F1016" s="1" t="s">
        <v>1324</v>
      </c>
      <c r="G1016" s="1" t="s">
        <v>22</v>
      </c>
      <c r="H1016" s="1" t="s">
        <v>23</v>
      </c>
      <c r="I1016" s="1" t="s">
        <v>93</v>
      </c>
      <c r="J1016" s="1" t="s">
        <v>1325</v>
      </c>
      <c r="K1016" s="19" t="s">
        <v>68</v>
      </c>
      <c r="L1016" s="20" t="s">
        <v>35</v>
      </c>
      <c r="M1016" s="21">
        <f t="shared" si="1"/>
        <v>3</v>
      </c>
      <c r="N1016" s="2">
        <v>9.154</v>
      </c>
      <c r="O1016" s="2">
        <v>12.0</v>
      </c>
      <c r="P1016" s="2">
        <v>119.13</v>
      </c>
      <c r="Q1016" s="2">
        <v>85991.0</v>
      </c>
      <c r="R1016" s="15" t="b">
        <f>ISNUMBER(MATCH(Q1016,'Returned order'!A:A,0))</f>
        <v>0</v>
      </c>
      <c r="S1016" s="22">
        <v>42109.0</v>
      </c>
      <c r="T1016" s="15"/>
      <c r="U1016" s="15"/>
      <c r="V1016" s="15"/>
    </row>
    <row r="1017">
      <c r="A1017" s="2">
        <v>4843.0</v>
      </c>
      <c r="B1017" s="1" t="s">
        <v>170</v>
      </c>
      <c r="C1017" s="2">
        <v>0.01</v>
      </c>
      <c r="D1017" s="2">
        <v>10.48</v>
      </c>
      <c r="E1017" s="2">
        <v>1821.0</v>
      </c>
      <c r="F1017" s="1" t="s">
        <v>1326</v>
      </c>
      <c r="G1017" s="1" t="s">
        <v>22</v>
      </c>
      <c r="H1017" s="1" t="s">
        <v>23</v>
      </c>
      <c r="I1017" s="1" t="s">
        <v>29</v>
      </c>
      <c r="J1017" s="1" t="s">
        <v>1323</v>
      </c>
      <c r="K1017" s="19" t="s">
        <v>26</v>
      </c>
      <c r="L1017" s="20" t="s">
        <v>70</v>
      </c>
      <c r="M1017" s="21">
        <f t="shared" si="1"/>
        <v>4</v>
      </c>
      <c r="N1017" s="2">
        <v>40.92</v>
      </c>
      <c r="O1017" s="2">
        <v>76.0</v>
      </c>
      <c r="P1017" s="2">
        <v>809.51</v>
      </c>
      <c r="Q1017" s="2">
        <v>34435.0</v>
      </c>
      <c r="R1017" s="15" t="b">
        <f>ISNUMBER(MATCH(Q1017,'Returned order'!A:A,0))</f>
        <v>0</v>
      </c>
      <c r="S1017" s="22">
        <v>42040.0</v>
      </c>
      <c r="T1017" s="15"/>
      <c r="U1017" s="15"/>
      <c r="V1017" s="15"/>
    </row>
    <row r="1018">
      <c r="A1018" s="2">
        <v>6621.0</v>
      </c>
      <c r="B1018" s="1" t="s">
        <v>49</v>
      </c>
      <c r="C1018" s="2">
        <v>0.07</v>
      </c>
      <c r="D1018" s="2">
        <v>18.65</v>
      </c>
      <c r="E1018" s="2">
        <v>1821.0</v>
      </c>
      <c r="F1018" s="1" t="s">
        <v>1326</v>
      </c>
      <c r="G1018" s="1" t="s">
        <v>22</v>
      </c>
      <c r="H1018" s="1" t="s">
        <v>37</v>
      </c>
      <c r="I1018" s="1" t="s">
        <v>42</v>
      </c>
      <c r="J1018" s="1" t="s">
        <v>1327</v>
      </c>
      <c r="K1018" s="19" t="s">
        <v>26</v>
      </c>
      <c r="L1018" s="20" t="s">
        <v>35</v>
      </c>
      <c r="M1018" s="21">
        <f t="shared" si="1"/>
        <v>3</v>
      </c>
      <c r="N1018" s="2">
        <v>149.72</v>
      </c>
      <c r="O1018" s="2">
        <v>34.0</v>
      </c>
      <c r="P1018" s="2">
        <v>643.64</v>
      </c>
      <c r="Q1018" s="2">
        <v>47108.0</v>
      </c>
      <c r="R1018" s="15" t="b">
        <f>ISNUMBER(MATCH(Q1018,'Returned order'!A:A,0))</f>
        <v>0</v>
      </c>
      <c r="S1018" s="22">
        <v>42109.0</v>
      </c>
      <c r="T1018" s="15"/>
      <c r="U1018" s="15"/>
      <c r="V1018" s="15"/>
    </row>
    <row r="1019">
      <c r="A1019" s="2">
        <v>6622.0</v>
      </c>
      <c r="B1019" s="1" t="s">
        <v>49</v>
      </c>
      <c r="C1019" s="2">
        <v>0.06</v>
      </c>
      <c r="D1019" s="2">
        <v>17.98</v>
      </c>
      <c r="E1019" s="2">
        <v>1821.0</v>
      </c>
      <c r="F1019" s="1" t="s">
        <v>1326</v>
      </c>
      <c r="G1019" s="1" t="s">
        <v>22</v>
      </c>
      <c r="H1019" s="1" t="s">
        <v>46</v>
      </c>
      <c r="I1019" s="1" t="s">
        <v>103</v>
      </c>
      <c r="J1019" s="1" t="s">
        <v>160</v>
      </c>
      <c r="K1019" s="19" t="s">
        <v>26</v>
      </c>
      <c r="L1019" s="20" t="s">
        <v>35</v>
      </c>
      <c r="M1019" s="21">
        <f t="shared" si="1"/>
        <v>3</v>
      </c>
      <c r="N1019" s="2">
        <v>-52.49232</v>
      </c>
      <c r="O1019" s="2">
        <v>13.0</v>
      </c>
      <c r="P1019" s="2">
        <v>244.31</v>
      </c>
      <c r="Q1019" s="2">
        <v>47108.0</v>
      </c>
      <c r="R1019" s="15" t="b">
        <f>ISNUMBER(MATCH(Q1019,'Returned order'!A:A,0))</f>
        <v>0</v>
      </c>
      <c r="S1019" s="22">
        <v>42109.0</v>
      </c>
      <c r="T1019" s="15"/>
      <c r="U1019" s="15"/>
      <c r="V1019" s="15"/>
    </row>
    <row r="1020">
      <c r="A1020" s="2">
        <v>6623.0</v>
      </c>
      <c r="B1020" s="1" t="s">
        <v>49</v>
      </c>
      <c r="C1020" s="2">
        <v>0.1</v>
      </c>
      <c r="D1020" s="2">
        <v>9.99</v>
      </c>
      <c r="E1020" s="2">
        <v>1821.0</v>
      </c>
      <c r="F1020" s="1" t="s">
        <v>1326</v>
      </c>
      <c r="G1020" s="1" t="s">
        <v>22</v>
      </c>
      <c r="H1020" s="1" t="s">
        <v>23</v>
      </c>
      <c r="I1020" s="1" t="s">
        <v>93</v>
      </c>
      <c r="J1020" s="1" t="s">
        <v>1325</v>
      </c>
      <c r="K1020" s="19" t="s">
        <v>26</v>
      </c>
      <c r="L1020" s="20" t="s">
        <v>35</v>
      </c>
      <c r="M1020" s="21">
        <f t="shared" si="1"/>
        <v>3</v>
      </c>
      <c r="N1020" s="2">
        <v>7.96</v>
      </c>
      <c r="O1020" s="2">
        <v>47.0</v>
      </c>
      <c r="P1020" s="2">
        <v>466.58</v>
      </c>
      <c r="Q1020" s="2">
        <v>47108.0</v>
      </c>
      <c r="R1020" s="15" t="b">
        <f>ISNUMBER(MATCH(Q1020,'Returned order'!A:A,0))</f>
        <v>0</v>
      </c>
      <c r="S1020" s="22">
        <v>42109.0</v>
      </c>
      <c r="T1020" s="15"/>
      <c r="U1020" s="15"/>
      <c r="V1020" s="15"/>
    </row>
    <row r="1021">
      <c r="A1021" s="2">
        <v>6624.0</v>
      </c>
      <c r="B1021" s="1" t="s">
        <v>49</v>
      </c>
      <c r="C1021" s="2">
        <v>0.08</v>
      </c>
      <c r="D1021" s="2">
        <v>175.99</v>
      </c>
      <c r="E1021" s="2">
        <v>1821.0</v>
      </c>
      <c r="F1021" s="1" t="s">
        <v>1326</v>
      </c>
      <c r="G1021" s="1" t="s">
        <v>22</v>
      </c>
      <c r="H1021" s="1" t="s">
        <v>46</v>
      </c>
      <c r="I1021" s="1" t="s">
        <v>85</v>
      </c>
      <c r="J1021" s="1">
        <v>2180.0</v>
      </c>
      <c r="K1021" s="19" t="s">
        <v>26</v>
      </c>
      <c r="L1021" s="20" t="s">
        <v>35</v>
      </c>
      <c r="M1021" s="21">
        <f t="shared" si="1"/>
        <v>3</v>
      </c>
      <c r="N1021" s="2">
        <v>-459.0828</v>
      </c>
      <c r="O1021" s="2">
        <v>16.0</v>
      </c>
      <c r="P1021" s="2">
        <v>2290.69</v>
      </c>
      <c r="Q1021" s="2">
        <v>47108.0</v>
      </c>
      <c r="R1021" s="15" t="b">
        <f>ISNUMBER(MATCH(Q1021,'Returned order'!A:A,0))</f>
        <v>0</v>
      </c>
      <c r="S1021" s="22">
        <v>42109.0</v>
      </c>
      <c r="T1021" s="15"/>
      <c r="U1021" s="15"/>
      <c r="V1021" s="15"/>
    </row>
    <row r="1022">
      <c r="A1022" s="2">
        <v>19596.0</v>
      </c>
      <c r="B1022" s="1" t="s">
        <v>63</v>
      </c>
      <c r="C1022" s="2">
        <v>0.1</v>
      </c>
      <c r="D1022" s="2">
        <v>52.99</v>
      </c>
      <c r="E1022" s="2">
        <v>1826.0</v>
      </c>
      <c r="F1022" s="1" t="s">
        <v>1328</v>
      </c>
      <c r="G1022" s="1" t="s">
        <v>32</v>
      </c>
      <c r="H1022" s="1" t="s">
        <v>23</v>
      </c>
      <c r="I1022" s="1" t="s">
        <v>120</v>
      </c>
      <c r="J1022" s="1" t="s">
        <v>1329</v>
      </c>
      <c r="K1022" s="19" t="s">
        <v>68</v>
      </c>
      <c r="L1022" s="20" t="s">
        <v>53</v>
      </c>
      <c r="M1022" s="21">
        <f t="shared" si="1"/>
        <v>6</v>
      </c>
      <c r="N1022" s="2">
        <v>-517.17</v>
      </c>
      <c r="O1022" s="2">
        <v>7.0</v>
      </c>
      <c r="P1022" s="2">
        <v>337.59</v>
      </c>
      <c r="Q1022" s="2">
        <v>86958.0</v>
      </c>
      <c r="R1022" s="15" t="b">
        <f>ISNUMBER(MATCH(Q1022,'Returned order'!A:A,0))</f>
        <v>0</v>
      </c>
      <c r="S1022" s="22">
        <v>42112.0</v>
      </c>
      <c r="T1022" s="15"/>
      <c r="U1022" s="15"/>
      <c r="V1022" s="15"/>
    </row>
    <row r="1023">
      <c r="A1023" s="2">
        <v>18199.0</v>
      </c>
      <c r="B1023" s="1" t="s">
        <v>63</v>
      </c>
      <c r="C1023" s="2">
        <v>0.0</v>
      </c>
      <c r="D1023" s="2">
        <v>9.27</v>
      </c>
      <c r="E1023" s="2">
        <v>1826.0</v>
      </c>
      <c r="F1023" s="1" t="s">
        <v>1328</v>
      </c>
      <c r="G1023" s="1" t="s">
        <v>32</v>
      </c>
      <c r="H1023" s="1" t="s">
        <v>23</v>
      </c>
      <c r="I1023" s="1" t="s">
        <v>93</v>
      </c>
      <c r="J1023" s="1" t="s">
        <v>1330</v>
      </c>
      <c r="K1023" s="19" t="s">
        <v>68</v>
      </c>
      <c r="L1023" s="20" t="s">
        <v>57</v>
      </c>
      <c r="M1023" s="21">
        <f t="shared" si="1"/>
        <v>2</v>
      </c>
      <c r="N1023" s="2">
        <v>-7.61</v>
      </c>
      <c r="O1023" s="2">
        <v>1.0</v>
      </c>
      <c r="P1023" s="2">
        <v>10.65</v>
      </c>
      <c r="Q1023" s="2">
        <v>86959.0</v>
      </c>
      <c r="R1023" s="15" t="b">
        <f>ISNUMBER(MATCH(Q1023,'Returned order'!A:A,0))</f>
        <v>0</v>
      </c>
      <c r="S1023" s="22">
        <v>42136.0</v>
      </c>
      <c r="T1023" s="15"/>
      <c r="U1023" s="15"/>
      <c r="V1023" s="15"/>
    </row>
    <row r="1024">
      <c r="A1024" s="2">
        <v>20551.0</v>
      </c>
      <c r="B1024" s="1" t="s">
        <v>49</v>
      </c>
      <c r="C1024" s="2">
        <v>0.0</v>
      </c>
      <c r="D1024" s="2">
        <v>5.98</v>
      </c>
      <c r="E1024" s="2">
        <v>1827.0</v>
      </c>
      <c r="F1024" s="1" t="s">
        <v>1331</v>
      </c>
      <c r="G1024" s="1" t="s">
        <v>32</v>
      </c>
      <c r="H1024" s="1" t="s">
        <v>23</v>
      </c>
      <c r="I1024" s="1" t="s">
        <v>29</v>
      </c>
      <c r="J1024" s="1" t="s">
        <v>1332</v>
      </c>
      <c r="K1024" s="19" t="s">
        <v>68</v>
      </c>
      <c r="L1024" s="20" t="s">
        <v>70</v>
      </c>
      <c r="M1024" s="21">
        <f t="shared" si="1"/>
        <v>4</v>
      </c>
      <c r="N1024" s="2">
        <v>38.0397</v>
      </c>
      <c r="O1024" s="2">
        <v>9.0</v>
      </c>
      <c r="P1024" s="2">
        <v>55.13</v>
      </c>
      <c r="Q1024" s="2">
        <v>86956.0</v>
      </c>
      <c r="R1024" s="15" t="b">
        <f>ISNUMBER(MATCH(Q1024,'Returned order'!A:A,0))</f>
        <v>0</v>
      </c>
      <c r="S1024" s="22">
        <v>42054.0</v>
      </c>
      <c r="T1024" s="15"/>
      <c r="U1024" s="15"/>
      <c r="V1024" s="15"/>
    </row>
    <row r="1025">
      <c r="A1025" s="2">
        <v>19597.0</v>
      </c>
      <c r="B1025" s="1" t="s">
        <v>63</v>
      </c>
      <c r="C1025" s="2">
        <v>0.07</v>
      </c>
      <c r="D1025" s="2">
        <v>100.98</v>
      </c>
      <c r="E1025" s="2">
        <v>1827.0</v>
      </c>
      <c r="F1025" s="1" t="s">
        <v>1331</v>
      </c>
      <c r="G1025" s="1" t="s">
        <v>32</v>
      </c>
      <c r="H1025" s="1" t="s">
        <v>37</v>
      </c>
      <c r="I1025" s="1" t="s">
        <v>55</v>
      </c>
      <c r="J1025" s="1" t="s">
        <v>1333</v>
      </c>
      <c r="K1025" s="19" t="s">
        <v>68</v>
      </c>
      <c r="L1025" s="20" t="s">
        <v>53</v>
      </c>
      <c r="M1025" s="21">
        <f t="shared" si="1"/>
        <v>6</v>
      </c>
      <c r="N1025" s="2">
        <v>-429.86</v>
      </c>
      <c r="O1025" s="2">
        <v>2.0</v>
      </c>
      <c r="P1025" s="2">
        <v>215.32</v>
      </c>
      <c r="Q1025" s="2">
        <v>86958.0</v>
      </c>
      <c r="R1025" s="15" t="b">
        <f>ISNUMBER(MATCH(Q1025,'Returned order'!A:A,0))</f>
        <v>0</v>
      </c>
      <c r="S1025" s="22">
        <v>42112.0</v>
      </c>
      <c r="T1025" s="15"/>
      <c r="U1025" s="15"/>
      <c r="V1025" s="15"/>
    </row>
    <row r="1026">
      <c r="A1026" s="2">
        <v>19598.0</v>
      </c>
      <c r="B1026" s="1" t="s">
        <v>63</v>
      </c>
      <c r="C1026" s="2">
        <v>0.03</v>
      </c>
      <c r="D1026" s="2">
        <v>85.99</v>
      </c>
      <c r="E1026" s="2">
        <v>1827.0</v>
      </c>
      <c r="F1026" s="1" t="s">
        <v>1331</v>
      </c>
      <c r="G1026" s="1" t="s">
        <v>32</v>
      </c>
      <c r="H1026" s="1" t="s">
        <v>46</v>
      </c>
      <c r="I1026" s="1" t="s">
        <v>85</v>
      </c>
      <c r="J1026" s="1" t="s">
        <v>394</v>
      </c>
      <c r="K1026" s="19" t="s">
        <v>68</v>
      </c>
      <c r="L1026" s="20" t="s">
        <v>53</v>
      </c>
      <c r="M1026" s="21">
        <f t="shared" si="1"/>
        <v>6</v>
      </c>
      <c r="N1026" s="2">
        <v>264.1665</v>
      </c>
      <c r="O1026" s="2">
        <v>5.0</v>
      </c>
      <c r="P1026" s="2">
        <v>382.85</v>
      </c>
      <c r="Q1026" s="2">
        <v>86958.0</v>
      </c>
      <c r="R1026" s="15" t="b">
        <f>ISNUMBER(MATCH(Q1026,'Returned order'!A:A,0))</f>
        <v>0</v>
      </c>
      <c r="S1026" s="22">
        <v>42112.0</v>
      </c>
      <c r="T1026" s="15"/>
      <c r="U1026" s="15"/>
      <c r="V1026" s="15"/>
    </row>
    <row r="1027">
      <c r="A1027" s="2">
        <v>20553.0</v>
      </c>
      <c r="B1027" s="1" t="s">
        <v>49</v>
      </c>
      <c r="C1027" s="2">
        <v>0.02</v>
      </c>
      <c r="D1027" s="2">
        <v>5.98</v>
      </c>
      <c r="E1027" s="2">
        <v>1828.0</v>
      </c>
      <c r="F1027" s="1" t="s">
        <v>1334</v>
      </c>
      <c r="G1027" s="1" t="s">
        <v>32</v>
      </c>
      <c r="H1027" s="1" t="s">
        <v>23</v>
      </c>
      <c r="I1027" s="1" t="s">
        <v>93</v>
      </c>
      <c r="J1027" s="1" t="s">
        <v>821</v>
      </c>
      <c r="K1027" s="19" t="s">
        <v>68</v>
      </c>
      <c r="L1027" s="20" t="s">
        <v>70</v>
      </c>
      <c r="M1027" s="21">
        <f t="shared" si="1"/>
        <v>4</v>
      </c>
      <c r="N1027" s="2">
        <v>-47.12</v>
      </c>
      <c r="O1027" s="2">
        <v>7.0</v>
      </c>
      <c r="P1027" s="2">
        <v>44.8</v>
      </c>
      <c r="Q1027" s="2">
        <v>86956.0</v>
      </c>
      <c r="R1027" s="15" t="b">
        <f>ISNUMBER(MATCH(Q1027,'Returned order'!A:A,0))</f>
        <v>0</v>
      </c>
      <c r="S1027" s="22">
        <v>42054.0</v>
      </c>
      <c r="T1027" s="15"/>
      <c r="U1027" s="15"/>
      <c r="V1027" s="15"/>
    </row>
    <row r="1028">
      <c r="A1028" s="2">
        <v>21383.0</v>
      </c>
      <c r="B1028" s="1" t="s">
        <v>170</v>
      </c>
      <c r="C1028" s="2">
        <v>0.05</v>
      </c>
      <c r="D1028" s="2">
        <v>7.1</v>
      </c>
      <c r="E1028" s="2">
        <v>1828.0</v>
      </c>
      <c r="F1028" s="1" t="s">
        <v>1334</v>
      </c>
      <c r="G1028" s="1" t="s">
        <v>32</v>
      </c>
      <c r="H1028" s="1" t="s">
        <v>23</v>
      </c>
      <c r="I1028" s="1" t="s">
        <v>24</v>
      </c>
      <c r="J1028" s="1" t="s">
        <v>143</v>
      </c>
      <c r="K1028" s="19" t="s">
        <v>68</v>
      </c>
      <c r="L1028" s="20" t="s">
        <v>57</v>
      </c>
      <c r="M1028" s="21">
        <f t="shared" si="1"/>
        <v>2</v>
      </c>
      <c r="N1028" s="2">
        <v>-101.246</v>
      </c>
      <c r="O1028" s="2">
        <v>14.0</v>
      </c>
      <c r="P1028" s="2">
        <v>100.99</v>
      </c>
      <c r="Q1028" s="2">
        <v>86960.0</v>
      </c>
      <c r="R1028" s="15" t="b">
        <f>ISNUMBER(MATCH(Q1028,'Returned order'!A:A,0))</f>
        <v>0</v>
      </c>
      <c r="S1028" s="22">
        <v>42010.0</v>
      </c>
      <c r="T1028" s="15"/>
      <c r="U1028" s="15"/>
      <c r="V1028" s="15"/>
    </row>
    <row r="1029">
      <c r="A1029" s="2">
        <v>21384.0</v>
      </c>
      <c r="B1029" s="1" t="s">
        <v>170</v>
      </c>
      <c r="C1029" s="2">
        <v>0.04</v>
      </c>
      <c r="D1029" s="2">
        <v>20.95</v>
      </c>
      <c r="E1029" s="2">
        <v>1828.0</v>
      </c>
      <c r="F1029" s="1" t="s">
        <v>1334</v>
      </c>
      <c r="G1029" s="1" t="s">
        <v>32</v>
      </c>
      <c r="H1029" s="1" t="s">
        <v>46</v>
      </c>
      <c r="I1029" s="1" t="s">
        <v>47</v>
      </c>
      <c r="J1029" s="1" t="s">
        <v>1186</v>
      </c>
      <c r="K1029" s="19" t="s">
        <v>68</v>
      </c>
      <c r="L1029" s="20" t="s">
        <v>57</v>
      </c>
      <c r="M1029" s="21">
        <f t="shared" si="1"/>
        <v>2</v>
      </c>
      <c r="N1029" s="2">
        <v>-1.88</v>
      </c>
      <c r="O1029" s="2">
        <v>7.0</v>
      </c>
      <c r="P1029" s="2">
        <v>142.06</v>
      </c>
      <c r="Q1029" s="2">
        <v>86960.0</v>
      </c>
      <c r="R1029" s="15" t="b">
        <f>ISNUMBER(MATCH(Q1029,'Returned order'!A:A,0))</f>
        <v>0</v>
      </c>
      <c r="S1029" s="22">
        <v>42010.0</v>
      </c>
      <c r="T1029" s="15"/>
      <c r="U1029" s="15"/>
      <c r="V1029" s="15"/>
    </row>
    <row r="1030">
      <c r="A1030" s="2">
        <v>23430.0</v>
      </c>
      <c r="B1030" s="1" t="s">
        <v>58</v>
      </c>
      <c r="C1030" s="2">
        <v>0.01</v>
      </c>
      <c r="D1030" s="2">
        <v>10.64</v>
      </c>
      <c r="E1030" s="2">
        <v>1829.0</v>
      </c>
      <c r="F1030" s="1" t="s">
        <v>1335</v>
      </c>
      <c r="G1030" s="1" t="s">
        <v>32</v>
      </c>
      <c r="H1030" s="1" t="s">
        <v>37</v>
      </c>
      <c r="I1030" s="1" t="s">
        <v>42</v>
      </c>
      <c r="J1030" s="1" t="s">
        <v>692</v>
      </c>
      <c r="K1030" s="19" t="s">
        <v>68</v>
      </c>
      <c r="L1030" s="20" t="s">
        <v>35</v>
      </c>
      <c r="M1030" s="21">
        <f t="shared" si="1"/>
        <v>3</v>
      </c>
      <c r="N1030" s="2">
        <v>-11.69</v>
      </c>
      <c r="O1030" s="2">
        <v>5.0</v>
      </c>
      <c r="P1030" s="2">
        <v>58.52</v>
      </c>
      <c r="Q1030" s="2">
        <v>86957.0</v>
      </c>
      <c r="R1030" s="15" t="b">
        <f>ISNUMBER(MATCH(Q1030,'Returned order'!A:A,0))</f>
        <v>0</v>
      </c>
      <c r="S1030" s="22">
        <v>42088.0</v>
      </c>
      <c r="T1030" s="15"/>
      <c r="U1030" s="15"/>
      <c r="V1030" s="15"/>
    </row>
    <row r="1031">
      <c r="A1031" s="2">
        <v>21385.0</v>
      </c>
      <c r="B1031" s="1" t="s">
        <v>170</v>
      </c>
      <c r="C1031" s="2">
        <v>0.05</v>
      </c>
      <c r="D1031" s="2">
        <v>39.06</v>
      </c>
      <c r="E1031" s="2">
        <v>1829.0</v>
      </c>
      <c r="F1031" s="1" t="s">
        <v>1335</v>
      </c>
      <c r="G1031" s="1" t="s">
        <v>32</v>
      </c>
      <c r="H1031" s="1" t="s">
        <v>23</v>
      </c>
      <c r="I1031" s="1" t="s">
        <v>24</v>
      </c>
      <c r="J1031" s="1" t="s">
        <v>877</v>
      </c>
      <c r="K1031" s="19" t="s">
        <v>68</v>
      </c>
      <c r="L1031" s="20" t="s">
        <v>57</v>
      </c>
      <c r="M1031" s="21">
        <f t="shared" si="1"/>
        <v>2</v>
      </c>
      <c r="N1031" s="2">
        <v>250.9806</v>
      </c>
      <c r="O1031" s="2">
        <v>9.0</v>
      </c>
      <c r="P1031" s="2">
        <v>363.74</v>
      </c>
      <c r="Q1031" s="2">
        <v>86960.0</v>
      </c>
      <c r="R1031" s="15" t="b">
        <f>ISNUMBER(MATCH(Q1031,'Returned order'!A:A,0))</f>
        <v>0</v>
      </c>
      <c r="S1031" s="22">
        <v>42010.0</v>
      </c>
      <c r="T1031" s="15"/>
      <c r="U1031" s="15"/>
      <c r="V1031" s="15"/>
    </row>
    <row r="1032">
      <c r="A1032" s="2">
        <v>21386.0</v>
      </c>
      <c r="B1032" s="1" t="s">
        <v>170</v>
      </c>
      <c r="C1032" s="2">
        <v>0.04</v>
      </c>
      <c r="D1032" s="2">
        <v>3.52</v>
      </c>
      <c r="E1032" s="2">
        <v>1829.0</v>
      </c>
      <c r="F1032" s="1" t="s">
        <v>1335</v>
      </c>
      <c r="G1032" s="1" t="s">
        <v>32</v>
      </c>
      <c r="H1032" s="1" t="s">
        <v>23</v>
      </c>
      <c r="I1032" s="1" t="s">
        <v>24</v>
      </c>
      <c r="J1032" s="1" t="s">
        <v>1336</v>
      </c>
      <c r="K1032" s="19" t="s">
        <v>68</v>
      </c>
      <c r="L1032" s="20" t="s">
        <v>57</v>
      </c>
      <c r="M1032" s="21">
        <f t="shared" si="1"/>
        <v>2</v>
      </c>
      <c r="N1032" s="2">
        <v>-57.753</v>
      </c>
      <c r="O1032" s="2">
        <v>4.0</v>
      </c>
      <c r="P1032" s="2">
        <v>15.93</v>
      </c>
      <c r="Q1032" s="2">
        <v>86960.0</v>
      </c>
      <c r="R1032" s="15" t="b">
        <f>ISNUMBER(MATCH(Q1032,'Returned order'!A:A,0))</f>
        <v>0</v>
      </c>
      <c r="S1032" s="22">
        <v>42010.0</v>
      </c>
      <c r="T1032" s="15"/>
      <c r="U1032" s="15"/>
      <c r="V1032" s="15"/>
    </row>
    <row r="1033">
      <c r="A1033" s="2">
        <v>21387.0</v>
      </c>
      <c r="B1033" s="1" t="s">
        <v>170</v>
      </c>
      <c r="C1033" s="2">
        <v>0.02</v>
      </c>
      <c r="D1033" s="2">
        <v>15.51</v>
      </c>
      <c r="E1033" s="2">
        <v>1829.0</v>
      </c>
      <c r="F1033" s="1" t="s">
        <v>1335</v>
      </c>
      <c r="G1033" s="1" t="s">
        <v>32</v>
      </c>
      <c r="H1033" s="1" t="s">
        <v>23</v>
      </c>
      <c r="I1033" s="1" t="s">
        <v>120</v>
      </c>
      <c r="J1033" s="1" t="s">
        <v>580</v>
      </c>
      <c r="K1033" s="19" t="s">
        <v>68</v>
      </c>
      <c r="L1033" s="20" t="s">
        <v>57</v>
      </c>
      <c r="M1033" s="21">
        <f t="shared" si="1"/>
        <v>2</v>
      </c>
      <c r="N1033" s="2">
        <v>-47.97</v>
      </c>
      <c r="O1033" s="2">
        <v>1.0</v>
      </c>
      <c r="P1033" s="2">
        <v>21.28</v>
      </c>
      <c r="Q1033" s="2">
        <v>86960.0</v>
      </c>
      <c r="R1033" s="15" t="b">
        <f>ISNUMBER(MATCH(Q1033,'Returned order'!A:A,0))</f>
        <v>0</v>
      </c>
      <c r="S1033" s="22">
        <v>42010.0</v>
      </c>
      <c r="T1033" s="15"/>
      <c r="U1033" s="15"/>
      <c r="V1033" s="15"/>
    </row>
    <row r="1034">
      <c r="A1034" s="2">
        <v>23589.0</v>
      </c>
      <c r="B1034" s="1" t="s">
        <v>28</v>
      </c>
      <c r="C1034" s="2">
        <v>0.01</v>
      </c>
      <c r="D1034" s="2">
        <v>155.99</v>
      </c>
      <c r="E1034" s="2">
        <v>1836.0</v>
      </c>
      <c r="F1034" s="1" t="s">
        <v>1337</v>
      </c>
      <c r="G1034" s="1" t="s">
        <v>32</v>
      </c>
      <c r="H1034" s="1" t="s">
        <v>46</v>
      </c>
      <c r="I1034" s="1" t="s">
        <v>85</v>
      </c>
      <c r="J1034" s="1" t="s">
        <v>792</v>
      </c>
      <c r="K1034" s="19" t="s">
        <v>34</v>
      </c>
      <c r="L1034" s="20" t="s">
        <v>61</v>
      </c>
      <c r="M1034" s="21">
        <f t="shared" si="1"/>
        <v>7</v>
      </c>
      <c r="N1034" s="2">
        <v>-219.07908</v>
      </c>
      <c r="O1034" s="2">
        <v>5.0</v>
      </c>
      <c r="P1034" s="2">
        <v>675.83</v>
      </c>
      <c r="Q1034" s="2">
        <v>86600.0</v>
      </c>
      <c r="R1034" s="15" t="b">
        <f>ISNUMBER(MATCH(Q1034,'Returned order'!A:A,0))</f>
        <v>0</v>
      </c>
      <c r="S1034" s="22">
        <v>42113.0</v>
      </c>
      <c r="T1034" s="15"/>
      <c r="U1034" s="15"/>
      <c r="V1034" s="15"/>
    </row>
    <row r="1035">
      <c r="A1035" s="2">
        <v>23590.0</v>
      </c>
      <c r="B1035" s="1" t="s">
        <v>28</v>
      </c>
      <c r="C1035" s="2">
        <v>0.01</v>
      </c>
      <c r="D1035" s="2">
        <v>5.98</v>
      </c>
      <c r="E1035" s="2">
        <v>1837.0</v>
      </c>
      <c r="F1035" s="1" t="s">
        <v>1338</v>
      </c>
      <c r="G1035" s="1" t="s">
        <v>32</v>
      </c>
      <c r="H1035" s="1" t="s">
        <v>23</v>
      </c>
      <c r="I1035" s="1" t="s">
        <v>93</v>
      </c>
      <c r="J1035" s="1" t="s">
        <v>821</v>
      </c>
      <c r="K1035" s="19" t="s">
        <v>34</v>
      </c>
      <c r="L1035" s="20" t="s">
        <v>61</v>
      </c>
      <c r="M1035" s="21">
        <f t="shared" si="1"/>
        <v>7</v>
      </c>
      <c r="N1035" s="2">
        <v>-18.8784</v>
      </c>
      <c r="O1035" s="2">
        <v>4.0</v>
      </c>
      <c r="P1035" s="2">
        <v>28.0</v>
      </c>
      <c r="Q1035" s="2">
        <v>86600.0</v>
      </c>
      <c r="R1035" s="15" t="b">
        <f>ISNUMBER(MATCH(Q1035,'Returned order'!A:A,0))</f>
        <v>0</v>
      </c>
      <c r="S1035" s="22">
        <v>42113.0</v>
      </c>
      <c r="T1035" s="15"/>
      <c r="U1035" s="15"/>
      <c r="V1035" s="15"/>
    </row>
    <row r="1036">
      <c r="A1036" s="2">
        <v>18141.0</v>
      </c>
      <c r="B1036" s="1" t="s">
        <v>49</v>
      </c>
      <c r="C1036" s="2">
        <v>0.07</v>
      </c>
      <c r="D1036" s="2">
        <v>40.98</v>
      </c>
      <c r="E1036" s="2">
        <v>1840.0</v>
      </c>
      <c r="F1036" s="1" t="s">
        <v>168</v>
      </c>
      <c r="G1036" s="1" t="s">
        <v>51</v>
      </c>
      <c r="H1036" s="1" t="s">
        <v>23</v>
      </c>
      <c r="I1036" s="1" t="s">
        <v>24</v>
      </c>
      <c r="J1036" s="1" t="s">
        <v>169</v>
      </c>
      <c r="K1036" s="19" t="s">
        <v>26</v>
      </c>
      <c r="L1036" s="20" t="s">
        <v>27</v>
      </c>
      <c r="M1036" s="21">
        <f t="shared" si="1"/>
        <v>1</v>
      </c>
      <c r="N1036" s="2">
        <v>369.2052</v>
      </c>
      <c r="O1036" s="2">
        <v>13.0</v>
      </c>
      <c r="P1036" s="2">
        <v>535.08</v>
      </c>
      <c r="Q1036" s="2">
        <v>86599.0</v>
      </c>
      <c r="R1036" s="15" t="b">
        <f>ISNUMBER(MATCH(Q1036,'Returned order'!A:A,0))</f>
        <v>0</v>
      </c>
      <c r="S1036" s="22">
        <v>42093.0</v>
      </c>
      <c r="T1036" s="15"/>
      <c r="U1036" s="15"/>
      <c r="V1036" s="15"/>
    </row>
    <row r="1037">
      <c r="A1037" s="2">
        <v>19139.0</v>
      </c>
      <c r="B1037" s="1" t="s">
        <v>28</v>
      </c>
      <c r="C1037" s="2">
        <v>0.09</v>
      </c>
      <c r="D1037" s="2">
        <v>35.99</v>
      </c>
      <c r="E1037" s="2">
        <v>1849.0</v>
      </c>
      <c r="F1037" s="1" t="s">
        <v>1339</v>
      </c>
      <c r="G1037" s="1" t="s">
        <v>22</v>
      </c>
      <c r="H1037" s="1" t="s">
        <v>46</v>
      </c>
      <c r="I1037" s="1" t="s">
        <v>85</v>
      </c>
      <c r="J1037" s="1" t="s">
        <v>750</v>
      </c>
      <c r="K1037" s="19" t="s">
        <v>229</v>
      </c>
      <c r="L1037" s="20" t="s">
        <v>35</v>
      </c>
      <c r="M1037" s="21">
        <f t="shared" si="1"/>
        <v>3</v>
      </c>
      <c r="N1037" s="2">
        <v>19.35</v>
      </c>
      <c r="O1037" s="2">
        <v>8.0</v>
      </c>
      <c r="P1037" s="2">
        <v>222.71</v>
      </c>
      <c r="Q1037" s="2">
        <v>89697.0</v>
      </c>
      <c r="R1037" s="15" t="b">
        <f>ISNUMBER(MATCH(Q1037,'Returned order'!A:A,0))</f>
        <v>0</v>
      </c>
      <c r="S1037" s="22">
        <v>42095.0</v>
      </c>
      <c r="T1037" s="15"/>
      <c r="U1037" s="15"/>
      <c r="V1037" s="15"/>
    </row>
    <row r="1038">
      <c r="A1038" s="2">
        <v>19140.0</v>
      </c>
      <c r="B1038" s="1" t="s">
        <v>28</v>
      </c>
      <c r="C1038" s="2">
        <v>0.01</v>
      </c>
      <c r="D1038" s="2">
        <v>125.99</v>
      </c>
      <c r="E1038" s="2">
        <v>1849.0</v>
      </c>
      <c r="F1038" s="1" t="s">
        <v>1339</v>
      </c>
      <c r="G1038" s="1" t="s">
        <v>22</v>
      </c>
      <c r="H1038" s="1" t="s">
        <v>46</v>
      </c>
      <c r="I1038" s="1" t="s">
        <v>85</v>
      </c>
      <c r="J1038" s="1" t="s">
        <v>889</v>
      </c>
      <c r="K1038" s="19" t="s">
        <v>229</v>
      </c>
      <c r="L1038" s="20" t="s">
        <v>35</v>
      </c>
      <c r="M1038" s="21">
        <f t="shared" si="1"/>
        <v>3</v>
      </c>
      <c r="N1038" s="2">
        <v>-967.834</v>
      </c>
      <c r="O1038" s="2">
        <v>2.0</v>
      </c>
      <c r="P1038" s="2">
        <v>220.52</v>
      </c>
      <c r="Q1038" s="2">
        <v>89697.0</v>
      </c>
      <c r="R1038" s="15" t="b">
        <f>ISNUMBER(MATCH(Q1038,'Returned order'!A:A,0))</f>
        <v>0</v>
      </c>
      <c r="S1038" s="22">
        <v>42095.0</v>
      </c>
      <c r="T1038" s="15"/>
      <c r="U1038" s="15"/>
      <c r="V1038" s="15"/>
    </row>
    <row r="1039">
      <c r="A1039" s="2">
        <v>19141.0</v>
      </c>
      <c r="B1039" s="1" t="s">
        <v>49</v>
      </c>
      <c r="C1039" s="2">
        <v>0.06</v>
      </c>
      <c r="D1039" s="2">
        <v>6.48</v>
      </c>
      <c r="E1039" s="2">
        <v>1852.0</v>
      </c>
      <c r="F1039" s="1" t="s">
        <v>1340</v>
      </c>
      <c r="G1039" s="1" t="s">
        <v>51</v>
      </c>
      <c r="H1039" s="1" t="s">
        <v>23</v>
      </c>
      <c r="I1039" s="1" t="s">
        <v>93</v>
      </c>
      <c r="J1039" s="1" t="s">
        <v>753</v>
      </c>
      <c r="K1039" s="19" t="s">
        <v>34</v>
      </c>
      <c r="L1039" s="20" t="s">
        <v>70</v>
      </c>
      <c r="M1039" s="21">
        <f t="shared" si="1"/>
        <v>4</v>
      </c>
      <c r="N1039" s="2">
        <v>-28.45</v>
      </c>
      <c r="O1039" s="2">
        <v>10.0</v>
      </c>
      <c r="P1039" s="2">
        <v>68.34</v>
      </c>
      <c r="Q1039" s="2">
        <v>86847.0</v>
      </c>
      <c r="R1039" s="15" t="b">
        <f>ISNUMBER(MATCH(Q1039,'Returned order'!A:A,0))</f>
        <v>0</v>
      </c>
      <c r="S1039" s="22">
        <v>42082.0</v>
      </c>
      <c r="T1039" s="15"/>
      <c r="U1039" s="15"/>
      <c r="V1039" s="15"/>
    </row>
    <row r="1040">
      <c r="A1040" s="2">
        <v>19142.0</v>
      </c>
      <c r="B1040" s="1" t="s">
        <v>49</v>
      </c>
      <c r="C1040" s="2">
        <v>0.02</v>
      </c>
      <c r="D1040" s="2">
        <v>30.73</v>
      </c>
      <c r="E1040" s="2">
        <v>1854.0</v>
      </c>
      <c r="F1040" s="1" t="s">
        <v>1341</v>
      </c>
      <c r="G1040" s="1" t="s">
        <v>51</v>
      </c>
      <c r="H1040" s="1" t="s">
        <v>46</v>
      </c>
      <c r="I1040" s="1" t="s">
        <v>47</v>
      </c>
      <c r="J1040" s="1" t="s">
        <v>315</v>
      </c>
      <c r="K1040" s="19" t="s">
        <v>26</v>
      </c>
      <c r="L1040" s="20" t="s">
        <v>70</v>
      </c>
      <c r="M1040" s="21">
        <f t="shared" si="1"/>
        <v>4</v>
      </c>
      <c r="N1040" s="2">
        <v>72.78</v>
      </c>
      <c r="O1040" s="2">
        <v>16.0</v>
      </c>
      <c r="P1040" s="2">
        <v>522.22</v>
      </c>
      <c r="Q1040" s="2">
        <v>86847.0</v>
      </c>
      <c r="R1040" s="15" t="b">
        <f>ISNUMBER(MATCH(Q1040,'Returned order'!A:A,0))</f>
        <v>0</v>
      </c>
      <c r="S1040" s="22">
        <v>42082.0</v>
      </c>
      <c r="T1040" s="15"/>
      <c r="U1040" s="15"/>
      <c r="V1040" s="15"/>
    </row>
    <row r="1041">
      <c r="A1041" s="2">
        <v>20036.0</v>
      </c>
      <c r="B1041" s="1" t="s">
        <v>58</v>
      </c>
      <c r="C1041" s="2">
        <v>0.09</v>
      </c>
      <c r="D1041" s="2">
        <v>5.98</v>
      </c>
      <c r="E1041" s="2">
        <v>1860.0</v>
      </c>
      <c r="F1041" s="1" t="s">
        <v>171</v>
      </c>
      <c r="G1041" s="1" t="s">
        <v>51</v>
      </c>
      <c r="H1041" s="1" t="s">
        <v>23</v>
      </c>
      <c r="I1041" s="1" t="s">
        <v>24</v>
      </c>
      <c r="J1041" s="1" t="s">
        <v>173</v>
      </c>
      <c r="K1041" s="19" t="s">
        <v>26</v>
      </c>
      <c r="L1041" s="20" t="s">
        <v>27</v>
      </c>
      <c r="M1041" s="21">
        <f t="shared" si="1"/>
        <v>1</v>
      </c>
      <c r="N1041" s="2">
        <v>13.2294</v>
      </c>
      <c r="O1041" s="2">
        <v>5.0</v>
      </c>
      <c r="P1041" s="2">
        <v>28.01</v>
      </c>
      <c r="Q1041" s="2">
        <v>86846.0</v>
      </c>
      <c r="R1041" s="15" t="b">
        <f>ISNUMBER(MATCH(Q1041,'Returned order'!A:A,0))</f>
        <v>0</v>
      </c>
      <c r="S1041" s="22">
        <v>42170.0</v>
      </c>
      <c r="T1041" s="15"/>
      <c r="U1041" s="15"/>
      <c r="V1041" s="15"/>
    </row>
    <row r="1042">
      <c r="A1042" s="2">
        <v>18879.0</v>
      </c>
      <c r="B1042" s="1" t="s">
        <v>49</v>
      </c>
      <c r="C1042" s="2">
        <v>0.08</v>
      </c>
      <c r="D1042" s="2">
        <v>8.09</v>
      </c>
      <c r="E1042" s="2">
        <v>1869.0</v>
      </c>
      <c r="F1042" s="1" t="s">
        <v>1342</v>
      </c>
      <c r="G1042" s="1" t="s">
        <v>22</v>
      </c>
      <c r="H1042" s="1" t="s">
        <v>37</v>
      </c>
      <c r="I1042" s="1" t="s">
        <v>42</v>
      </c>
      <c r="J1042" s="1" t="s">
        <v>43</v>
      </c>
      <c r="K1042" s="19" t="s">
        <v>34</v>
      </c>
      <c r="L1042" s="20" t="s">
        <v>61</v>
      </c>
      <c r="M1042" s="21">
        <f t="shared" si="1"/>
        <v>7</v>
      </c>
      <c r="N1042" s="2">
        <v>-88.82</v>
      </c>
      <c r="O1042" s="2">
        <v>10.0</v>
      </c>
      <c r="P1042" s="2">
        <v>80.35</v>
      </c>
      <c r="Q1042" s="2">
        <v>89209.0</v>
      </c>
      <c r="R1042" s="15" t="b">
        <f>ISNUMBER(MATCH(Q1042,'Returned order'!A:A,0))</f>
        <v>0</v>
      </c>
      <c r="S1042" s="22">
        <v>42127.0</v>
      </c>
      <c r="T1042" s="15"/>
      <c r="U1042" s="15"/>
      <c r="V1042" s="15"/>
    </row>
    <row r="1043">
      <c r="A1043" s="2">
        <v>19415.0</v>
      </c>
      <c r="B1043" s="1" t="s">
        <v>63</v>
      </c>
      <c r="C1043" s="2">
        <v>0.03</v>
      </c>
      <c r="D1043" s="2">
        <v>90.48</v>
      </c>
      <c r="E1043" s="2">
        <v>1873.0</v>
      </c>
      <c r="F1043" s="1" t="s">
        <v>1343</v>
      </c>
      <c r="G1043" s="1" t="s">
        <v>32</v>
      </c>
      <c r="H1043" s="1" t="s">
        <v>23</v>
      </c>
      <c r="I1043" s="1" t="s">
        <v>88</v>
      </c>
      <c r="J1043" s="1" t="s">
        <v>1344</v>
      </c>
      <c r="K1043" s="19" t="s">
        <v>229</v>
      </c>
      <c r="L1043" s="20" t="s">
        <v>53</v>
      </c>
      <c r="M1043" s="21">
        <f t="shared" si="1"/>
        <v>6</v>
      </c>
      <c r="N1043" s="2">
        <v>15.354</v>
      </c>
      <c r="O1043" s="2">
        <v>1.0</v>
      </c>
      <c r="P1043" s="2">
        <v>99.69</v>
      </c>
      <c r="Q1043" s="2">
        <v>90099.0</v>
      </c>
      <c r="R1043" s="15" t="b">
        <f>ISNUMBER(MATCH(Q1043,'Returned order'!A:A,0))</f>
        <v>0</v>
      </c>
      <c r="S1043" s="22">
        <v>42021.0</v>
      </c>
      <c r="T1043" s="15"/>
      <c r="U1043" s="15"/>
      <c r="V1043" s="15"/>
    </row>
    <row r="1044">
      <c r="A1044" s="2">
        <v>19416.0</v>
      </c>
      <c r="B1044" s="1" t="s">
        <v>63</v>
      </c>
      <c r="C1044" s="2">
        <v>0.06</v>
      </c>
      <c r="D1044" s="2">
        <v>22.84</v>
      </c>
      <c r="E1044" s="2">
        <v>1873.0</v>
      </c>
      <c r="F1044" s="1" t="s">
        <v>1343</v>
      </c>
      <c r="G1044" s="1" t="s">
        <v>32</v>
      </c>
      <c r="H1044" s="1" t="s">
        <v>23</v>
      </c>
      <c r="I1044" s="1" t="s">
        <v>93</v>
      </c>
      <c r="J1044" s="1" t="s">
        <v>1345</v>
      </c>
      <c r="K1044" s="19" t="s">
        <v>229</v>
      </c>
      <c r="L1044" s="20" t="s">
        <v>53</v>
      </c>
      <c r="M1044" s="21">
        <f t="shared" si="1"/>
        <v>6</v>
      </c>
      <c r="N1044" s="2">
        <v>-357.924</v>
      </c>
      <c r="O1044" s="2">
        <v>7.0</v>
      </c>
      <c r="P1044" s="2">
        <v>152.49</v>
      </c>
      <c r="Q1044" s="2">
        <v>90099.0</v>
      </c>
      <c r="R1044" s="15" t="b">
        <f>ISNUMBER(MATCH(Q1044,'Returned order'!A:A,0))</f>
        <v>0</v>
      </c>
      <c r="S1044" s="22">
        <v>42021.0</v>
      </c>
      <c r="T1044" s="15"/>
      <c r="U1044" s="15"/>
      <c r="V1044" s="15"/>
    </row>
    <row r="1045">
      <c r="A1045" s="2">
        <v>20844.0</v>
      </c>
      <c r="B1045" s="1" t="s">
        <v>58</v>
      </c>
      <c r="C1045" s="2">
        <v>0.09</v>
      </c>
      <c r="D1045" s="2">
        <v>95.99</v>
      </c>
      <c r="E1045" s="2">
        <v>1875.0</v>
      </c>
      <c r="F1045" s="1" t="s">
        <v>1346</v>
      </c>
      <c r="G1045" s="1" t="s">
        <v>22</v>
      </c>
      <c r="H1045" s="1" t="s">
        <v>46</v>
      </c>
      <c r="I1045" s="1" t="s">
        <v>85</v>
      </c>
      <c r="J1045" s="1" t="s">
        <v>295</v>
      </c>
      <c r="K1045" s="19" t="s">
        <v>229</v>
      </c>
      <c r="L1045" s="20" t="s">
        <v>70</v>
      </c>
      <c r="M1045" s="21">
        <f t="shared" si="1"/>
        <v>4</v>
      </c>
      <c r="N1045" s="2">
        <v>34.302</v>
      </c>
      <c r="O1045" s="2">
        <v>4.0</v>
      </c>
      <c r="P1045" s="2">
        <v>320.75</v>
      </c>
      <c r="Q1045" s="2">
        <v>90899.0</v>
      </c>
      <c r="R1045" s="15" t="b">
        <f>ISNUMBER(MATCH(Q1045,'Returned order'!A:A,0))</f>
        <v>0</v>
      </c>
      <c r="S1045" s="22">
        <v>42033.0</v>
      </c>
      <c r="T1045" s="15"/>
      <c r="U1045" s="15"/>
      <c r="V1045" s="15"/>
    </row>
    <row r="1046">
      <c r="A1046" s="2">
        <v>18284.0</v>
      </c>
      <c r="B1046" s="1" t="s">
        <v>49</v>
      </c>
      <c r="C1046" s="2">
        <v>0.09</v>
      </c>
      <c r="D1046" s="2">
        <v>5.78</v>
      </c>
      <c r="E1046" s="2">
        <v>1882.0</v>
      </c>
      <c r="F1046" s="1" t="s">
        <v>1347</v>
      </c>
      <c r="G1046" s="1" t="s">
        <v>51</v>
      </c>
      <c r="H1046" s="1" t="s">
        <v>23</v>
      </c>
      <c r="I1046" s="1" t="s">
        <v>93</v>
      </c>
      <c r="J1046" s="1" t="s">
        <v>544</v>
      </c>
      <c r="K1046" s="19" t="s">
        <v>26</v>
      </c>
      <c r="L1046" s="20" t="s">
        <v>61</v>
      </c>
      <c r="M1046" s="21">
        <f t="shared" si="1"/>
        <v>7</v>
      </c>
      <c r="N1046" s="2">
        <v>-7.96</v>
      </c>
      <c r="O1046" s="2">
        <v>1.0</v>
      </c>
      <c r="P1046" s="2">
        <v>11.35</v>
      </c>
      <c r="Q1046" s="2">
        <v>87378.0</v>
      </c>
      <c r="R1046" s="15" t="b">
        <f>ISNUMBER(MATCH(Q1046,'Returned order'!A:A,0))</f>
        <v>0</v>
      </c>
      <c r="S1046" s="22">
        <v>42064.0</v>
      </c>
      <c r="T1046" s="15"/>
      <c r="U1046" s="15"/>
      <c r="V1046" s="15"/>
    </row>
    <row r="1047">
      <c r="A1047" s="2">
        <v>18283.0</v>
      </c>
      <c r="B1047" s="1" t="s">
        <v>49</v>
      </c>
      <c r="C1047" s="2">
        <v>0.05</v>
      </c>
      <c r="D1047" s="2">
        <v>535.64</v>
      </c>
      <c r="E1047" s="2">
        <v>1885.0</v>
      </c>
      <c r="F1047" s="1" t="s">
        <v>1348</v>
      </c>
      <c r="G1047" s="1" t="s">
        <v>51</v>
      </c>
      <c r="H1047" s="1" t="s">
        <v>46</v>
      </c>
      <c r="I1047" s="1" t="s">
        <v>103</v>
      </c>
      <c r="J1047" s="1" t="s">
        <v>1349</v>
      </c>
      <c r="K1047" s="19" t="s">
        <v>26</v>
      </c>
      <c r="L1047" s="20" t="s">
        <v>61</v>
      </c>
      <c r="M1047" s="21">
        <f t="shared" si="1"/>
        <v>7</v>
      </c>
      <c r="N1047" s="2">
        <v>4407.44</v>
      </c>
      <c r="O1047" s="2">
        <v>15.0</v>
      </c>
      <c r="P1047" s="2">
        <v>7029.1</v>
      </c>
      <c r="Q1047" s="2">
        <v>87378.0</v>
      </c>
      <c r="R1047" s="15" t="b">
        <f>ISNUMBER(MATCH(Q1047,'Returned order'!A:A,0))</f>
        <v>0</v>
      </c>
      <c r="S1047" s="22">
        <v>42064.0</v>
      </c>
      <c r="T1047" s="15"/>
      <c r="U1047" s="15"/>
      <c r="V1047" s="15"/>
    </row>
    <row r="1048">
      <c r="A1048" s="2">
        <v>19918.0</v>
      </c>
      <c r="B1048" s="1" t="s">
        <v>170</v>
      </c>
      <c r="C1048" s="2">
        <v>0.09</v>
      </c>
      <c r="D1048" s="2">
        <v>78.8</v>
      </c>
      <c r="E1048" s="2">
        <v>1889.0</v>
      </c>
      <c r="F1048" s="1" t="s">
        <v>1350</v>
      </c>
      <c r="G1048" s="1" t="s">
        <v>51</v>
      </c>
      <c r="H1048" s="1" t="s">
        <v>23</v>
      </c>
      <c r="I1048" s="1" t="s">
        <v>120</v>
      </c>
      <c r="J1048" s="1" t="s">
        <v>1351</v>
      </c>
      <c r="K1048" s="19" t="s">
        <v>26</v>
      </c>
      <c r="L1048" s="20" t="s">
        <v>76</v>
      </c>
      <c r="M1048" s="21">
        <f t="shared" si="1"/>
        <v>5</v>
      </c>
      <c r="N1048" s="2">
        <v>-1025.0172</v>
      </c>
      <c r="O1048" s="2">
        <v>14.0</v>
      </c>
      <c r="P1048" s="2">
        <v>1059.38</v>
      </c>
      <c r="Q1048" s="2">
        <v>90631.0</v>
      </c>
      <c r="R1048" s="15" t="b">
        <f>ISNUMBER(MATCH(Q1048,'Returned order'!A:A,0))</f>
        <v>0</v>
      </c>
      <c r="S1048" s="22">
        <v>42111.0</v>
      </c>
      <c r="T1048" s="15"/>
      <c r="U1048" s="15"/>
      <c r="V1048" s="15"/>
    </row>
    <row r="1049">
      <c r="A1049" s="2">
        <v>23886.0</v>
      </c>
      <c r="B1049" s="1" t="s">
        <v>49</v>
      </c>
      <c r="C1049" s="2">
        <v>0.03</v>
      </c>
      <c r="D1049" s="2">
        <v>320.64</v>
      </c>
      <c r="E1049" s="2">
        <v>1891.0</v>
      </c>
      <c r="F1049" s="1" t="s">
        <v>1352</v>
      </c>
      <c r="G1049" s="1" t="s">
        <v>51</v>
      </c>
      <c r="H1049" s="1" t="s">
        <v>37</v>
      </c>
      <c r="I1049" s="1" t="s">
        <v>73</v>
      </c>
      <c r="J1049" s="1" t="s">
        <v>1353</v>
      </c>
      <c r="K1049" s="19" t="s">
        <v>26</v>
      </c>
      <c r="L1049" s="20" t="s">
        <v>61</v>
      </c>
      <c r="M1049" s="21">
        <f t="shared" si="1"/>
        <v>7</v>
      </c>
      <c r="N1049" s="2">
        <v>429.754356</v>
      </c>
      <c r="O1049" s="2">
        <v>7.0</v>
      </c>
      <c r="P1049" s="2">
        <v>2233.46</v>
      </c>
      <c r="Q1049" s="2">
        <v>90630.0</v>
      </c>
      <c r="R1049" s="15" t="b">
        <f>ISNUMBER(MATCH(Q1049,'Returned order'!A:A,0))</f>
        <v>0</v>
      </c>
      <c r="S1049" s="22">
        <v>42099.0</v>
      </c>
      <c r="T1049" s="15"/>
      <c r="U1049" s="15"/>
      <c r="V1049" s="15"/>
    </row>
    <row r="1050">
      <c r="A1050" s="2">
        <v>22858.0</v>
      </c>
      <c r="B1050" s="1" t="s">
        <v>170</v>
      </c>
      <c r="C1050" s="2">
        <v>0.03</v>
      </c>
      <c r="D1050" s="2">
        <v>180.98</v>
      </c>
      <c r="E1050" s="2">
        <v>1893.0</v>
      </c>
      <c r="F1050" s="1" t="s">
        <v>1354</v>
      </c>
      <c r="G1050" s="1" t="s">
        <v>22</v>
      </c>
      <c r="H1050" s="1" t="s">
        <v>37</v>
      </c>
      <c r="I1050" s="1" t="s">
        <v>38</v>
      </c>
      <c r="J1050" s="1" t="s">
        <v>285</v>
      </c>
      <c r="K1050" s="19" t="s">
        <v>68</v>
      </c>
      <c r="L1050" s="20" t="s">
        <v>61</v>
      </c>
      <c r="M1050" s="21">
        <f t="shared" si="1"/>
        <v>7</v>
      </c>
      <c r="N1050" s="2">
        <v>588.54</v>
      </c>
      <c r="O1050" s="2">
        <v>5.0</v>
      </c>
      <c r="P1050" s="2">
        <v>928.92</v>
      </c>
      <c r="Q1050" s="2">
        <v>91262.0</v>
      </c>
      <c r="R1050" s="15" t="b">
        <f>ISNUMBER(MATCH(Q1050,'Returned order'!A:A,0))</f>
        <v>0</v>
      </c>
      <c r="S1050" s="22">
        <v>42120.0</v>
      </c>
      <c r="T1050" s="15"/>
      <c r="U1050" s="15"/>
      <c r="V1050" s="15"/>
    </row>
    <row r="1051">
      <c r="A1051" s="2">
        <v>23260.0</v>
      </c>
      <c r="B1051" s="1" t="s">
        <v>58</v>
      </c>
      <c r="C1051" s="2">
        <v>0.0</v>
      </c>
      <c r="D1051" s="2">
        <v>300.98</v>
      </c>
      <c r="E1051" s="2">
        <v>1894.0</v>
      </c>
      <c r="F1051" s="1" t="s">
        <v>1355</v>
      </c>
      <c r="G1051" s="1" t="s">
        <v>51</v>
      </c>
      <c r="H1051" s="1" t="s">
        <v>37</v>
      </c>
      <c r="I1051" s="1" t="s">
        <v>38</v>
      </c>
      <c r="J1051" s="1" t="s">
        <v>1116</v>
      </c>
      <c r="K1051" s="19" t="s">
        <v>68</v>
      </c>
      <c r="L1051" s="20" t="s">
        <v>57</v>
      </c>
      <c r="M1051" s="21">
        <f t="shared" si="1"/>
        <v>2</v>
      </c>
      <c r="N1051" s="2">
        <v>2653.2915</v>
      </c>
      <c r="O1051" s="2">
        <v>12.0</v>
      </c>
      <c r="P1051" s="2">
        <v>3845.35</v>
      </c>
      <c r="Q1051" s="2">
        <v>91261.0</v>
      </c>
      <c r="R1051" s="15" t="b">
        <f>ISNUMBER(MATCH(Q1051,'Returned order'!A:A,0))</f>
        <v>0</v>
      </c>
      <c r="S1051" s="22">
        <v>42059.0</v>
      </c>
      <c r="T1051" s="15"/>
      <c r="U1051" s="15"/>
      <c r="V1051" s="15"/>
    </row>
    <row r="1052">
      <c r="A1052" s="2">
        <v>23261.0</v>
      </c>
      <c r="B1052" s="1" t="s">
        <v>58</v>
      </c>
      <c r="C1052" s="2">
        <v>0.09</v>
      </c>
      <c r="D1052" s="2">
        <v>2.94</v>
      </c>
      <c r="E1052" s="2">
        <v>1894.0</v>
      </c>
      <c r="F1052" s="1" t="s">
        <v>1355</v>
      </c>
      <c r="G1052" s="1" t="s">
        <v>51</v>
      </c>
      <c r="H1052" s="1" t="s">
        <v>23</v>
      </c>
      <c r="I1052" s="1" t="s">
        <v>29</v>
      </c>
      <c r="J1052" s="1" t="s">
        <v>515</v>
      </c>
      <c r="K1052" s="19" t="s">
        <v>68</v>
      </c>
      <c r="L1052" s="20" t="s">
        <v>57</v>
      </c>
      <c r="M1052" s="21">
        <f t="shared" si="1"/>
        <v>2</v>
      </c>
      <c r="N1052" s="2">
        <v>-1.84</v>
      </c>
      <c r="O1052" s="2">
        <v>1.0</v>
      </c>
      <c r="P1052" s="2">
        <v>3.77</v>
      </c>
      <c r="Q1052" s="2">
        <v>91261.0</v>
      </c>
      <c r="R1052" s="15" t="b">
        <f>ISNUMBER(MATCH(Q1052,'Returned order'!A:A,0))</f>
        <v>0</v>
      </c>
      <c r="S1052" s="22">
        <v>42059.0</v>
      </c>
      <c r="T1052" s="15"/>
      <c r="U1052" s="15"/>
      <c r="V1052" s="15"/>
    </row>
    <row r="1053">
      <c r="A1053" s="2">
        <v>23237.0</v>
      </c>
      <c r="B1053" s="1" t="s">
        <v>28</v>
      </c>
      <c r="C1053" s="2">
        <v>0.01</v>
      </c>
      <c r="D1053" s="2">
        <v>26.17</v>
      </c>
      <c r="E1053" s="2">
        <v>1894.0</v>
      </c>
      <c r="F1053" s="1" t="s">
        <v>1355</v>
      </c>
      <c r="G1053" s="1" t="s">
        <v>22</v>
      </c>
      <c r="H1053" s="1" t="s">
        <v>23</v>
      </c>
      <c r="I1053" s="1" t="s">
        <v>88</v>
      </c>
      <c r="J1053" s="1" t="s">
        <v>1356</v>
      </c>
      <c r="K1053" s="19" t="s">
        <v>68</v>
      </c>
      <c r="L1053" s="20" t="s">
        <v>35</v>
      </c>
      <c r="M1053" s="21">
        <f t="shared" si="1"/>
        <v>3</v>
      </c>
      <c r="N1053" s="2">
        <v>237.0426</v>
      </c>
      <c r="O1053" s="2">
        <v>13.0</v>
      </c>
      <c r="P1053" s="2">
        <v>343.54</v>
      </c>
      <c r="Q1053" s="2">
        <v>91263.0</v>
      </c>
      <c r="R1053" s="15" t="b">
        <f>ISNUMBER(MATCH(Q1053,'Returned order'!A:A,0))</f>
        <v>0</v>
      </c>
      <c r="S1053" s="22">
        <v>42081.0</v>
      </c>
      <c r="T1053" s="15"/>
      <c r="U1053" s="15"/>
      <c r="V1053" s="15"/>
    </row>
    <row r="1054">
      <c r="A1054" s="2">
        <v>19048.0</v>
      </c>
      <c r="B1054" s="1" t="s">
        <v>170</v>
      </c>
      <c r="C1054" s="2">
        <v>0.07</v>
      </c>
      <c r="D1054" s="2">
        <v>172.99</v>
      </c>
      <c r="E1054" s="2">
        <v>1906.0</v>
      </c>
      <c r="F1054" s="1" t="s">
        <v>1357</v>
      </c>
      <c r="G1054" s="1" t="s">
        <v>32</v>
      </c>
      <c r="H1054" s="1" t="s">
        <v>23</v>
      </c>
      <c r="I1054" s="1" t="s">
        <v>24</v>
      </c>
      <c r="J1054" s="1" t="s">
        <v>1358</v>
      </c>
      <c r="K1054" s="19" t="s">
        <v>26</v>
      </c>
      <c r="L1054" s="20" t="s">
        <v>61</v>
      </c>
      <c r="M1054" s="21">
        <f t="shared" si="1"/>
        <v>7</v>
      </c>
      <c r="N1054" s="2">
        <v>2502.6852</v>
      </c>
      <c r="O1054" s="2">
        <v>22.0</v>
      </c>
      <c r="P1054" s="2">
        <v>3627.08</v>
      </c>
      <c r="Q1054" s="2">
        <v>86500.0</v>
      </c>
      <c r="R1054" s="15" t="b">
        <f>ISNUMBER(MATCH(Q1054,'Returned order'!A:A,0))</f>
        <v>0</v>
      </c>
      <c r="S1054" s="22">
        <v>42141.0</v>
      </c>
      <c r="T1054" s="15"/>
      <c r="U1054" s="15"/>
      <c r="V1054" s="15"/>
    </row>
    <row r="1055">
      <c r="A1055" s="2">
        <v>19049.0</v>
      </c>
      <c r="B1055" s="1" t="s">
        <v>170</v>
      </c>
      <c r="C1055" s="2">
        <v>0.09</v>
      </c>
      <c r="D1055" s="2">
        <v>7.64</v>
      </c>
      <c r="E1055" s="2">
        <v>1907.0</v>
      </c>
      <c r="F1055" s="1" t="s">
        <v>1359</v>
      </c>
      <c r="G1055" s="1" t="s">
        <v>32</v>
      </c>
      <c r="H1055" s="1" t="s">
        <v>23</v>
      </c>
      <c r="I1055" s="1" t="s">
        <v>88</v>
      </c>
      <c r="J1055" s="1" t="s">
        <v>949</v>
      </c>
      <c r="K1055" s="19" t="s">
        <v>26</v>
      </c>
      <c r="L1055" s="20" t="s">
        <v>61</v>
      </c>
      <c r="M1055" s="21">
        <f t="shared" si="1"/>
        <v>7</v>
      </c>
      <c r="N1055" s="2">
        <v>0.688</v>
      </c>
      <c r="O1055" s="2">
        <v>1.0</v>
      </c>
      <c r="P1055" s="2">
        <v>8.34</v>
      </c>
      <c r="Q1055" s="2">
        <v>86500.0</v>
      </c>
      <c r="R1055" s="15" t="b">
        <f>ISNUMBER(MATCH(Q1055,'Returned order'!A:A,0))</f>
        <v>0</v>
      </c>
      <c r="S1055" s="22">
        <v>42141.0</v>
      </c>
      <c r="T1055" s="15"/>
      <c r="U1055" s="15"/>
      <c r="V1055" s="15"/>
    </row>
    <row r="1056">
      <c r="A1056" s="2">
        <v>23812.0</v>
      </c>
      <c r="B1056" s="1" t="s">
        <v>49</v>
      </c>
      <c r="C1056" s="2">
        <v>0.02</v>
      </c>
      <c r="D1056" s="2">
        <v>29.17</v>
      </c>
      <c r="E1056" s="2">
        <v>1910.0</v>
      </c>
      <c r="F1056" s="1" t="s">
        <v>1360</v>
      </c>
      <c r="G1056" s="1" t="s">
        <v>51</v>
      </c>
      <c r="H1056" s="1" t="s">
        <v>23</v>
      </c>
      <c r="I1056" s="1" t="s">
        <v>24</v>
      </c>
      <c r="J1056" s="1" t="s">
        <v>472</v>
      </c>
      <c r="K1056" s="19" t="s">
        <v>229</v>
      </c>
      <c r="L1056" s="20" t="s">
        <v>70</v>
      </c>
      <c r="M1056" s="21">
        <f t="shared" si="1"/>
        <v>4</v>
      </c>
      <c r="N1056" s="2">
        <v>36.906</v>
      </c>
      <c r="O1056" s="2">
        <v>2.0</v>
      </c>
      <c r="P1056" s="2">
        <v>63.32</v>
      </c>
      <c r="Q1056" s="2">
        <v>91371.0</v>
      </c>
      <c r="R1056" s="15" t="b">
        <f>ISNUMBER(MATCH(Q1056,'Returned order'!A:A,0))</f>
        <v>0</v>
      </c>
      <c r="S1056" s="22">
        <v>42005.0</v>
      </c>
      <c r="T1056" s="15"/>
      <c r="U1056" s="15"/>
      <c r="V1056" s="15"/>
    </row>
    <row r="1057">
      <c r="A1057" s="2">
        <v>18962.0</v>
      </c>
      <c r="B1057" s="1" t="s">
        <v>58</v>
      </c>
      <c r="C1057" s="2">
        <v>0.03</v>
      </c>
      <c r="D1057" s="2">
        <v>11.99</v>
      </c>
      <c r="E1057" s="2">
        <v>1916.0</v>
      </c>
      <c r="F1057" s="1" t="s">
        <v>1361</v>
      </c>
      <c r="G1057" s="1" t="s">
        <v>51</v>
      </c>
      <c r="H1057" s="1" t="s">
        <v>46</v>
      </c>
      <c r="I1057" s="1" t="s">
        <v>103</v>
      </c>
      <c r="J1057" s="1" t="s">
        <v>1362</v>
      </c>
      <c r="K1057" s="19" t="s">
        <v>229</v>
      </c>
      <c r="L1057" s="20" t="s">
        <v>76</v>
      </c>
      <c r="M1057" s="21">
        <f t="shared" si="1"/>
        <v>5</v>
      </c>
      <c r="N1057" s="2">
        <v>-216.0298</v>
      </c>
      <c r="O1057" s="2">
        <v>7.0</v>
      </c>
      <c r="P1057" s="2">
        <v>83.72</v>
      </c>
      <c r="Q1057" s="2">
        <v>85893.0</v>
      </c>
      <c r="R1057" s="15" t="b">
        <f>ISNUMBER(MATCH(Q1057,'Returned order'!A:A,0))</f>
        <v>0</v>
      </c>
      <c r="S1057" s="22">
        <v>42062.0</v>
      </c>
      <c r="T1057" s="15"/>
      <c r="U1057" s="15"/>
      <c r="V1057" s="15"/>
    </row>
    <row r="1058">
      <c r="A1058" s="2">
        <v>18016.0</v>
      </c>
      <c r="B1058" s="1" t="s">
        <v>28</v>
      </c>
      <c r="C1058" s="2">
        <v>0.01</v>
      </c>
      <c r="D1058" s="2">
        <v>125.99</v>
      </c>
      <c r="E1058" s="2">
        <v>1916.0</v>
      </c>
      <c r="F1058" s="1" t="s">
        <v>1361</v>
      </c>
      <c r="G1058" s="1" t="s">
        <v>51</v>
      </c>
      <c r="H1058" s="1" t="s">
        <v>46</v>
      </c>
      <c r="I1058" s="1" t="s">
        <v>85</v>
      </c>
      <c r="J1058" s="1" t="s">
        <v>700</v>
      </c>
      <c r="K1058" s="19" t="s">
        <v>229</v>
      </c>
      <c r="L1058" s="20" t="s">
        <v>70</v>
      </c>
      <c r="M1058" s="21">
        <f t="shared" si="1"/>
        <v>4</v>
      </c>
      <c r="N1058" s="2">
        <v>-45.472</v>
      </c>
      <c r="O1058" s="2">
        <v>9.0</v>
      </c>
      <c r="P1058" s="2">
        <v>1011.44</v>
      </c>
      <c r="Q1058" s="2">
        <v>85895.0</v>
      </c>
      <c r="R1058" s="15" t="b">
        <f>ISNUMBER(MATCH(Q1058,'Returned order'!A:A,0))</f>
        <v>0</v>
      </c>
      <c r="S1058" s="22">
        <v>42110.0</v>
      </c>
      <c r="T1058" s="15"/>
      <c r="U1058" s="15"/>
      <c r="V1058" s="15"/>
    </row>
    <row r="1059">
      <c r="A1059" s="2">
        <v>21000.0</v>
      </c>
      <c r="B1059" s="1" t="s">
        <v>63</v>
      </c>
      <c r="C1059" s="2">
        <v>0.08</v>
      </c>
      <c r="D1059" s="2">
        <v>18.7</v>
      </c>
      <c r="E1059" s="2">
        <v>1917.0</v>
      </c>
      <c r="F1059" s="1" t="s">
        <v>1363</v>
      </c>
      <c r="G1059" s="1" t="s">
        <v>51</v>
      </c>
      <c r="H1059" s="1" t="s">
        <v>37</v>
      </c>
      <c r="I1059" s="1" t="s">
        <v>42</v>
      </c>
      <c r="J1059" s="1" t="s">
        <v>1364</v>
      </c>
      <c r="K1059" s="19" t="s">
        <v>229</v>
      </c>
      <c r="L1059" s="20" t="s">
        <v>76</v>
      </c>
      <c r="M1059" s="21">
        <f t="shared" si="1"/>
        <v>5</v>
      </c>
      <c r="N1059" s="2">
        <v>16.1364</v>
      </c>
      <c r="O1059" s="2">
        <v>7.0</v>
      </c>
      <c r="P1059" s="2">
        <v>132.23</v>
      </c>
      <c r="Q1059" s="2">
        <v>85894.0</v>
      </c>
      <c r="R1059" s="15" t="b">
        <f>ISNUMBER(MATCH(Q1059,'Returned order'!A:A,0))</f>
        <v>0</v>
      </c>
      <c r="S1059" s="22">
        <v>42090.0</v>
      </c>
      <c r="T1059" s="15"/>
      <c r="U1059" s="15"/>
      <c r="V1059" s="15"/>
    </row>
    <row r="1060">
      <c r="A1060" s="2">
        <v>19967.0</v>
      </c>
      <c r="B1060" s="1" t="s">
        <v>28</v>
      </c>
      <c r="C1060" s="2">
        <v>0.08</v>
      </c>
      <c r="D1060" s="2">
        <v>22.23</v>
      </c>
      <c r="E1060" s="2">
        <v>1917.0</v>
      </c>
      <c r="F1060" s="1" t="s">
        <v>1363</v>
      </c>
      <c r="G1060" s="1" t="s">
        <v>51</v>
      </c>
      <c r="H1060" s="1" t="s">
        <v>37</v>
      </c>
      <c r="I1060" s="1" t="s">
        <v>42</v>
      </c>
      <c r="J1060" s="1" t="s">
        <v>1365</v>
      </c>
      <c r="K1060" s="19" t="s">
        <v>229</v>
      </c>
      <c r="L1060" s="20" t="s">
        <v>61</v>
      </c>
      <c r="M1060" s="21">
        <f t="shared" si="1"/>
        <v>7</v>
      </c>
      <c r="N1060" s="2">
        <v>-29.61</v>
      </c>
      <c r="O1060" s="2">
        <v>10.0</v>
      </c>
      <c r="P1060" s="2">
        <v>210.33</v>
      </c>
      <c r="Q1060" s="2">
        <v>85897.0</v>
      </c>
      <c r="R1060" s="15" t="b">
        <f>ISNUMBER(MATCH(Q1060,'Returned order'!A:A,0))</f>
        <v>0</v>
      </c>
      <c r="S1060" s="22">
        <v>42064.0</v>
      </c>
      <c r="T1060" s="15"/>
      <c r="U1060" s="15"/>
      <c r="V1060" s="15"/>
    </row>
    <row r="1061">
      <c r="A1061" s="2">
        <v>22246.0</v>
      </c>
      <c r="B1061" s="1" t="s">
        <v>170</v>
      </c>
      <c r="C1061" s="2">
        <v>0.1</v>
      </c>
      <c r="D1061" s="2">
        <v>10.44</v>
      </c>
      <c r="E1061" s="2">
        <v>1918.0</v>
      </c>
      <c r="F1061" s="1" t="s">
        <v>1366</v>
      </c>
      <c r="G1061" s="1" t="s">
        <v>51</v>
      </c>
      <c r="H1061" s="1" t="s">
        <v>23</v>
      </c>
      <c r="I1061" s="1" t="s">
        <v>24</v>
      </c>
      <c r="J1061" s="1" t="s">
        <v>1367</v>
      </c>
      <c r="K1061" s="19" t="s">
        <v>229</v>
      </c>
      <c r="L1061" s="20" t="s">
        <v>53</v>
      </c>
      <c r="M1061" s="21">
        <f t="shared" si="1"/>
        <v>6</v>
      </c>
      <c r="N1061" s="2">
        <v>125.724</v>
      </c>
      <c r="O1061" s="2">
        <v>17.0</v>
      </c>
      <c r="P1061" s="2">
        <v>168.04</v>
      </c>
      <c r="Q1061" s="2">
        <v>85898.0</v>
      </c>
      <c r="R1061" s="15" t="b">
        <f>ISNUMBER(MATCH(Q1061,'Returned order'!A:A,0))</f>
        <v>0</v>
      </c>
      <c r="S1061" s="22">
        <v>42098.0</v>
      </c>
      <c r="T1061" s="15"/>
      <c r="U1061" s="15"/>
      <c r="V1061" s="15"/>
    </row>
    <row r="1062">
      <c r="A1062" s="2">
        <v>24971.0</v>
      </c>
      <c r="B1062" s="1" t="s">
        <v>28</v>
      </c>
      <c r="C1062" s="2">
        <v>0.0</v>
      </c>
      <c r="D1062" s="2">
        <v>195.99</v>
      </c>
      <c r="E1062" s="2">
        <v>1919.0</v>
      </c>
      <c r="F1062" s="1" t="s">
        <v>1368</v>
      </c>
      <c r="G1062" s="1" t="s">
        <v>51</v>
      </c>
      <c r="H1062" s="1" t="s">
        <v>46</v>
      </c>
      <c r="I1062" s="1" t="s">
        <v>85</v>
      </c>
      <c r="J1062" s="1" t="s">
        <v>611</v>
      </c>
      <c r="K1062" s="19" t="s">
        <v>229</v>
      </c>
      <c r="L1062" s="20" t="s">
        <v>57</v>
      </c>
      <c r="M1062" s="21">
        <f t="shared" si="1"/>
        <v>2</v>
      </c>
      <c r="N1062" s="2">
        <v>114.882</v>
      </c>
      <c r="O1062" s="2">
        <v>5.0</v>
      </c>
      <c r="P1062" s="2">
        <v>882.93</v>
      </c>
      <c r="Q1062" s="2">
        <v>85896.0</v>
      </c>
      <c r="R1062" s="15" t="b">
        <f>ISNUMBER(MATCH(Q1062,'Returned order'!A:A,0))</f>
        <v>0</v>
      </c>
      <c r="S1062" s="22">
        <v>42059.0</v>
      </c>
      <c r="T1062" s="15"/>
      <c r="U1062" s="15"/>
      <c r="V1062" s="15"/>
    </row>
    <row r="1063">
      <c r="A1063" s="2">
        <v>21563.0</v>
      </c>
      <c r="B1063" s="1" t="s">
        <v>28</v>
      </c>
      <c r="C1063" s="2">
        <v>0.02</v>
      </c>
      <c r="D1063" s="2">
        <v>259.71</v>
      </c>
      <c r="E1063" s="2">
        <v>1927.0</v>
      </c>
      <c r="F1063" s="1" t="s">
        <v>1369</v>
      </c>
      <c r="G1063" s="1" t="s">
        <v>51</v>
      </c>
      <c r="H1063" s="1" t="s">
        <v>37</v>
      </c>
      <c r="I1063" s="1" t="s">
        <v>73</v>
      </c>
      <c r="J1063" s="1" t="s">
        <v>349</v>
      </c>
      <c r="K1063" s="19" t="s">
        <v>229</v>
      </c>
      <c r="L1063" s="20" t="s">
        <v>76</v>
      </c>
      <c r="M1063" s="21">
        <f t="shared" si="1"/>
        <v>5</v>
      </c>
      <c r="N1063" s="2">
        <v>-14.448</v>
      </c>
      <c r="O1063" s="2">
        <v>8.0</v>
      </c>
      <c r="P1063" s="2">
        <v>1757.15</v>
      </c>
      <c r="Q1063" s="2">
        <v>88579.0</v>
      </c>
      <c r="R1063" s="15" t="b">
        <f>ISNUMBER(MATCH(Q1063,'Returned order'!A:A,0))</f>
        <v>0</v>
      </c>
      <c r="S1063" s="22">
        <v>42041.0</v>
      </c>
      <c r="T1063" s="15"/>
      <c r="U1063" s="15"/>
      <c r="V1063" s="15"/>
    </row>
    <row r="1064">
      <c r="A1064" s="2">
        <v>22686.0</v>
      </c>
      <c r="B1064" s="1" t="s">
        <v>49</v>
      </c>
      <c r="C1064" s="2">
        <v>0.1</v>
      </c>
      <c r="D1064" s="2">
        <v>1889.99</v>
      </c>
      <c r="E1064" s="2">
        <v>1928.0</v>
      </c>
      <c r="F1064" s="1" t="s">
        <v>1370</v>
      </c>
      <c r="G1064" s="1" t="s">
        <v>51</v>
      </c>
      <c r="H1064" s="1" t="s">
        <v>23</v>
      </c>
      <c r="I1064" s="1" t="s">
        <v>24</v>
      </c>
      <c r="J1064" s="1" t="s">
        <v>1371</v>
      </c>
      <c r="K1064" s="19" t="s">
        <v>229</v>
      </c>
      <c r="L1064" s="20" t="s">
        <v>35</v>
      </c>
      <c r="M1064" s="21">
        <f t="shared" si="1"/>
        <v>3</v>
      </c>
      <c r="N1064" s="2">
        <v>-42.546</v>
      </c>
      <c r="O1064" s="2">
        <v>1.0</v>
      </c>
      <c r="P1064" s="2">
        <v>1786.04</v>
      </c>
      <c r="Q1064" s="2">
        <v>88580.0</v>
      </c>
      <c r="R1064" s="15" t="b">
        <f>ISNUMBER(MATCH(Q1064,'Returned order'!A:A,0))</f>
        <v>0</v>
      </c>
      <c r="S1064" s="22">
        <v>42025.0</v>
      </c>
      <c r="T1064" s="15"/>
      <c r="U1064" s="15"/>
      <c r="V1064" s="15"/>
    </row>
    <row r="1065">
      <c r="A1065" s="2">
        <v>18159.0</v>
      </c>
      <c r="B1065" s="1" t="s">
        <v>170</v>
      </c>
      <c r="C1065" s="2">
        <v>0.06</v>
      </c>
      <c r="D1065" s="2">
        <v>3.58</v>
      </c>
      <c r="E1065" s="2">
        <v>1933.0</v>
      </c>
      <c r="F1065" s="1" t="s">
        <v>1372</v>
      </c>
      <c r="G1065" s="1" t="s">
        <v>32</v>
      </c>
      <c r="H1065" s="1" t="s">
        <v>23</v>
      </c>
      <c r="I1065" s="1" t="s">
        <v>81</v>
      </c>
      <c r="J1065" s="1" t="s">
        <v>82</v>
      </c>
      <c r="K1065" s="19" t="s">
        <v>68</v>
      </c>
      <c r="L1065" s="20" t="s">
        <v>61</v>
      </c>
      <c r="M1065" s="21">
        <f t="shared" si="1"/>
        <v>7</v>
      </c>
      <c r="N1065" s="2">
        <v>14.0</v>
      </c>
      <c r="O1065" s="2">
        <v>10.0</v>
      </c>
      <c r="P1065" s="2">
        <v>34.76</v>
      </c>
      <c r="Q1065" s="2">
        <v>86687.0</v>
      </c>
      <c r="R1065" s="15" t="b">
        <f>ISNUMBER(MATCH(Q1065,'Returned order'!A:A,0))</f>
        <v>0</v>
      </c>
      <c r="S1065" s="22">
        <v>42113.0</v>
      </c>
      <c r="T1065" s="15"/>
      <c r="U1065" s="15"/>
      <c r="V1065" s="15"/>
    </row>
    <row r="1066">
      <c r="A1066" s="2">
        <v>19697.0</v>
      </c>
      <c r="B1066" s="1" t="s">
        <v>170</v>
      </c>
      <c r="C1066" s="2">
        <v>0.04</v>
      </c>
      <c r="D1066" s="2">
        <v>180.98</v>
      </c>
      <c r="E1066" s="2">
        <v>1934.0</v>
      </c>
      <c r="F1066" s="1" t="s">
        <v>1373</v>
      </c>
      <c r="G1066" s="1" t="s">
        <v>51</v>
      </c>
      <c r="H1066" s="1" t="s">
        <v>37</v>
      </c>
      <c r="I1066" s="1" t="s">
        <v>38</v>
      </c>
      <c r="J1066" s="1" t="s">
        <v>1374</v>
      </c>
      <c r="K1066" s="19" t="s">
        <v>68</v>
      </c>
      <c r="L1066" s="20" t="s">
        <v>53</v>
      </c>
      <c r="M1066" s="21">
        <f t="shared" si="1"/>
        <v>6</v>
      </c>
      <c r="N1066" s="2">
        <v>52.988</v>
      </c>
      <c r="O1066" s="2">
        <v>3.0</v>
      </c>
      <c r="P1066" s="2">
        <v>561.65</v>
      </c>
      <c r="Q1066" s="2">
        <v>86688.0</v>
      </c>
      <c r="R1066" s="15" t="b">
        <f>ISNUMBER(MATCH(Q1066,'Returned order'!A:A,0))</f>
        <v>0</v>
      </c>
      <c r="S1066" s="22">
        <v>42154.0</v>
      </c>
      <c r="T1066" s="15"/>
      <c r="U1066" s="15"/>
      <c r="V1066" s="15"/>
    </row>
    <row r="1067">
      <c r="A1067" s="2">
        <v>19780.0</v>
      </c>
      <c r="B1067" s="1" t="s">
        <v>58</v>
      </c>
      <c r="C1067" s="2">
        <v>0.01</v>
      </c>
      <c r="D1067" s="2">
        <v>42.98</v>
      </c>
      <c r="E1067" s="2">
        <v>1935.0</v>
      </c>
      <c r="F1067" s="1" t="s">
        <v>1375</v>
      </c>
      <c r="G1067" s="1" t="s">
        <v>32</v>
      </c>
      <c r="H1067" s="1" t="s">
        <v>23</v>
      </c>
      <c r="I1067" s="1" t="s">
        <v>151</v>
      </c>
      <c r="J1067" s="1" t="s">
        <v>1376</v>
      </c>
      <c r="K1067" s="19" t="s">
        <v>68</v>
      </c>
      <c r="L1067" s="20" t="s">
        <v>35</v>
      </c>
      <c r="M1067" s="21">
        <f t="shared" si="1"/>
        <v>3</v>
      </c>
      <c r="N1067" s="2">
        <v>285.4737</v>
      </c>
      <c r="O1067" s="2">
        <v>9.0</v>
      </c>
      <c r="P1067" s="2">
        <v>413.73</v>
      </c>
      <c r="Q1067" s="2">
        <v>86686.0</v>
      </c>
      <c r="R1067" s="15" t="b">
        <f>ISNUMBER(MATCH(Q1067,'Returned order'!A:A,0))</f>
        <v>0</v>
      </c>
      <c r="S1067" s="22">
        <v>42102.0</v>
      </c>
      <c r="T1067" s="15"/>
      <c r="U1067" s="15"/>
      <c r="V1067" s="15"/>
    </row>
    <row r="1068">
      <c r="A1068" s="2">
        <v>19698.0</v>
      </c>
      <c r="B1068" s="1" t="s">
        <v>170</v>
      </c>
      <c r="C1068" s="2">
        <v>0.06</v>
      </c>
      <c r="D1068" s="2">
        <v>3.25</v>
      </c>
      <c r="E1068" s="2">
        <v>1935.0</v>
      </c>
      <c r="F1068" s="1" t="s">
        <v>1375</v>
      </c>
      <c r="G1068" s="1" t="s">
        <v>51</v>
      </c>
      <c r="H1068" s="1" t="s">
        <v>23</v>
      </c>
      <c r="I1068" s="1" t="s">
        <v>151</v>
      </c>
      <c r="J1068" s="1" t="s">
        <v>1377</v>
      </c>
      <c r="K1068" s="19" t="s">
        <v>68</v>
      </c>
      <c r="L1068" s="20" t="s">
        <v>53</v>
      </c>
      <c r="M1068" s="21">
        <f t="shared" si="1"/>
        <v>6</v>
      </c>
      <c r="N1068" s="2">
        <v>10.508</v>
      </c>
      <c r="O1068" s="2">
        <v>2.0</v>
      </c>
      <c r="P1068" s="2">
        <v>55.6</v>
      </c>
      <c r="Q1068" s="2">
        <v>86688.0</v>
      </c>
      <c r="R1068" s="15" t="b">
        <f>ISNUMBER(MATCH(Q1068,'Returned order'!A:A,0))</f>
        <v>0</v>
      </c>
      <c r="S1068" s="22">
        <v>42154.0</v>
      </c>
      <c r="T1068" s="15"/>
      <c r="U1068" s="15"/>
      <c r="V1068" s="15"/>
    </row>
    <row r="1069">
      <c r="A1069" s="2">
        <v>19699.0</v>
      </c>
      <c r="B1069" s="1" t="s">
        <v>170</v>
      </c>
      <c r="C1069" s="2">
        <v>0.01</v>
      </c>
      <c r="D1069" s="2">
        <v>110.98</v>
      </c>
      <c r="E1069" s="2">
        <v>1935.0</v>
      </c>
      <c r="F1069" s="1" t="s">
        <v>1375</v>
      </c>
      <c r="G1069" s="1" t="s">
        <v>51</v>
      </c>
      <c r="H1069" s="1" t="s">
        <v>37</v>
      </c>
      <c r="I1069" s="1" t="s">
        <v>42</v>
      </c>
      <c r="J1069" s="1" t="s">
        <v>1378</v>
      </c>
      <c r="K1069" s="19" t="s">
        <v>68</v>
      </c>
      <c r="L1069" s="20" t="s">
        <v>53</v>
      </c>
      <c r="M1069" s="21">
        <f t="shared" si="1"/>
        <v>6</v>
      </c>
      <c r="N1069" s="2">
        <v>1448.7309</v>
      </c>
      <c r="O1069" s="2">
        <v>19.0</v>
      </c>
      <c r="P1069" s="2">
        <v>2099.61</v>
      </c>
      <c r="Q1069" s="2">
        <v>86688.0</v>
      </c>
      <c r="R1069" s="15" t="b">
        <f>ISNUMBER(MATCH(Q1069,'Returned order'!A:A,0))</f>
        <v>0</v>
      </c>
      <c r="S1069" s="22">
        <v>42154.0</v>
      </c>
      <c r="T1069" s="15"/>
      <c r="U1069" s="15"/>
      <c r="V1069" s="15"/>
    </row>
    <row r="1070">
      <c r="A1070" s="2">
        <v>19700.0</v>
      </c>
      <c r="B1070" s="1" t="s">
        <v>170</v>
      </c>
      <c r="C1070" s="2">
        <v>0.05</v>
      </c>
      <c r="D1070" s="2">
        <v>3.95</v>
      </c>
      <c r="E1070" s="2">
        <v>1935.0</v>
      </c>
      <c r="F1070" s="1" t="s">
        <v>1375</v>
      </c>
      <c r="G1070" s="1" t="s">
        <v>51</v>
      </c>
      <c r="H1070" s="1" t="s">
        <v>23</v>
      </c>
      <c r="I1070" s="1" t="s">
        <v>81</v>
      </c>
      <c r="J1070" s="1" t="s">
        <v>1025</v>
      </c>
      <c r="K1070" s="19" t="s">
        <v>68</v>
      </c>
      <c r="L1070" s="20" t="s">
        <v>53</v>
      </c>
      <c r="M1070" s="21">
        <f t="shared" si="1"/>
        <v>6</v>
      </c>
      <c r="N1070" s="2">
        <v>1.004</v>
      </c>
      <c r="O1070" s="2">
        <v>23.0</v>
      </c>
      <c r="P1070" s="2">
        <v>96.6</v>
      </c>
      <c r="Q1070" s="2">
        <v>86688.0</v>
      </c>
      <c r="R1070" s="15" t="b">
        <f>ISNUMBER(MATCH(Q1070,'Returned order'!A:A,0))</f>
        <v>0</v>
      </c>
      <c r="S1070" s="22">
        <v>42154.0</v>
      </c>
      <c r="T1070" s="15"/>
      <c r="U1070" s="15"/>
      <c r="V1070" s="15"/>
    </row>
    <row r="1071">
      <c r="A1071" s="2">
        <v>23551.0</v>
      </c>
      <c r="B1071" s="1" t="s">
        <v>63</v>
      </c>
      <c r="C1071" s="2">
        <v>0.1</v>
      </c>
      <c r="D1071" s="2">
        <v>152.48</v>
      </c>
      <c r="E1071" s="2">
        <v>1938.0</v>
      </c>
      <c r="F1071" s="1" t="s">
        <v>1379</v>
      </c>
      <c r="G1071" s="1" t="s">
        <v>32</v>
      </c>
      <c r="H1071" s="1" t="s">
        <v>46</v>
      </c>
      <c r="I1071" s="1" t="s">
        <v>47</v>
      </c>
      <c r="J1071" s="1" t="s">
        <v>524</v>
      </c>
      <c r="K1071" s="19" t="s">
        <v>68</v>
      </c>
      <c r="L1071" s="20" t="s">
        <v>61</v>
      </c>
      <c r="M1071" s="21">
        <f t="shared" si="1"/>
        <v>7</v>
      </c>
      <c r="N1071" s="2">
        <v>-521.09</v>
      </c>
      <c r="O1071" s="2">
        <v>4.0</v>
      </c>
      <c r="P1071" s="2">
        <v>558.17</v>
      </c>
      <c r="Q1071" s="2">
        <v>88870.0</v>
      </c>
      <c r="R1071" s="15" t="b">
        <f>ISNUMBER(MATCH(Q1071,'Returned order'!A:A,0))</f>
        <v>0</v>
      </c>
      <c r="S1071" s="22">
        <v>42085.0</v>
      </c>
      <c r="T1071" s="15"/>
      <c r="U1071" s="15"/>
      <c r="V1071" s="15"/>
    </row>
    <row r="1072">
      <c r="A1072" s="2">
        <v>23550.0</v>
      </c>
      <c r="B1072" s="1" t="s">
        <v>63</v>
      </c>
      <c r="C1072" s="2">
        <v>0.08</v>
      </c>
      <c r="D1072" s="2">
        <v>6.84</v>
      </c>
      <c r="E1072" s="2">
        <v>1940.0</v>
      </c>
      <c r="F1072" s="1" t="s">
        <v>1380</v>
      </c>
      <c r="G1072" s="1" t="s">
        <v>32</v>
      </c>
      <c r="H1072" s="1" t="s">
        <v>23</v>
      </c>
      <c r="I1072" s="1" t="s">
        <v>257</v>
      </c>
      <c r="J1072" s="1" t="s">
        <v>1251</v>
      </c>
      <c r="K1072" s="19" t="s">
        <v>34</v>
      </c>
      <c r="L1072" s="20" t="s">
        <v>61</v>
      </c>
      <c r="M1072" s="21">
        <f t="shared" si="1"/>
        <v>7</v>
      </c>
      <c r="N1072" s="2">
        <v>-29.49</v>
      </c>
      <c r="O1072" s="2">
        <v>1.0</v>
      </c>
      <c r="P1072" s="2">
        <v>8.39</v>
      </c>
      <c r="Q1072" s="2">
        <v>88870.0</v>
      </c>
      <c r="R1072" s="15" t="b">
        <f>ISNUMBER(MATCH(Q1072,'Returned order'!A:A,0))</f>
        <v>0</v>
      </c>
      <c r="S1072" s="22">
        <v>42085.0</v>
      </c>
      <c r="T1072" s="15"/>
      <c r="U1072" s="15"/>
      <c r="V1072" s="15"/>
    </row>
    <row r="1073">
      <c r="A1073" s="2">
        <v>25531.0</v>
      </c>
      <c r="B1073" s="1" t="s">
        <v>170</v>
      </c>
      <c r="C1073" s="2">
        <v>0.0</v>
      </c>
      <c r="D1073" s="2">
        <v>78.65</v>
      </c>
      <c r="E1073" s="2">
        <v>1940.0</v>
      </c>
      <c r="F1073" s="1" t="s">
        <v>1380</v>
      </c>
      <c r="G1073" s="1" t="s">
        <v>32</v>
      </c>
      <c r="H1073" s="1" t="s">
        <v>23</v>
      </c>
      <c r="I1073" s="1" t="s">
        <v>151</v>
      </c>
      <c r="J1073" s="1" t="s">
        <v>1381</v>
      </c>
      <c r="K1073" s="19" t="s">
        <v>34</v>
      </c>
      <c r="L1073" s="20" t="s">
        <v>61</v>
      </c>
      <c r="M1073" s="21">
        <f t="shared" si="1"/>
        <v>7</v>
      </c>
      <c r="N1073" s="2">
        <v>386.0067</v>
      </c>
      <c r="O1073" s="2">
        <v>7.0</v>
      </c>
      <c r="P1073" s="2">
        <v>559.43</v>
      </c>
      <c r="Q1073" s="2">
        <v>88871.0</v>
      </c>
      <c r="R1073" s="15" t="b">
        <f>ISNUMBER(MATCH(Q1073,'Returned order'!A:A,0))</f>
        <v>0</v>
      </c>
      <c r="S1073" s="22">
        <v>42113.0</v>
      </c>
      <c r="T1073" s="15"/>
      <c r="U1073" s="15"/>
      <c r="V1073" s="15"/>
    </row>
    <row r="1074">
      <c r="A1074" s="2">
        <v>25532.0</v>
      </c>
      <c r="B1074" s="1" t="s">
        <v>170</v>
      </c>
      <c r="C1074" s="2">
        <v>0.08</v>
      </c>
      <c r="D1074" s="2">
        <v>122.99</v>
      </c>
      <c r="E1074" s="2">
        <v>1940.0</v>
      </c>
      <c r="F1074" s="1" t="s">
        <v>1380</v>
      </c>
      <c r="G1074" s="1" t="s">
        <v>32</v>
      </c>
      <c r="H1074" s="1" t="s">
        <v>37</v>
      </c>
      <c r="I1074" s="1" t="s">
        <v>38</v>
      </c>
      <c r="J1074" s="1" t="s">
        <v>39</v>
      </c>
      <c r="K1074" s="19" t="s">
        <v>34</v>
      </c>
      <c r="L1074" s="20" t="s">
        <v>61</v>
      </c>
      <c r="M1074" s="21">
        <f t="shared" si="1"/>
        <v>7</v>
      </c>
      <c r="N1074" s="2">
        <v>-1867.97</v>
      </c>
      <c r="O1074" s="2">
        <v>10.0</v>
      </c>
      <c r="P1074" s="2">
        <v>1216.52</v>
      </c>
      <c r="Q1074" s="2">
        <v>88871.0</v>
      </c>
      <c r="R1074" s="15" t="b">
        <f>ISNUMBER(MATCH(Q1074,'Returned order'!A:A,0))</f>
        <v>0</v>
      </c>
      <c r="S1074" s="22">
        <v>42113.0</v>
      </c>
      <c r="T1074" s="15"/>
      <c r="U1074" s="15"/>
      <c r="V1074" s="15"/>
    </row>
    <row r="1075">
      <c r="A1075" s="2">
        <v>20371.0</v>
      </c>
      <c r="B1075" s="1" t="s">
        <v>63</v>
      </c>
      <c r="C1075" s="2">
        <v>0.08</v>
      </c>
      <c r="D1075" s="2">
        <v>90.98</v>
      </c>
      <c r="E1075" s="2">
        <v>1946.0</v>
      </c>
      <c r="F1075" s="1" t="s">
        <v>174</v>
      </c>
      <c r="G1075" s="1" t="s">
        <v>22</v>
      </c>
      <c r="H1075" s="1" t="s">
        <v>37</v>
      </c>
      <c r="I1075" s="1" t="s">
        <v>42</v>
      </c>
      <c r="J1075" s="1" t="s">
        <v>175</v>
      </c>
      <c r="K1075" s="19" t="s">
        <v>26</v>
      </c>
      <c r="L1075" s="20" t="s">
        <v>27</v>
      </c>
      <c r="M1075" s="21">
        <f t="shared" si="1"/>
        <v>1</v>
      </c>
      <c r="N1075" s="2">
        <v>-1920.9336</v>
      </c>
      <c r="O1075" s="2">
        <v>12.0</v>
      </c>
      <c r="P1075" s="2">
        <v>1058.36</v>
      </c>
      <c r="Q1075" s="2">
        <v>86331.0</v>
      </c>
      <c r="R1075" s="15" t="b">
        <f>ISNUMBER(MATCH(Q1075,'Returned order'!A:A,0))</f>
        <v>0</v>
      </c>
      <c r="S1075" s="22">
        <v>42030.0</v>
      </c>
      <c r="T1075" s="15"/>
      <c r="U1075" s="15"/>
      <c r="V1075" s="15"/>
    </row>
    <row r="1076">
      <c r="A1076" s="2">
        <v>20372.0</v>
      </c>
      <c r="B1076" s="1" t="s">
        <v>63</v>
      </c>
      <c r="C1076" s="2">
        <v>0.07</v>
      </c>
      <c r="D1076" s="2">
        <v>5.98</v>
      </c>
      <c r="E1076" s="2">
        <v>1946.0</v>
      </c>
      <c r="F1076" s="1" t="s">
        <v>174</v>
      </c>
      <c r="G1076" s="1" t="s">
        <v>22</v>
      </c>
      <c r="H1076" s="1" t="s">
        <v>23</v>
      </c>
      <c r="I1076" s="1" t="s">
        <v>93</v>
      </c>
      <c r="J1076" s="1" t="s">
        <v>176</v>
      </c>
      <c r="K1076" s="19" t="s">
        <v>26</v>
      </c>
      <c r="L1076" s="20" t="s">
        <v>27</v>
      </c>
      <c r="M1076" s="21">
        <f t="shared" si="1"/>
        <v>1</v>
      </c>
      <c r="N1076" s="2">
        <v>-37.1752</v>
      </c>
      <c r="O1076" s="2">
        <v>3.0</v>
      </c>
      <c r="P1076" s="2">
        <v>18.31</v>
      </c>
      <c r="Q1076" s="2">
        <v>86331.0</v>
      </c>
      <c r="R1076" s="15" t="b">
        <f>ISNUMBER(MATCH(Q1076,'Returned order'!A:A,0))</f>
        <v>0</v>
      </c>
      <c r="S1076" s="22">
        <v>42030.0</v>
      </c>
      <c r="T1076" s="15"/>
      <c r="U1076" s="15"/>
      <c r="V1076" s="15"/>
    </row>
    <row r="1077">
      <c r="A1077" s="2">
        <v>21762.0</v>
      </c>
      <c r="B1077" s="1" t="s">
        <v>170</v>
      </c>
      <c r="C1077" s="2">
        <v>0.05</v>
      </c>
      <c r="D1077" s="2">
        <v>424.21</v>
      </c>
      <c r="E1077" s="2">
        <v>1949.0</v>
      </c>
      <c r="F1077" s="1" t="s">
        <v>1382</v>
      </c>
      <c r="G1077" s="1" t="s">
        <v>66</v>
      </c>
      <c r="H1077" s="1" t="s">
        <v>37</v>
      </c>
      <c r="I1077" s="1" t="s">
        <v>73</v>
      </c>
      <c r="J1077" s="1" t="s">
        <v>1383</v>
      </c>
      <c r="K1077" s="19" t="s">
        <v>34</v>
      </c>
      <c r="L1077" s="20" t="s">
        <v>61</v>
      </c>
      <c r="M1077" s="21">
        <f t="shared" si="1"/>
        <v>7</v>
      </c>
      <c r="N1077" s="2">
        <v>-213.4028</v>
      </c>
      <c r="O1077" s="2">
        <v>12.0</v>
      </c>
      <c r="P1077" s="2">
        <v>4935.22</v>
      </c>
      <c r="Q1077" s="2">
        <v>90415.0</v>
      </c>
      <c r="R1077" s="15" t="b">
        <f>ISNUMBER(MATCH(Q1077,'Returned order'!A:A,0))</f>
        <v>0</v>
      </c>
      <c r="S1077" s="22">
        <v>42036.0</v>
      </c>
      <c r="T1077" s="15"/>
      <c r="U1077" s="15"/>
      <c r="V1077" s="15"/>
    </row>
    <row r="1078">
      <c r="A1078" s="2">
        <v>24793.0</v>
      </c>
      <c r="B1078" s="1" t="s">
        <v>49</v>
      </c>
      <c r="C1078" s="2">
        <v>0.01</v>
      </c>
      <c r="D1078" s="2">
        <v>6.68</v>
      </c>
      <c r="E1078" s="2">
        <v>1950.0</v>
      </c>
      <c r="F1078" s="1" t="s">
        <v>1384</v>
      </c>
      <c r="G1078" s="1" t="s">
        <v>66</v>
      </c>
      <c r="H1078" s="1" t="s">
        <v>23</v>
      </c>
      <c r="I1078" s="1" t="s">
        <v>93</v>
      </c>
      <c r="J1078" s="1" t="s">
        <v>1385</v>
      </c>
      <c r="K1078" s="19" t="s">
        <v>34</v>
      </c>
      <c r="L1078" s="20" t="s">
        <v>57</v>
      </c>
      <c r="M1078" s="21">
        <f t="shared" si="1"/>
        <v>2</v>
      </c>
      <c r="N1078" s="2">
        <v>-15.48</v>
      </c>
      <c r="O1078" s="2">
        <v>7.0</v>
      </c>
      <c r="P1078" s="2">
        <v>51.03</v>
      </c>
      <c r="Q1078" s="2">
        <v>90414.0</v>
      </c>
      <c r="R1078" s="15" t="b">
        <f>ISNUMBER(MATCH(Q1078,'Returned order'!A:A,0))</f>
        <v>0</v>
      </c>
      <c r="S1078" s="22">
        <v>42010.0</v>
      </c>
      <c r="T1078" s="15"/>
      <c r="U1078" s="15"/>
      <c r="V1078" s="15"/>
    </row>
    <row r="1079">
      <c r="A1079" s="2">
        <v>23378.0</v>
      </c>
      <c r="B1079" s="1" t="s">
        <v>28</v>
      </c>
      <c r="C1079" s="2">
        <v>0.09</v>
      </c>
      <c r="D1079" s="2">
        <v>40.98</v>
      </c>
      <c r="E1079" s="2">
        <v>1956.0</v>
      </c>
      <c r="F1079" s="1" t="s">
        <v>1386</v>
      </c>
      <c r="G1079" s="1" t="s">
        <v>22</v>
      </c>
      <c r="H1079" s="1" t="s">
        <v>46</v>
      </c>
      <c r="I1079" s="1" t="s">
        <v>47</v>
      </c>
      <c r="J1079" s="1" t="s">
        <v>968</v>
      </c>
      <c r="K1079" s="19" t="s">
        <v>34</v>
      </c>
      <c r="L1079" s="20" t="s">
        <v>76</v>
      </c>
      <c r="M1079" s="21">
        <f t="shared" si="1"/>
        <v>5</v>
      </c>
      <c r="N1079" s="2">
        <v>-50.245</v>
      </c>
      <c r="O1079" s="2">
        <v>19.0</v>
      </c>
      <c r="P1079" s="2">
        <v>746.91</v>
      </c>
      <c r="Q1079" s="2">
        <v>89820.0</v>
      </c>
      <c r="R1079" s="15" t="b">
        <f>ISNUMBER(MATCH(Q1079,'Returned order'!A:A,0))</f>
        <v>0</v>
      </c>
      <c r="S1079" s="22">
        <v>42174.0</v>
      </c>
      <c r="T1079" s="15"/>
      <c r="U1079" s="15"/>
      <c r="V1079" s="15"/>
    </row>
    <row r="1080">
      <c r="A1080" s="2">
        <v>21638.0</v>
      </c>
      <c r="B1080" s="1" t="s">
        <v>28</v>
      </c>
      <c r="C1080" s="2">
        <v>0.09</v>
      </c>
      <c r="D1080" s="2">
        <v>77.51</v>
      </c>
      <c r="E1080" s="2">
        <v>1957.0</v>
      </c>
      <c r="F1080" s="1" t="s">
        <v>1387</v>
      </c>
      <c r="G1080" s="1" t="s">
        <v>22</v>
      </c>
      <c r="H1080" s="1" t="s">
        <v>46</v>
      </c>
      <c r="I1080" s="1" t="s">
        <v>47</v>
      </c>
      <c r="J1080" s="1" t="s">
        <v>1319</v>
      </c>
      <c r="K1080" s="19" t="s">
        <v>68</v>
      </c>
      <c r="L1080" s="20" t="s">
        <v>57</v>
      </c>
      <c r="M1080" s="21">
        <f t="shared" si="1"/>
        <v>2</v>
      </c>
      <c r="N1080" s="2">
        <v>-387.1044</v>
      </c>
      <c r="O1080" s="2">
        <v>1.0</v>
      </c>
      <c r="P1080" s="2">
        <v>77.47</v>
      </c>
      <c r="Q1080" s="2">
        <v>89818.0</v>
      </c>
      <c r="R1080" s="15" t="b">
        <f>ISNUMBER(MATCH(Q1080,'Returned order'!A:A,0))</f>
        <v>0</v>
      </c>
      <c r="S1080" s="22">
        <v>42101.0</v>
      </c>
      <c r="T1080" s="15"/>
      <c r="U1080" s="15"/>
      <c r="V1080" s="15"/>
    </row>
    <row r="1081">
      <c r="A1081" s="2">
        <v>24640.0</v>
      </c>
      <c r="B1081" s="1" t="s">
        <v>170</v>
      </c>
      <c r="C1081" s="2">
        <v>0.09</v>
      </c>
      <c r="D1081" s="2">
        <v>30.98</v>
      </c>
      <c r="E1081" s="2">
        <v>1958.0</v>
      </c>
      <c r="F1081" s="1" t="s">
        <v>1388</v>
      </c>
      <c r="G1081" s="1" t="s">
        <v>22</v>
      </c>
      <c r="H1081" s="1" t="s">
        <v>46</v>
      </c>
      <c r="I1081" s="1" t="s">
        <v>47</v>
      </c>
      <c r="J1081" s="1" t="s">
        <v>1389</v>
      </c>
      <c r="K1081" s="19" t="s">
        <v>34</v>
      </c>
      <c r="L1081" s="20" t="s">
        <v>70</v>
      </c>
      <c r="M1081" s="21">
        <f t="shared" si="1"/>
        <v>4</v>
      </c>
      <c r="N1081" s="2">
        <v>-55.97</v>
      </c>
      <c r="O1081" s="2">
        <v>7.0</v>
      </c>
      <c r="P1081" s="2">
        <v>204.34</v>
      </c>
      <c r="Q1081" s="2">
        <v>89819.0</v>
      </c>
      <c r="R1081" s="15" t="b">
        <f>ISNUMBER(MATCH(Q1081,'Returned order'!A:A,0))</f>
        <v>0</v>
      </c>
      <c r="S1081" s="22">
        <v>42173.0</v>
      </c>
      <c r="T1081" s="15"/>
      <c r="U1081" s="15"/>
      <c r="V1081" s="15"/>
    </row>
    <row r="1082">
      <c r="A1082" s="2">
        <v>3956.0</v>
      </c>
      <c r="B1082" s="1" t="s">
        <v>58</v>
      </c>
      <c r="C1082" s="2">
        <v>0.0</v>
      </c>
      <c r="D1082" s="2">
        <v>20.28</v>
      </c>
      <c r="E1082" s="2">
        <v>1959.0</v>
      </c>
      <c r="F1082" s="1" t="s">
        <v>1390</v>
      </c>
      <c r="G1082" s="1" t="s">
        <v>32</v>
      </c>
      <c r="H1082" s="1" t="s">
        <v>37</v>
      </c>
      <c r="I1082" s="1" t="s">
        <v>42</v>
      </c>
      <c r="J1082" s="1" t="s">
        <v>1391</v>
      </c>
      <c r="K1082" s="19" t="s">
        <v>229</v>
      </c>
      <c r="L1082" s="20" t="s">
        <v>70</v>
      </c>
      <c r="M1082" s="21">
        <f t="shared" si="1"/>
        <v>4</v>
      </c>
      <c r="N1082" s="2">
        <v>-66.2473</v>
      </c>
      <c r="O1082" s="2">
        <v>9.0</v>
      </c>
      <c r="P1082" s="2">
        <v>206.04</v>
      </c>
      <c r="Q1082" s="2">
        <v>28225.0</v>
      </c>
      <c r="R1082" s="15" t="b">
        <f>ISNUMBER(MATCH(Q1082,'Returned order'!A:A,0))</f>
        <v>0</v>
      </c>
      <c r="S1082" s="22">
        <v>42026.0</v>
      </c>
      <c r="T1082" s="15"/>
      <c r="U1082" s="15"/>
      <c r="V1082" s="15"/>
    </row>
    <row r="1083">
      <c r="A1083" s="2">
        <v>3684.0</v>
      </c>
      <c r="B1083" s="1" t="s">
        <v>170</v>
      </c>
      <c r="C1083" s="2">
        <v>0.02</v>
      </c>
      <c r="D1083" s="2">
        <v>9.99</v>
      </c>
      <c r="E1083" s="2">
        <v>1959.0</v>
      </c>
      <c r="F1083" s="1" t="s">
        <v>1390</v>
      </c>
      <c r="G1083" s="1" t="s">
        <v>51</v>
      </c>
      <c r="H1083" s="1" t="s">
        <v>23</v>
      </c>
      <c r="I1083" s="1" t="s">
        <v>93</v>
      </c>
      <c r="J1083" s="1" t="s">
        <v>1392</v>
      </c>
      <c r="K1083" s="19" t="s">
        <v>229</v>
      </c>
      <c r="L1083" s="20" t="s">
        <v>53</v>
      </c>
      <c r="M1083" s="21">
        <f t="shared" si="1"/>
        <v>6</v>
      </c>
      <c r="N1083" s="2">
        <v>-171.1577</v>
      </c>
      <c r="O1083" s="2">
        <v>43.0</v>
      </c>
      <c r="P1083" s="2">
        <v>475.42</v>
      </c>
      <c r="Q1083" s="2">
        <v>26342.0</v>
      </c>
      <c r="R1083" s="15" t="b">
        <f>ISNUMBER(MATCH(Q1083,'Returned order'!A:A,0))</f>
        <v>0</v>
      </c>
      <c r="S1083" s="22">
        <v>42112.0</v>
      </c>
      <c r="T1083" s="15"/>
      <c r="U1083" s="15"/>
      <c r="V1083" s="15"/>
    </row>
    <row r="1084">
      <c r="A1084" s="2">
        <v>3685.0</v>
      </c>
      <c r="B1084" s="1" t="s">
        <v>170</v>
      </c>
      <c r="C1084" s="2">
        <v>0.02</v>
      </c>
      <c r="D1084" s="2">
        <v>48.04</v>
      </c>
      <c r="E1084" s="2">
        <v>1959.0</v>
      </c>
      <c r="F1084" s="1" t="s">
        <v>1390</v>
      </c>
      <c r="G1084" s="1" t="s">
        <v>51</v>
      </c>
      <c r="H1084" s="1" t="s">
        <v>23</v>
      </c>
      <c r="I1084" s="1" t="s">
        <v>93</v>
      </c>
      <c r="J1084" s="1" t="s">
        <v>706</v>
      </c>
      <c r="K1084" s="19" t="s">
        <v>229</v>
      </c>
      <c r="L1084" s="20" t="s">
        <v>53</v>
      </c>
      <c r="M1084" s="21">
        <f t="shared" si="1"/>
        <v>6</v>
      </c>
      <c r="N1084" s="2">
        <v>624.239</v>
      </c>
      <c r="O1084" s="2">
        <v>74.0</v>
      </c>
      <c r="P1084" s="2">
        <v>3598.82</v>
      </c>
      <c r="Q1084" s="2">
        <v>26342.0</v>
      </c>
      <c r="R1084" s="15" t="b">
        <f>ISNUMBER(MATCH(Q1084,'Returned order'!A:A,0))</f>
        <v>0</v>
      </c>
      <c r="S1084" s="22">
        <v>42112.0</v>
      </c>
      <c r="T1084" s="15"/>
      <c r="U1084" s="15"/>
      <c r="V1084" s="15"/>
    </row>
    <row r="1085">
      <c r="A1085" s="2">
        <v>3686.0</v>
      </c>
      <c r="B1085" s="1" t="s">
        <v>170</v>
      </c>
      <c r="C1085" s="2">
        <v>0.04</v>
      </c>
      <c r="D1085" s="2">
        <v>6.68</v>
      </c>
      <c r="E1085" s="2">
        <v>1959.0</v>
      </c>
      <c r="F1085" s="1" t="s">
        <v>1390</v>
      </c>
      <c r="G1085" s="1" t="s">
        <v>51</v>
      </c>
      <c r="H1085" s="1" t="s">
        <v>23</v>
      </c>
      <c r="I1085" s="1" t="s">
        <v>93</v>
      </c>
      <c r="J1085" s="1" t="s">
        <v>1385</v>
      </c>
      <c r="K1085" s="19" t="s">
        <v>229</v>
      </c>
      <c r="L1085" s="20" t="s">
        <v>53</v>
      </c>
      <c r="M1085" s="21">
        <f t="shared" si="1"/>
        <v>6</v>
      </c>
      <c r="N1085" s="2">
        <v>-14.3241</v>
      </c>
      <c r="O1085" s="2">
        <v>5.0</v>
      </c>
      <c r="P1085" s="2">
        <v>41.22</v>
      </c>
      <c r="Q1085" s="2">
        <v>26342.0</v>
      </c>
      <c r="R1085" s="15" t="b">
        <f>ISNUMBER(MATCH(Q1085,'Returned order'!A:A,0))</f>
        <v>0</v>
      </c>
      <c r="S1085" s="22">
        <v>42112.0</v>
      </c>
      <c r="T1085" s="15"/>
      <c r="U1085" s="15"/>
      <c r="V1085" s="15"/>
    </row>
    <row r="1086">
      <c r="A1086" s="2">
        <v>21685.0</v>
      </c>
      <c r="B1086" s="1" t="s">
        <v>170</v>
      </c>
      <c r="C1086" s="2">
        <v>0.02</v>
      </c>
      <c r="D1086" s="2">
        <v>48.04</v>
      </c>
      <c r="E1086" s="2">
        <v>1962.0</v>
      </c>
      <c r="F1086" s="1" t="s">
        <v>1393</v>
      </c>
      <c r="G1086" s="1" t="s">
        <v>51</v>
      </c>
      <c r="H1086" s="1" t="s">
        <v>23</v>
      </c>
      <c r="I1086" s="1" t="s">
        <v>93</v>
      </c>
      <c r="J1086" s="1" t="s">
        <v>706</v>
      </c>
      <c r="K1086" s="19" t="s">
        <v>68</v>
      </c>
      <c r="L1086" s="20" t="s">
        <v>53</v>
      </c>
      <c r="M1086" s="21">
        <f t="shared" si="1"/>
        <v>6</v>
      </c>
      <c r="N1086" s="2">
        <v>604.0191</v>
      </c>
      <c r="O1086" s="2">
        <v>18.0</v>
      </c>
      <c r="P1086" s="2">
        <v>875.39</v>
      </c>
      <c r="Q1086" s="2">
        <v>88857.0</v>
      </c>
      <c r="R1086" s="15" t="b">
        <f>ISNUMBER(MATCH(Q1086,'Returned order'!A:A,0))</f>
        <v>0</v>
      </c>
      <c r="S1086" s="22">
        <v>42112.0</v>
      </c>
      <c r="T1086" s="15"/>
      <c r="U1086" s="15"/>
      <c r="V1086" s="15"/>
    </row>
    <row r="1087">
      <c r="A1087" s="2">
        <v>21686.0</v>
      </c>
      <c r="B1087" s="1" t="s">
        <v>170</v>
      </c>
      <c r="C1087" s="2">
        <v>0.04</v>
      </c>
      <c r="D1087" s="2">
        <v>6.68</v>
      </c>
      <c r="E1087" s="2">
        <v>1962.0</v>
      </c>
      <c r="F1087" s="1" t="s">
        <v>1393</v>
      </c>
      <c r="G1087" s="1" t="s">
        <v>51</v>
      </c>
      <c r="H1087" s="1" t="s">
        <v>23</v>
      </c>
      <c r="I1087" s="1" t="s">
        <v>93</v>
      </c>
      <c r="J1087" s="1" t="s">
        <v>1385</v>
      </c>
      <c r="K1087" s="19" t="s">
        <v>68</v>
      </c>
      <c r="L1087" s="20" t="s">
        <v>53</v>
      </c>
      <c r="M1087" s="21">
        <f t="shared" si="1"/>
        <v>6</v>
      </c>
      <c r="N1087" s="2">
        <v>-11.6316</v>
      </c>
      <c r="O1087" s="2">
        <v>1.0</v>
      </c>
      <c r="P1087" s="2">
        <v>8.24</v>
      </c>
      <c r="Q1087" s="2">
        <v>88857.0</v>
      </c>
      <c r="R1087" s="15" t="b">
        <f>ISNUMBER(MATCH(Q1087,'Returned order'!A:A,0))</f>
        <v>0</v>
      </c>
      <c r="S1087" s="22">
        <v>42112.0</v>
      </c>
      <c r="T1087" s="15"/>
      <c r="U1087" s="15"/>
      <c r="V1087" s="15"/>
    </row>
    <row r="1088">
      <c r="A1088" s="2">
        <v>22488.0</v>
      </c>
      <c r="B1088" s="1" t="s">
        <v>63</v>
      </c>
      <c r="C1088" s="2">
        <v>0.01</v>
      </c>
      <c r="D1088" s="2">
        <v>78.65</v>
      </c>
      <c r="E1088" s="2">
        <v>1967.0</v>
      </c>
      <c r="F1088" s="1" t="s">
        <v>1394</v>
      </c>
      <c r="G1088" s="1" t="s">
        <v>66</v>
      </c>
      <c r="H1088" s="1" t="s">
        <v>23</v>
      </c>
      <c r="I1088" s="1" t="s">
        <v>151</v>
      </c>
      <c r="J1088" s="1" t="s">
        <v>1381</v>
      </c>
      <c r="K1088" s="19" t="s">
        <v>68</v>
      </c>
      <c r="L1088" s="20" t="s">
        <v>35</v>
      </c>
      <c r="M1088" s="21">
        <f t="shared" si="1"/>
        <v>3</v>
      </c>
      <c r="N1088" s="2">
        <v>442.3659</v>
      </c>
      <c r="O1088" s="2">
        <v>8.0</v>
      </c>
      <c r="P1088" s="2">
        <v>641.11</v>
      </c>
      <c r="Q1088" s="2">
        <v>89456.0</v>
      </c>
      <c r="R1088" s="15" t="b">
        <f>ISNUMBER(MATCH(Q1088,'Returned order'!A:A,0))</f>
        <v>0</v>
      </c>
      <c r="S1088" s="22">
        <v>42081.0</v>
      </c>
      <c r="T1088" s="15"/>
      <c r="U1088" s="15"/>
      <c r="V1088" s="15"/>
    </row>
    <row r="1089">
      <c r="A1089" s="2">
        <v>26220.0</v>
      </c>
      <c r="B1089" s="1" t="s">
        <v>63</v>
      </c>
      <c r="C1089" s="2">
        <v>0.02</v>
      </c>
      <c r="D1089" s="2">
        <v>11.58</v>
      </c>
      <c r="E1089" s="2">
        <v>1971.0</v>
      </c>
      <c r="F1089" s="1" t="s">
        <v>1395</v>
      </c>
      <c r="G1089" s="1" t="s">
        <v>32</v>
      </c>
      <c r="H1089" s="1" t="s">
        <v>23</v>
      </c>
      <c r="I1089" s="1" t="s">
        <v>88</v>
      </c>
      <c r="J1089" s="1" t="s">
        <v>154</v>
      </c>
      <c r="K1089" s="19" t="s">
        <v>229</v>
      </c>
      <c r="L1089" s="20" t="s">
        <v>61</v>
      </c>
      <c r="M1089" s="21">
        <f t="shared" si="1"/>
        <v>7</v>
      </c>
      <c r="N1089" s="2">
        <v>-259.756</v>
      </c>
      <c r="O1089" s="2">
        <v>3.0</v>
      </c>
      <c r="P1089" s="2">
        <v>35.48</v>
      </c>
      <c r="Q1089" s="2">
        <v>91550.0</v>
      </c>
      <c r="R1089" s="15" t="b">
        <f>ISNUMBER(MATCH(Q1089,'Returned order'!A:A,0))</f>
        <v>0</v>
      </c>
      <c r="S1089" s="22">
        <v>42022.0</v>
      </c>
      <c r="T1089" s="15"/>
      <c r="U1089" s="15"/>
      <c r="V1089" s="15"/>
    </row>
    <row r="1090">
      <c r="A1090" s="2">
        <v>26223.0</v>
      </c>
      <c r="B1090" s="1" t="s">
        <v>63</v>
      </c>
      <c r="C1090" s="2">
        <v>0.05</v>
      </c>
      <c r="D1090" s="2">
        <v>350.99</v>
      </c>
      <c r="E1090" s="2">
        <v>1972.0</v>
      </c>
      <c r="F1090" s="1" t="s">
        <v>1396</v>
      </c>
      <c r="G1090" s="1" t="s">
        <v>32</v>
      </c>
      <c r="H1090" s="1" t="s">
        <v>37</v>
      </c>
      <c r="I1090" s="1" t="s">
        <v>38</v>
      </c>
      <c r="J1090" s="1" t="s">
        <v>967</v>
      </c>
      <c r="K1090" s="19" t="s">
        <v>26</v>
      </c>
      <c r="L1090" s="20" t="s">
        <v>61</v>
      </c>
      <c r="M1090" s="21">
        <f t="shared" si="1"/>
        <v>7</v>
      </c>
      <c r="N1090" s="2">
        <v>1469.7276</v>
      </c>
      <c r="O1090" s="2">
        <v>6.0</v>
      </c>
      <c r="P1090" s="2">
        <v>2130.04</v>
      </c>
      <c r="Q1090" s="2">
        <v>91550.0</v>
      </c>
      <c r="R1090" s="15" t="b">
        <f>ISNUMBER(MATCH(Q1090,'Returned order'!A:A,0))</f>
        <v>0</v>
      </c>
      <c r="S1090" s="22">
        <v>42022.0</v>
      </c>
      <c r="T1090" s="15"/>
      <c r="U1090" s="15"/>
      <c r="V1090" s="15"/>
    </row>
    <row r="1091">
      <c r="A1091" s="2">
        <v>26224.0</v>
      </c>
      <c r="B1091" s="1" t="s">
        <v>63</v>
      </c>
      <c r="C1091" s="2">
        <v>0.04</v>
      </c>
      <c r="D1091" s="2">
        <v>15.99</v>
      </c>
      <c r="E1091" s="2">
        <v>1972.0</v>
      </c>
      <c r="F1091" s="1" t="s">
        <v>1396</v>
      </c>
      <c r="G1091" s="1" t="s">
        <v>32</v>
      </c>
      <c r="H1091" s="1" t="s">
        <v>46</v>
      </c>
      <c r="I1091" s="1" t="s">
        <v>103</v>
      </c>
      <c r="J1091" s="1" t="s">
        <v>1297</v>
      </c>
      <c r="K1091" s="19" t="s">
        <v>26</v>
      </c>
      <c r="L1091" s="20" t="s">
        <v>61</v>
      </c>
      <c r="M1091" s="21">
        <f t="shared" si="1"/>
        <v>7</v>
      </c>
      <c r="N1091" s="2">
        <v>-83.55306</v>
      </c>
      <c r="O1091" s="2">
        <v>5.0</v>
      </c>
      <c r="P1091" s="2">
        <v>82.8</v>
      </c>
      <c r="Q1091" s="2">
        <v>91550.0</v>
      </c>
      <c r="R1091" s="15" t="b">
        <f>ISNUMBER(MATCH(Q1091,'Returned order'!A:A,0))</f>
        <v>0</v>
      </c>
      <c r="S1091" s="22">
        <v>42022.0</v>
      </c>
      <c r="T1091" s="15"/>
      <c r="U1091" s="15"/>
      <c r="V1091" s="15"/>
    </row>
    <row r="1092">
      <c r="A1092" s="2">
        <v>18795.0</v>
      </c>
      <c r="B1092" s="1" t="s">
        <v>63</v>
      </c>
      <c r="C1092" s="2">
        <v>0.09</v>
      </c>
      <c r="D1092" s="2">
        <v>20.48</v>
      </c>
      <c r="E1092" s="2">
        <v>1974.0</v>
      </c>
      <c r="F1092" s="1" t="s">
        <v>1397</v>
      </c>
      <c r="G1092" s="1" t="s">
        <v>22</v>
      </c>
      <c r="H1092" s="1" t="s">
        <v>23</v>
      </c>
      <c r="I1092" s="1" t="s">
        <v>151</v>
      </c>
      <c r="J1092" s="1" t="s">
        <v>1398</v>
      </c>
      <c r="K1092" s="19" t="s">
        <v>68</v>
      </c>
      <c r="L1092" s="20" t="s">
        <v>35</v>
      </c>
      <c r="M1092" s="21">
        <f t="shared" si="1"/>
        <v>3</v>
      </c>
      <c r="N1092" s="2">
        <v>-16.89</v>
      </c>
      <c r="O1092" s="2">
        <v>5.0</v>
      </c>
      <c r="P1092" s="2">
        <v>99.02</v>
      </c>
      <c r="Q1092" s="2">
        <v>89040.0</v>
      </c>
      <c r="R1092" s="15" t="b">
        <f>ISNUMBER(MATCH(Q1092,'Returned order'!A:A,0))</f>
        <v>0</v>
      </c>
      <c r="S1092" s="22">
        <v>42144.0</v>
      </c>
      <c r="T1092" s="15"/>
      <c r="U1092" s="15"/>
      <c r="V1092" s="15"/>
    </row>
    <row r="1093">
      <c r="A1093" s="2">
        <v>18796.0</v>
      </c>
      <c r="B1093" s="1" t="s">
        <v>63</v>
      </c>
      <c r="C1093" s="2">
        <v>0.06</v>
      </c>
      <c r="D1093" s="2">
        <v>15.67</v>
      </c>
      <c r="E1093" s="2">
        <v>1974.0</v>
      </c>
      <c r="F1093" s="1" t="s">
        <v>1397</v>
      </c>
      <c r="G1093" s="1" t="s">
        <v>22</v>
      </c>
      <c r="H1093" s="1" t="s">
        <v>23</v>
      </c>
      <c r="I1093" s="1" t="s">
        <v>88</v>
      </c>
      <c r="J1093" s="1" t="s">
        <v>1253</v>
      </c>
      <c r="K1093" s="19" t="s">
        <v>68</v>
      </c>
      <c r="L1093" s="20" t="s">
        <v>35</v>
      </c>
      <c r="M1093" s="21">
        <f t="shared" si="1"/>
        <v>3</v>
      </c>
      <c r="N1093" s="2">
        <v>25.51</v>
      </c>
      <c r="O1093" s="2">
        <v>3.0</v>
      </c>
      <c r="P1093" s="2">
        <v>46.4</v>
      </c>
      <c r="Q1093" s="2">
        <v>89040.0</v>
      </c>
      <c r="R1093" s="15" t="b">
        <f>ISNUMBER(MATCH(Q1093,'Returned order'!A:A,0))</f>
        <v>0</v>
      </c>
      <c r="S1093" s="22">
        <v>42144.0</v>
      </c>
      <c r="T1093" s="15"/>
      <c r="U1093" s="15"/>
      <c r="V1093" s="15"/>
    </row>
    <row r="1094">
      <c r="A1094" s="2">
        <v>25731.0</v>
      </c>
      <c r="B1094" s="1" t="s">
        <v>58</v>
      </c>
      <c r="C1094" s="2">
        <v>0.05</v>
      </c>
      <c r="D1094" s="2">
        <v>70.98</v>
      </c>
      <c r="E1094" s="2">
        <v>1976.0</v>
      </c>
      <c r="F1094" s="1" t="s">
        <v>1399</v>
      </c>
      <c r="G1094" s="1" t="s">
        <v>22</v>
      </c>
      <c r="H1094" s="1" t="s">
        <v>37</v>
      </c>
      <c r="I1094" s="1" t="s">
        <v>55</v>
      </c>
      <c r="J1094" s="1" t="s">
        <v>109</v>
      </c>
      <c r="K1094" s="19" t="s">
        <v>68</v>
      </c>
      <c r="L1094" s="20" t="s">
        <v>53</v>
      </c>
      <c r="M1094" s="21">
        <f t="shared" si="1"/>
        <v>6</v>
      </c>
      <c r="N1094" s="2">
        <v>-850.6524</v>
      </c>
      <c r="O1094" s="2">
        <v>8.0</v>
      </c>
      <c r="P1094" s="2">
        <v>551.51</v>
      </c>
      <c r="Q1094" s="2">
        <v>89039.0</v>
      </c>
      <c r="R1094" s="15" t="b">
        <f>ISNUMBER(MATCH(Q1094,'Returned order'!A:A,0))</f>
        <v>0</v>
      </c>
      <c r="S1094" s="22">
        <v>42014.0</v>
      </c>
      <c r="T1094" s="15"/>
      <c r="U1094" s="15"/>
      <c r="V1094" s="15"/>
    </row>
    <row r="1095">
      <c r="A1095" s="2">
        <v>25732.0</v>
      </c>
      <c r="B1095" s="1" t="s">
        <v>58</v>
      </c>
      <c r="C1095" s="2">
        <v>0.05</v>
      </c>
      <c r="D1095" s="2">
        <v>11.55</v>
      </c>
      <c r="E1095" s="2">
        <v>1976.0</v>
      </c>
      <c r="F1095" s="1" t="s">
        <v>1399</v>
      </c>
      <c r="G1095" s="1" t="s">
        <v>22</v>
      </c>
      <c r="H1095" s="1" t="s">
        <v>23</v>
      </c>
      <c r="I1095" s="1" t="s">
        <v>29</v>
      </c>
      <c r="J1095" s="1" t="s">
        <v>330</v>
      </c>
      <c r="K1095" s="19" t="s">
        <v>68</v>
      </c>
      <c r="L1095" s="20" t="s">
        <v>53</v>
      </c>
      <c r="M1095" s="21">
        <f t="shared" si="1"/>
        <v>6</v>
      </c>
      <c r="N1095" s="2">
        <v>98.5251</v>
      </c>
      <c r="O1095" s="2">
        <v>12.0</v>
      </c>
      <c r="P1095" s="2">
        <v>142.79</v>
      </c>
      <c r="Q1095" s="2">
        <v>89039.0</v>
      </c>
      <c r="R1095" s="15" t="b">
        <f>ISNUMBER(MATCH(Q1095,'Returned order'!A:A,0))</f>
        <v>0</v>
      </c>
      <c r="S1095" s="22">
        <v>42014.0</v>
      </c>
      <c r="T1095" s="15"/>
      <c r="U1095" s="15"/>
      <c r="V1095" s="15"/>
    </row>
    <row r="1096">
      <c r="A1096" s="2">
        <v>24887.0</v>
      </c>
      <c r="B1096" s="1" t="s">
        <v>58</v>
      </c>
      <c r="C1096" s="2">
        <v>0.06</v>
      </c>
      <c r="D1096" s="2">
        <v>40.99</v>
      </c>
      <c r="E1096" s="2">
        <v>1976.0</v>
      </c>
      <c r="F1096" s="1" t="s">
        <v>1399</v>
      </c>
      <c r="G1096" s="1" t="s">
        <v>22</v>
      </c>
      <c r="H1096" s="1" t="s">
        <v>23</v>
      </c>
      <c r="I1096" s="1" t="s">
        <v>93</v>
      </c>
      <c r="J1096" s="1" t="s">
        <v>861</v>
      </c>
      <c r="K1096" s="19" t="s">
        <v>68</v>
      </c>
      <c r="L1096" s="20" t="s">
        <v>27</v>
      </c>
      <c r="M1096" s="21">
        <f t="shared" si="1"/>
        <v>1</v>
      </c>
      <c r="N1096" s="2">
        <v>214.23</v>
      </c>
      <c r="O1096" s="2">
        <v>14.0</v>
      </c>
      <c r="P1096" s="2">
        <v>585.08</v>
      </c>
      <c r="Q1096" s="2">
        <v>89041.0</v>
      </c>
      <c r="R1096" s="15" t="b">
        <f>ISNUMBER(MATCH(Q1096,'Returned order'!A:A,0))</f>
        <v>0</v>
      </c>
      <c r="S1096" s="22">
        <v>42086.0</v>
      </c>
      <c r="T1096" s="15"/>
      <c r="U1096" s="15"/>
      <c r="V1096" s="15"/>
    </row>
    <row r="1097">
      <c r="A1097" s="2">
        <v>21692.0</v>
      </c>
      <c r="B1097" s="1" t="s">
        <v>49</v>
      </c>
      <c r="C1097" s="2">
        <v>0.05</v>
      </c>
      <c r="D1097" s="2">
        <v>20.99</v>
      </c>
      <c r="E1097" s="2">
        <v>1979.0</v>
      </c>
      <c r="F1097" s="1" t="s">
        <v>1400</v>
      </c>
      <c r="G1097" s="1" t="s">
        <v>32</v>
      </c>
      <c r="H1097" s="1" t="s">
        <v>46</v>
      </c>
      <c r="I1097" s="1" t="s">
        <v>85</v>
      </c>
      <c r="J1097" s="1" t="s">
        <v>723</v>
      </c>
      <c r="K1097" s="19" t="s">
        <v>34</v>
      </c>
      <c r="L1097" s="20" t="s">
        <v>57</v>
      </c>
      <c r="M1097" s="21">
        <f t="shared" si="1"/>
        <v>2</v>
      </c>
      <c r="N1097" s="2">
        <v>21.8834</v>
      </c>
      <c r="O1097" s="2">
        <v>4.0</v>
      </c>
      <c r="P1097" s="2">
        <v>72.75</v>
      </c>
      <c r="Q1097" s="2">
        <v>87757.0</v>
      </c>
      <c r="R1097" s="15" t="b">
        <f>ISNUMBER(MATCH(Q1097,'Returned order'!A:A,0))</f>
        <v>0</v>
      </c>
      <c r="S1097" s="22">
        <v>42129.0</v>
      </c>
      <c r="T1097" s="15"/>
      <c r="U1097" s="15"/>
      <c r="V1097" s="15"/>
    </row>
    <row r="1098">
      <c r="A1098" s="2">
        <v>24935.0</v>
      </c>
      <c r="B1098" s="1" t="s">
        <v>49</v>
      </c>
      <c r="C1098" s="2">
        <v>0.1</v>
      </c>
      <c r="D1098" s="2">
        <v>7.37</v>
      </c>
      <c r="E1098" s="2">
        <v>1984.0</v>
      </c>
      <c r="F1098" s="1" t="s">
        <v>1401</v>
      </c>
      <c r="G1098" s="1" t="s">
        <v>22</v>
      </c>
      <c r="H1098" s="1" t="s">
        <v>46</v>
      </c>
      <c r="I1098" s="1" t="s">
        <v>47</v>
      </c>
      <c r="J1098" s="1" t="s">
        <v>325</v>
      </c>
      <c r="K1098" s="19" t="s">
        <v>229</v>
      </c>
      <c r="L1098" s="20" t="s">
        <v>53</v>
      </c>
      <c r="M1098" s="21">
        <f t="shared" si="1"/>
        <v>6</v>
      </c>
      <c r="N1098" s="2">
        <v>290.202</v>
      </c>
      <c r="O1098" s="2">
        <v>38.0</v>
      </c>
      <c r="P1098" s="2">
        <v>269.33</v>
      </c>
      <c r="Q1098" s="2">
        <v>91258.0</v>
      </c>
      <c r="R1098" s="15" t="b">
        <f>ISNUMBER(MATCH(Q1098,'Returned order'!A:A,0))</f>
        <v>0</v>
      </c>
      <c r="S1098" s="22">
        <v>42140.0</v>
      </c>
      <c r="T1098" s="15"/>
      <c r="U1098" s="15"/>
      <c r="V1098" s="15"/>
    </row>
    <row r="1099">
      <c r="A1099" s="2">
        <v>20568.0</v>
      </c>
      <c r="B1099" s="1" t="s">
        <v>49</v>
      </c>
      <c r="C1099" s="2">
        <v>0.01</v>
      </c>
      <c r="D1099" s="2">
        <v>15.31</v>
      </c>
      <c r="E1099" s="2">
        <v>1986.0</v>
      </c>
      <c r="F1099" s="1" t="s">
        <v>1402</v>
      </c>
      <c r="G1099" s="1" t="s">
        <v>51</v>
      </c>
      <c r="H1099" s="1" t="s">
        <v>23</v>
      </c>
      <c r="I1099" s="1" t="s">
        <v>120</v>
      </c>
      <c r="J1099" s="1" t="s">
        <v>207</v>
      </c>
      <c r="K1099" s="19" t="s">
        <v>68</v>
      </c>
      <c r="L1099" s="20" t="s">
        <v>35</v>
      </c>
      <c r="M1099" s="21">
        <f t="shared" si="1"/>
        <v>3</v>
      </c>
      <c r="N1099" s="2">
        <v>12.146</v>
      </c>
      <c r="O1099" s="2">
        <v>23.0</v>
      </c>
      <c r="P1099" s="2">
        <v>377.0</v>
      </c>
      <c r="Q1099" s="2">
        <v>90888.0</v>
      </c>
      <c r="R1099" s="15" t="b">
        <f>ISNUMBER(MATCH(Q1099,'Returned order'!A:A,0))</f>
        <v>0</v>
      </c>
      <c r="S1099" s="22">
        <v>42130.0</v>
      </c>
      <c r="T1099" s="15"/>
      <c r="U1099" s="15"/>
      <c r="V1099" s="15"/>
    </row>
    <row r="1100">
      <c r="A1100" s="2">
        <v>20569.0</v>
      </c>
      <c r="B1100" s="1" t="s">
        <v>49</v>
      </c>
      <c r="C1100" s="2">
        <v>0.05</v>
      </c>
      <c r="D1100" s="2">
        <v>7.99</v>
      </c>
      <c r="E1100" s="2">
        <v>1986.0</v>
      </c>
      <c r="F1100" s="1" t="s">
        <v>1402</v>
      </c>
      <c r="G1100" s="1" t="s">
        <v>51</v>
      </c>
      <c r="H1100" s="1" t="s">
        <v>46</v>
      </c>
      <c r="I1100" s="1" t="s">
        <v>85</v>
      </c>
      <c r="J1100" s="1" t="s">
        <v>404</v>
      </c>
      <c r="K1100" s="19" t="s">
        <v>68</v>
      </c>
      <c r="L1100" s="20" t="s">
        <v>35</v>
      </c>
      <c r="M1100" s="21">
        <f t="shared" si="1"/>
        <v>3</v>
      </c>
      <c r="N1100" s="2">
        <v>5.687</v>
      </c>
      <c r="O1100" s="2">
        <v>4.0</v>
      </c>
      <c r="P1100" s="2">
        <v>42.99</v>
      </c>
      <c r="Q1100" s="2">
        <v>90888.0</v>
      </c>
      <c r="R1100" s="15" t="b">
        <f>ISNUMBER(MATCH(Q1100,'Returned order'!A:A,0))</f>
        <v>0</v>
      </c>
      <c r="S1100" s="22">
        <v>42130.0</v>
      </c>
      <c r="T1100" s="15"/>
      <c r="U1100" s="15"/>
      <c r="V1100" s="15"/>
    </row>
    <row r="1101">
      <c r="A1101" s="2">
        <v>19336.0</v>
      </c>
      <c r="B1101" s="1" t="s">
        <v>28</v>
      </c>
      <c r="C1101" s="2">
        <v>0.05</v>
      </c>
      <c r="D1101" s="2">
        <v>20.98</v>
      </c>
      <c r="E1101" s="2">
        <v>1988.0</v>
      </c>
      <c r="F1101" s="1" t="s">
        <v>1403</v>
      </c>
      <c r="G1101" s="1" t="s">
        <v>51</v>
      </c>
      <c r="H1101" s="1" t="s">
        <v>37</v>
      </c>
      <c r="I1101" s="1" t="s">
        <v>42</v>
      </c>
      <c r="J1101" s="1" t="s">
        <v>1404</v>
      </c>
      <c r="K1101" s="19" t="s">
        <v>34</v>
      </c>
      <c r="L1101" s="20" t="s">
        <v>53</v>
      </c>
      <c r="M1101" s="21">
        <f t="shared" si="1"/>
        <v>6</v>
      </c>
      <c r="N1101" s="2">
        <v>-181.102</v>
      </c>
      <c r="O1101" s="2">
        <v>3.0</v>
      </c>
      <c r="P1101" s="2">
        <v>65.69</v>
      </c>
      <c r="Q1101" s="2">
        <v>89999.0</v>
      </c>
      <c r="R1101" s="15" t="b">
        <f>ISNUMBER(MATCH(Q1101,'Returned order'!A:A,0))</f>
        <v>0</v>
      </c>
      <c r="S1101" s="22">
        <v>42007.0</v>
      </c>
      <c r="T1101" s="15"/>
      <c r="U1101" s="15"/>
      <c r="V1101" s="15"/>
    </row>
    <row r="1102">
      <c r="A1102" s="2">
        <v>22600.0</v>
      </c>
      <c r="B1102" s="1" t="s">
        <v>49</v>
      </c>
      <c r="C1102" s="2">
        <v>0.04</v>
      </c>
      <c r="D1102" s="2">
        <v>355.98</v>
      </c>
      <c r="E1102" s="2">
        <v>1989.0</v>
      </c>
      <c r="F1102" s="1" t="s">
        <v>1405</v>
      </c>
      <c r="G1102" s="1" t="s">
        <v>51</v>
      </c>
      <c r="H1102" s="1" t="s">
        <v>37</v>
      </c>
      <c r="I1102" s="1" t="s">
        <v>38</v>
      </c>
      <c r="J1102" s="1" t="s">
        <v>224</v>
      </c>
      <c r="K1102" s="19" t="s">
        <v>34</v>
      </c>
      <c r="L1102" s="20" t="s">
        <v>35</v>
      </c>
      <c r="M1102" s="21">
        <f t="shared" si="1"/>
        <v>3</v>
      </c>
      <c r="N1102" s="2">
        <v>882.93</v>
      </c>
      <c r="O1102" s="2">
        <v>8.0</v>
      </c>
      <c r="P1102" s="2">
        <v>2748.21</v>
      </c>
      <c r="Q1102" s="2">
        <v>90000.0</v>
      </c>
      <c r="R1102" s="15" t="b">
        <f>ISNUMBER(MATCH(Q1102,'Returned order'!A:A,0))</f>
        <v>0</v>
      </c>
      <c r="S1102" s="22">
        <v>42025.0</v>
      </c>
      <c r="T1102" s="15"/>
      <c r="U1102" s="15"/>
      <c r="V1102" s="15"/>
    </row>
    <row r="1103">
      <c r="A1103" s="2">
        <v>22601.0</v>
      </c>
      <c r="B1103" s="1" t="s">
        <v>49</v>
      </c>
      <c r="C1103" s="2">
        <v>0.09</v>
      </c>
      <c r="D1103" s="2">
        <v>19.98</v>
      </c>
      <c r="E1103" s="2">
        <v>1989.0</v>
      </c>
      <c r="F1103" s="1" t="s">
        <v>1405</v>
      </c>
      <c r="G1103" s="1" t="s">
        <v>51</v>
      </c>
      <c r="H1103" s="1" t="s">
        <v>23</v>
      </c>
      <c r="I1103" s="1" t="s">
        <v>93</v>
      </c>
      <c r="J1103" s="1" t="s">
        <v>940</v>
      </c>
      <c r="K1103" s="19" t="s">
        <v>34</v>
      </c>
      <c r="L1103" s="20" t="s">
        <v>35</v>
      </c>
      <c r="M1103" s="21">
        <f t="shared" si="1"/>
        <v>3</v>
      </c>
      <c r="N1103" s="2">
        <v>6.6804</v>
      </c>
      <c r="O1103" s="2">
        <v>5.0</v>
      </c>
      <c r="P1103" s="2">
        <v>93.19</v>
      </c>
      <c r="Q1103" s="2">
        <v>90000.0</v>
      </c>
      <c r="R1103" s="15" t="b">
        <f>ISNUMBER(MATCH(Q1103,'Returned order'!A:A,0))</f>
        <v>0</v>
      </c>
      <c r="S1103" s="22">
        <v>42025.0</v>
      </c>
      <c r="T1103" s="15"/>
      <c r="U1103" s="15"/>
      <c r="V1103" s="15"/>
    </row>
    <row r="1104">
      <c r="A1104" s="2">
        <v>20554.0</v>
      </c>
      <c r="B1104" s="1" t="s">
        <v>28</v>
      </c>
      <c r="C1104" s="2">
        <v>0.01</v>
      </c>
      <c r="D1104" s="2">
        <v>30.98</v>
      </c>
      <c r="E1104" s="2">
        <v>1989.0</v>
      </c>
      <c r="F1104" s="1" t="s">
        <v>1405</v>
      </c>
      <c r="G1104" s="1" t="s">
        <v>32</v>
      </c>
      <c r="H1104" s="1" t="s">
        <v>46</v>
      </c>
      <c r="I1104" s="1" t="s">
        <v>47</v>
      </c>
      <c r="J1104" s="1" t="s">
        <v>1389</v>
      </c>
      <c r="K1104" s="19" t="s">
        <v>34</v>
      </c>
      <c r="L1104" s="20" t="s">
        <v>76</v>
      </c>
      <c r="M1104" s="21">
        <f t="shared" si="1"/>
        <v>5</v>
      </c>
      <c r="N1104" s="2">
        <v>46.29</v>
      </c>
      <c r="O1104" s="2">
        <v>11.0</v>
      </c>
      <c r="P1104" s="2">
        <v>363.37</v>
      </c>
      <c r="Q1104" s="2">
        <v>90001.0</v>
      </c>
      <c r="R1104" s="15" t="b">
        <f>ISNUMBER(MATCH(Q1104,'Returned order'!A:A,0))</f>
        <v>0</v>
      </c>
      <c r="S1104" s="22">
        <v>42139.0</v>
      </c>
      <c r="T1104" s="15"/>
      <c r="U1104" s="15"/>
      <c r="V1104" s="15"/>
    </row>
    <row r="1105">
      <c r="A1105" s="2">
        <v>20555.0</v>
      </c>
      <c r="B1105" s="1" t="s">
        <v>28</v>
      </c>
      <c r="C1105" s="2">
        <v>0.01</v>
      </c>
      <c r="D1105" s="2">
        <v>40.99</v>
      </c>
      <c r="E1105" s="2">
        <v>1989.0</v>
      </c>
      <c r="F1105" s="1" t="s">
        <v>1405</v>
      </c>
      <c r="G1105" s="1" t="s">
        <v>32</v>
      </c>
      <c r="H1105" s="1" t="s">
        <v>23</v>
      </c>
      <c r="I1105" s="1" t="s">
        <v>93</v>
      </c>
      <c r="J1105" s="1" t="s">
        <v>1406</v>
      </c>
      <c r="K1105" s="19" t="s">
        <v>34</v>
      </c>
      <c r="L1105" s="20" t="s">
        <v>76</v>
      </c>
      <c r="M1105" s="21">
        <f t="shared" si="1"/>
        <v>5</v>
      </c>
      <c r="N1105" s="2">
        <v>177.79</v>
      </c>
      <c r="O1105" s="2">
        <v>11.0</v>
      </c>
      <c r="P1105" s="2">
        <v>480.75</v>
      </c>
      <c r="Q1105" s="2">
        <v>90001.0</v>
      </c>
      <c r="R1105" s="15" t="b">
        <f>ISNUMBER(MATCH(Q1105,'Returned order'!A:A,0))</f>
        <v>0</v>
      </c>
      <c r="S1105" s="22">
        <v>42139.0</v>
      </c>
      <c r="T1105" s="15"/>
      <c r="U1105" s="15"/>
      <c r="V1105" s="15"/>
    </row>
    <row r="1106">
      <c r="A1106" s="2">
        <v>21723.0</v>
      </c>
      <c r="B1106" s="1" t="s">
        <v>63</v>
      </c>
      <c r="C1106" s="2">
        <v>0.1</v>
      </c>
      <c r="D1106" s="2">
        <v>1.6</v>
      </c>
      <c r="E1106" s="2">
        <v>1989.0</v>
      </c>
      <c r="F1106" s="1" t="s">
        <v>1405</v>
      </c>
      <c r="G1106" s="1" t="s">
        <v>51</v>
      </c>
      <c r="H1106" s="1" t="s">
        <v>23</v>
      </c>
      <c r="I1106" s="1" t="s">
        <v>29</v>
      </c>
      <c r="J1106" s="1" t="s">
        <v>1407</v>
      </c>
      <c r="K1106" s="19" t="s">
        <v>34</v>
      </c>
      <c r="L1106" s="20" t="s">
        <v>70</v>
      </c>
      <c r="M1106" s="21">
        <f t="shared" si="1"/>
        <v>4</v>
      </c>
      <c r="N1106" s="2">
        <v>-14.9904</v>
      </c>
      <c r="O1106" s="2">
        <v>11.0</v>
      </c>
      <c r="P1106" s="2">
        <v>16.88</v>
      </c>
      <c r="Q1106" s="2">
        <v>90003.0</v>
      </c>
      <c r="R1106" s="15" t="b">
        <f>ISNUMBER(MATCH(Q1106,'Returned order'!A:A,0))</f>
        <v>0</v>
      </c>
      <c r="S1106" s="22">
        <v>42124.0</v>
      </c>
      <c r="T1106" s="15"/>
      <c r="U1106" s="15"/>
      <c r="V1106" s="15"/>
    </row>
    <row r="1107">
      <c r="A1107" s="2">
        <v>25417.0</v>
      </c>
      <c r="B1107" s="1" t="s">
        <v>63</v>
      </c>
      <c r="C1107" s="2">
        <v>0.0</v>
      </c>
      <c r="D1107" s="2">
        <v>47.9</v>
      </c>
      <c r="E1107" s="2">
        <v>1991.0</v>
      </c>
      <c r="F1107" s="1" t="s">
        <v>1408</v>
      </c>
      <c r="G1107" s="1" t="s">
        <v>51</v>
      </c>
      <c r="H1107" s="1" t="s">
        <v>23</v>
      </c>
      <c r="I1107" s="1" t="s">
        <v>93</v>
      </c>
      <c r="J1107" s="1" t="s">
        <v>1409</v>
      </c>
      <c r="K1107" s="19" t="s">
        <v>34</v>
      </c>
      <c r="L1107" s="20" t="s">
        <v>61</v>
      </c>
      <c r="M1107" s="21">
        <f t="shared" si="1"/>
        <v>7</v>
      </c>
      <c r="N1107" s="2">
        <v>638.3811</v>
      </c>
      <c r="O1107" s="2">
        <v>18.0</v>
      </c>
      <c r="P1107" s="2">
        <v>925.19</v>
      </c>
      <c r="Q1107" s="2">
        <v>90002.0</v>
      </c>
      <c r="R1107" s="15" t="b">
        <f>ISNUMBER(MATCH(Q1107,'Returned order'!A:A,0))</f>
        <v>0</v>
      </c>
      <c r="S1107" s="22">
        <v>42057.0</v>
      </c>
      <c r="T1107" s="15"/>
      <c r="U1107" s="15"/>
      <c r="V1107" s="15"/>
    </row>
    <row r="1108">
      <c r="A1108" s="2">
        <v>19797.0</v>
      </c>
      <c r="B1108" s="1" t="s">
        <v>49</v>
      </c>
      <c r="C1108" s="2">
        <v>0.1</v>
      </c>
      <c r="D1108" s="2">
        <v>125.99</v>
      </c>
      <c r="E1108" s="2">
        <v>1997.0</v>
      </c>
      <c r="F1108" s="1" t="s">
        <v>1410</v>
      </c>
      <c r="G1108" s="1" t="s">
        <v>22</v>
      </c>
      <c r="H1108" s="1" t="s">
        <v>46</v>
      </c>
      <c r="I1108" s="1" t="s">
        <v>85</v>
      </c>
      <c r="J1108" s="1" t="s">
        <v>725</v>
      </c>
      <c r="K1108" s="19" t="s">
        <v>229</v>
      </c>
      <c r="L1108" s="20" t="s">
        <v>61</v>
      </c>
      <c r="M1108" s="21">
        <f t="shared" si="1"/>
        <v>7</v>
      </c>
      <c r="N1108" s="2">
        <v>17.652</v>
      </c>
      <c r="O1108" s="2">
        <v>4.0</v>
      </c>
      <c r="P1108" s="2">
        <v>408.66</v>
      </c>
      <c r="Q1108" s="2">
        <v>90333.0</v>
      </c>
      <c r="R1108" s="15" t="b">
        <f>ISNUMBER(MATCH(Q1108,'Returned order'!A:A,0))</f>
        <v>0</v>
      </c>
      <c r="S1108" s="22">
        <v>42029.0</v>
      </c>
      <c r="T1108" s="15"/>
      <c r="U1108" s="15"/>
      <c r="V1108" s="15"/>
    </row>
    <row r="1109">
      <c r="A1109" s="2">
        <v>19581.0</v>
      </c>
      <c r="B1109" s="1" t="s">
        <v>63</v>
      </c>
      <c r="C1109" s="2">
        <v>0.01</v>
      </c>
      <c r="D1109" s="2">
        <v>16.48</v>
      </c>
      <c r="E1109" s="2">
        <v>1997.0</v>
      </c>
      <c r="F1109" s="1" t="s">
        <v>1410</v>
      </c>
      <c r="G1109" s="1" t="s">
        <v>22</v>
      </c>
      <c r="H1109" s="1" t="s">
        <v>46</v>
      </c>
      <c r="I1109" s="1" t="s">
        <v>47</v>
      </c>
      <c r="J1109" s="1" t="s">
        <v>148</v>
      </c>
      <c r="K1109" s="19" t="s">
        <v>229</v>
      </c>
      <c r="L1109" s="20" t="s">
        <v>70</v>
      </c>
      <c r="M1109" s="21">
        <f t="shared" si="1"/>
        <v>4</v>
      </c>
      <c r="N1109" s="2">
        <v>739.674</v>
      </c>
      <c r="O1109" s="2">
        <v>7.0</v>
      </c>
      <c r="P1109" s="2">
        <v>122.93</v>
      </c>
      <c r="Q1109" s="2">
        <v>90334.0</v>
      </c>
      <c r="R1109" s="15" t="b">
        <f>ISNUMBER(MATCH(Q1109,'Returned order'!A:A,0))</f>
        <v>0</v>
      </c>
      <c r="S1109" s="22">
        <v>42131.0</v>
      </c>
      <c r="T1109" s="15"/>
      <c r="U1109" s="15"/>
      <c r="V1109" s="15"/>
    </row>
    <row r="1110">
      <c r="A1110" s="2">
        <v>21003.0</v>
      </c>
      <c r="B1110" s="1" t="s">
        <v>170</v>
      </c>
      <c r="C1110" s="2">
        <v>0.0</v>
      </c>
      <c r="D1110" s="2">
        <v>24.92</v>
      </c>
      <c r="E1110" s="2">
        <v>1997.0</v>
      </c>
      <c r="F1110" s="1" t="s">
        <v>1410</v>
      </c>
      <c r="G1110" s="1" t="s">
        <v>22</v>
      </c>
      <c r="H1110" s="1" t="s">
        <v>23</v>
      </c>
      <c r="I1110" s="1" t="s">
        <v>24</v>
      </c>
      <c r="J1110" s="1" t="s">
        <v>1411</v>
      </c>
      <c r="K1110" s="19" t="s">
        <v>229</v>
      </c>
      <c r="L1110" s="20" t="s">
        <v>57</v>
      </c>
      <c r="M1110" s="21">
        <f t="shared" si="1"/>
        <v>2</v>
      </c>
      <c r="N1110" s="2">
        <v>-23.156</v>
      </c>
      <c r="O1110" s="2">
        <v>1.0</v>
      </c>
      <c r="P1110" s="2">
        <v>32.66</v>
      </c>
      <c r="Q1110" s="2">
        <v>90335.0</v>
      </c>
      <c r="R1110" s="15" t="b">
        <f>ISNUMBER(MATCH(Q1110,'Returned order'!A:A,0))</f>
        <v>0</v>
      </c>
      <c r="S1110" s="22">
        <v>42157.0</v>
      </c>
      <c r="T1110" s="15"/>
      <c r="U1110" s="15"/>
      <c r="V1110" s="15"/>
    </row>
    <row r="1111">
      <c r="A1111" s="2">
        <v>20392.0</v>
      </c>
      <c r="B1111" s="1" t="s">
        <v>49</v>
      </c>
      <c r="C1111" s="2">
        <v>0.06</v>
      </c>
      <c r="D1111" s="2">
        <v>4.42</v>
      </c>
      <c r="E1111" s="2">
        <v>1998.0</v>
      </c>
      <c r="F1111" s="1" t="s">
        <v>1412</v>
      </c>
      <c r="G1111" s="1" t="s">
        <v>32</v>
      </c>
      <c r="H1111" s="1" t="s">
        <v>23</v>
      </c>
      <c r="I1111" s="1" t="s">
        <v>88</v>
      </c>
      <c r="J1111" s="1" t="s">
        <v>89</v>
      </c>
      <c r="K1111" s="19" t="s">
        <v>26</v>
      </c>
      <c r="L1111" s="20" t="s">
        <v>35</v>
      </c>
      <c r="M1111" s="21">
        <f t="shared" si="1"/>
        <v>3</v>
      </c>
      <c r="N1111" s="2">
        <v>-10.435</v>
      </c>
      <c r="O1111" s="2">
        <v>3.0</v>
      </c>
      <c r="P1111" s="2">
        <v>14.85</v>
      </c>
      <c r="Q1111" s="2">
        <v>90568.0</v>
      </c>
      <c r="R1111" s="15" t="b">
        <f>ISNUMBER(MATCH(Q1111,'Returned order'!A:A,0))</f>
        <v>0</v>
      </c>
      <c r="S1111" s="22">
        <v>42158.0</v>
      </c>
      <c r="T1111" s="15"/>
      <c r="U1111" s="15"/>
      <c r="V1111" s="15"/>
    </row>
    <row r="1112">
      <c r="A1112" s="2">
        <v>24075.0</v>
      </c>
      <c r="B1112" s="1" t="s">
        <v>63</v>
      </c>
      <c r="C1112" s="2">
        <v>0.06</v>
      </c>
      <c r="D1112" s="2">
        <v>4.24</v>
      </c>
      <c r="E1112" s="2">
        <v>2004.0</v>
      </c>
      <c r="F1112" s="1" t="s">
        <v>1413</v>
      </c>
      <c r="G1112" s="1" t="s">
        <v>51</v>
      </c>
      <c r="H1112" s="1" t="s">
        <v>23</v>
      </c>
      <c r="I1112" s="1" t="s">
        <v>24</v>
      </c>
      <c r="J1112" s="1" t="s">
        <v>178</v>
      </c>
      <c r="K1112" s="19" t="s">
        <v>34</v>
      </c>
      <c r="L1112" s="20" t="s">
        <v>76</v>
      </c>
      <c r="M1112" s="21">
        <f t="shared" si="1"/>
        <v>5</v>
      </c>
      <c r="N1112" s="2">
        <v>-78.91668</v>
      </c>
      <c r="O1112" s="2">
        <v>10.0</v>
      </c>
      <c r="P1112" s="2">
        <v>45.0</v>
      </c>
      <c r="Q1112" s="2">
        <v>91277.0</v>
      </c>
      <c r="R1112" s="15" t="b">
        <f>ISNUMBER(MATCH(Q1112,'Returned order'!A:A,0))</f>
        <v>0</v>
      </c>
      <c r="S1112" s="22">
        <v>42111.0</v>
      </c>
      <c r="T1112" s="15"/>
      <c r="U1112" s="15"/>
      <c r="V1112" s="15"/>
    </row>
    <row r="1113">
      <c r="A1113" s="2">
        <v>24076.0</v>
      </c>
      <c r="B1113" s="1" t="s">
        <v>63</v>
      </c>
      <c r="C1113" s="2">
        <v>0.04</v>
      </c>
      <c r="D1113" s="2">
        <v>6783.02</v>
      </c>
      <c r="E1113" s="2">
        <v>2004.0</v>
      </c>
      <c r="F1113" s="1" t="s">
        <v>1413</v>
      </c>
      <c r="G1113" s="1" t="s">
        <v>51</v>
      </c>
      <c r="H1113" s="1" t="s">
        <v>46</v>
      </c>
      <c r="I1113" s="1" t="s">
        <v>103</v>
      </c>
      <c r="J1113" s="1" t="s">
        <v>973</v>
      </c>
      <c r="K1113" s="19" t="s">
        <v>34</v>
      </c>
      <c r="L1113" s="20" t="s">
        <v>76</v>
      </c>
      <c r="M1113" s="21">
        <f t="shared" si="1"/>
        <v>5</v>
      </c>
      <c r="N1113" s="2">
        <v>-13562.63741</v>
      </c>
      <c r="O1113" s="2">
        <v>1.0</v>
      </c>
      <c r="P1113" s="2">
        <v>6569.07</v>
      </c>
      <c r="Q1113" s="2">
        <v>91277.0</v>
      </c>
      <c r="R1113" s="15" t="b">
        <f>ISNUMBER(MATCH(Q1113,'Returned order'!A:A,0))</f>
        <v>0</v>
      </c>
      <c r="S1113" s="22">
        <v>42111.0</v>
      </c>
      <c r="T1113" s="15"/>
      <c r="U1113" s="15"/>
      <c r="V1113" s="15"/>
    </row>
    <row r="1114">
      <c r="A1114" s="2">
        <v>25251.0</v>
      </c>
      <c r="B1114" s="1" t="s">
        <v>49</v>
      </c>
      <c r="C1114" s="2">
        <v>0.03</v>
      </c>
      <c r="D1114" s="2">
        <v>5.78</v>
      </c>
      <c r="E1114" s="2">
        <v>2006.0</v>
      </c>
      <c r="F1114" s="1" t="s">
        <v>1414</v>
      </c>
      <c r="G1114" s="1" t="s">
        <v>51</v>
      </c>
      <c r="H1114" s="1" t="s">
        <v>23</v>
      </c>
      <c r="I1114" s="1" t="s">
        <v>93</v>
      </c>
      <c r="J1114" s="1" t="s">
        <v>1415</v>
      </c>
      <c r="K1114" s="19" t="s">
        <v>34</v>
      </c>
      <c r="L1114" s="20" t="s">
        <v>70</v>
      </c>
      <c r="M1114" s="21">
        <f t="shared" si="1"/>
        <v>4</v>
      </c>
      <c r="N1114" s="2">
        <v>-63.35</v>
      </c>
      <c r="O1114" s="2">
        <v>15.0</v>
      </c>
      <c r="P1114" s="2">
        <v>88.22</v>
      </c>
      <c r="Q1114" s="2">
        <v>88798.0</v>
      </c>
      <c r="R1114" s="15" t="b">
        <f>ISNUMBER(MATCH(Q1114,'Returned order'!A:A,0))</f>
        <v>0</v>
      </c>
      <c r="S1114" s="22">
        <v>42068.0</v>
      </c>
      <c r="T1114" s="15"/>
      <c r="U1114" s="15"/>
      <c r="V1114" s="15"/>
    </row>
    <row r="1115">
      <c r="A1115" s="2">
        <v>20006.0</v>
      </c>
      <c r="B1115" s="1" t="s">
        <v>63</v>
      </c>
      <c r="C1115" s="2">
        <v>0.1</v>
      </c>
      <c r="D1115" s="2">
        <v>10.48</v>
      </c>
      <c r="E1115" s="2">
        <v>2016.0</v>
      </c>
      <c r="F1115" s="1" t="s">
        <v>1416</v>
      </c>
      <c r="G1115" s="1" t="s">
        <v>32</v>
      </c>
      <c r="H1115" s="1" t="s">
        <v>23</v>
      </c>
      <c r="I1115" s="1" t="s">
        <v>29</v>
      </c>
      <c r="J1115" s="1" t="s">
        <v>1323</v>
      </c>
      <c r="K1115" s="19" t="s">
        <v>68</v>
      </c>
      <c r="L1115" s="20" t="s">
        <v>70</v>
      </c>
      <c r="M1115" s="21">
        <f t="shared" si="1"/>
        <v>4</v>
      </c>
      <c r="N1115" s="2">
        <v>-8.904</v>
      </c>
      <c r="O1115" s="2">
        <v>4.0</v>
      </c>
      <c r="P1115" s="2">
        <v>40.29</v>
      </c>
      <c r="Q1115" s="2">
        <v>86874.0</v>
      </c>
      <c r="R1115" s="15" t="b">
        <f>ISNUMBER(MATCH(Q1115,'Returned order'!A:A,0))</f>
        <v>0</v>
      </c>
      <c r="S1115" s="22">
        <v>42173.0</v>
      </c>
      <c r="T1115" s="15"/>
      <c r="U1115" s="15"/>
      <c r="V1115" s="15"/>
    </row>
    <row r="1116">
      <c r="A1116" s="2">
        <v>18989.0</v>
      </c>
      <c r="B1116" s="1" t="s">
        <v>28</v>
      </c>
      <c r="C1116" s="2">
        <v>0.07</v>
      </c>
      <c r="D1116" s="2">
        <v>39.48</v>
      </c>
      <c r="E1116" s="2">
        <v>2014.0</v>
      </c>
      <c r="F1116" s="1" t="s">
        <v>1417</v>
      </c>
      <c r="G1116" s="1" t="s">
        <v>51</v>
      </c>
      <c r="H1116" s="1" t="s">
        <v>46</v>
      </c>
      <c r="I1116" s="1" t="s">
        <v>47</v>
      </c>
      <c r="J1116" s="1" t="s">
        <v>588</v>
      </c>
      <c r="K1116" s="19" t="s">
        <v>68</v>
      </c>
      <c r="L1116" s="20" t="s">
        <v>61</v>
      </c>
      <c r="M1116" s="21">
        <f t="shared" si="1"/>
        <v>7</v>
      </c>
      <c r="N1116" s="2">
        <v>88.72</v>
      </c>
      <c r="O1116" s="2">
        <v>4.0</v>
      </c>
      <c r="P1116" s="2">
        <v>151.27</v>
      </c>
      <c r="Q1116" s="2">
        <v>88367.0</v>
      </c>
      <c r="R1116" s="15" t="b">
        <f>ISNUMBER(MATCH(Q1116,'Returned order'!A:A,0))</f>
        <v>0</v>
      </c>
      <c r="S1116" s="22">
        <v>42085.0</v>
      </c>
      <c r="T1116" s="15"/>
      <c r="U1116" s="15"/>
      <c r="V1116" s="15"/>
    </row>
    <row r="1117">
      <c r="A1117" s="2">
        <v>18990.0</v>
      </c>
      <c r="B1117" s="1" t="s">
        <v>28</v>
      </c>
      <c r="C1117" s="2">
        <v>0.0</v>
      </c>
      <c r="D1117" s="2">
        <v>4.91</v>
      </c>
      <c r="E1117" s="2">
        <v>2014.0</v>
      </c>
      <c r="F1117" s="1" t="s">
        <v>1417</v>
      </c>
      <c r="G1117" s="1" t="s">
        <v>51</v>
      </c>
      <c r="H1117" s="1" t="s">
        <v>23</v>
      </c>
      <c r="I1117" s="1" t="s">
        <v>130</v>
      </c>
      <c r="J1117" s="1" t="s">
        <v>251</v>
      </c>
      <c r="K1117" s="19" t="s">
        <v>68</v>
      </c>
      <c r="L1117" s="20" t="s">
        <v>61</v>
      </c>
      <c r="M1117" s="21">
        <f t="shared" si="1"/>
        <v>7</v>
      </c>
      <c r="N1117" s="2">
        <v>7.2519</v>
      </c>
      <c r="O1117" s="2">
        <v>2.0</v>
      </c>
      <c r="P1117" s="2">
        <v>10.51</v>
      </c>
      <c r="Q1117" s="2">
        <v>88367.0</v>
      </c>
      <c r="R1117" s="15" t="b">
        <f>ISNUMBER(MATCH(Q1117,'Returned order'!A:A,0))</f>
        <v>0</v>
      </c>
      <c r="S1117" s="22">
        <v>42085.0</v>
      </c>
      <c r="T1117" s="15"/>
      <c r="U1117" s="15"/>
      <c r="V1117" s="15"/>
    </row>
    <row r="1118">
      <c r="A1118" s="2">
        <v>21573.0</v>
      </c>
      <c r="B1118" s="1" t="s">
        <v>58</v>
      </c>
      <c r="C1118" s="2">
        <v>0.06</v>
      </c>
      <c r="D1118" s="2">
        <v>6.48</v>
      </c>
      <c r="E1118" s="2">
        <v>2014.0</v>
      </c>
      <c r="F1118" s="1" t="s">
        <v>1417</v>
      </c>
      <c r="G1118" s="1" t="s">
        <v>51</v>
      </c>
      <c r="H1118" s="1" t="s">
        <v>23</v>
      </c>
      <c r="I1118" s="1" t="s">
        <v>93</v>
      </c>
      <c r="J1118" s="1" t="s">
        <v>185</v>
      </c>
      <c r="K1118" s="19" t="s">
        <v>68</v>
      </c>
      <c r="L1118" s="20" t="s">
        <v>53</v>
      </c>
      <c r="M1118" s="21">
        <f t="shared" si="1"/>
        <v>6</v>
      </c>
      <c r="N1118" s="2">
        <v>-191.49</v>
      </c>
      <c r="O1118" s="2">
        <v>12.0</v>
      </c>
      <c r="P1118" s="2">
        <v>74.93</v>
      </c>
      <c r="Q1118" s="2">
        <v>88368.0</v>
      </c>
      <c r="R1118" s="15" t="b">
        <f>ISNUMBER(MATCH(Q1118,'Returned order'!A:A,0))</f>
        <v>0</v>
      </c>
      <c r="S1118" s="22">
        <v>42098.0</v>
      </c>
      <c r="T1118" s="15"/>
      <c r="U1118" s="15"/>
      <c r="V1118" s="15"/>
    </row>
    <row r="1119">
      <c r="A1119" s="2">
        <v>25557.0</v>
      </c>
      <c r="B1119" s="1" t="s">
        <v>58</v>
      </c>
      <c r="C1119" s="2">
        <v>0.02</v>
      </c>
      <c r="D1119" s="2">
        <v>120.98</v>
      </c>
      <c r="E1119" s="2">
        <v>2020.0</v>
      </c>
      <c r="F1119" s="1" t="s">
        <v>1418</v>
      </c>
      <c r="G1119" s="1" t="s">
        <v>51</v>
      </c>
      <c r="H1119" s="1" t="s">
        <v>37</v>
      </c>
      <c r="I1119" s="1" t="s">
        <v>55</v>
      </c>
      <c r="J1119" s="1" t="s">
        <v>1419</v>
      </c>
      <c r="K1119" s="19" t="s">
        <v>26</v>
      </c>
      <c r="L1119" s="20" t="s">
        <v>76</v>
      </c>
      <c r="M1119" s="21">
        <f t="shared" si="1"/>
        <v>5</v>
      </c>
      <c r="N1119" s="2">
        <v>-1330.5</v>
      </c>
      <c r="O1119" s="2">
        <v>11.0</v>
      </c>
      <c r="P1119" s="2">
        <v>1370.99</v>
      </c>
      <c r="Q1119" s="2">
        <v>86933.0</v>
      </c>
      <c r="R1119" s="15" t="b">
        <f>ISNUMBER(MATCH(Q1119,'Returned order'!A:A,0))</f>
        <v>0</v>
      </c>
      <c r="S1119" s="22">
        <v>42048.0</v>
      </c>
      <c r="T1119" s="15"/>
      <c r="U1119" s="15"/>
      <c r="V1119" s="15"/>
    </row>
    <row r="1120">
      <c r="A1120" s="2">
        <v>22145.0</v>
      </c>
      <c r="B1120" s="1" t="s">
        <v>58</v>
      </c>
      <c r="C1120" s="2">
        <v>0.04</v>
      </c>
      <c r="D1120" s="2">
        <v>120.97</v>
      </c>
      <c r="E1120" s="2">
        <v>2030.0</v>
      </c>
      <c r="F1120" s="1" t="s">
        <v>1420</v>
      </c>
      <c r="G1120" s="1" t="s">
        <v>32</v>
      </c>
      <c r="H1120" s="1" t="s">
        <v>46</v>
      </c>
      <c r="I1120" s="1" t="s">
        <v>103</v>
      </c>
      <c r="J1120" s="1" t="s">
        <v>1421</v>
      </c>
      <c r="K1120" s="19" t="s">
        <v>68</v>
      </c>
      <c r="L1120" s="20" t="s">
        <v>57</v>
      </c>
      <c r="M1120" s="21">
        <f t="shared" si="1"/>
        <v>2</v>
      </c>
      <c r="N1120" s="2">
        <v>1320.5496</v>
      </c>
      <c r="O1120" s="2">
        <v>16.0</v>
      </c>
      <c r="P1120" s="2">
        <v>1913.84</v>
      </c>
      <c r="Q1120" s="2">
        <v>91059.0</v>
      </c>
      <c r="R1120" s="15" t="b">
        <f>ISNUMBER(MATCH(Q1120,'Returned order'!A:A,0))</f>
        <v>0</v>
      </c>
      <c r="S1120" s="22">
        <v>42080.0</v>
      </c>
      <c r="T1120" s="15"/>
      <c r="U1120" s="15"/>
      <c r="V1120" s="15"/>
    </row>
    <row r="1121">
      <c r="A1121" s="2">
        <v>22146.0</v>
      </c>
      <c r="B1121" s="1" t="s">
        <v>58</v>
      </c>
      <c r="C1121" s="2">
        <v>0.0</v>
      </c>
      <c r="D1121" s="2">
        <v>195.99</v>
      </c>
      <c r="E1121" s="2">
        <v>2030.0</v>
      </c>
      <c r="F1121" s="1" t="s">
        <v>1420</v>
      </c>
      <c r="G1121" s="1" t="s">
        <v>32</v>
      </c>
      <c r="H1121" s="1" t="s">
        <v>46</v>
      </c>
      <c r="I1121" s="1" t="s">
        <v>85</v>
      </c>
      <c r="J1121" s="1">
        <v>688.0</v>
      </c>
      <c r="K1121" s="19" t="s">
        <v>68</v>
      </c>
      <c r="L1121" s="20" t="s">
        <v>57</v>
      </c>
      <c r="M1121" s="21">
        <f t="shared" si="1"/>
        <v>2</v>
      </c>
      <c r="N1121" s="2">
        <v>1585.503</v>
      </c>
      <c r="O1121" s="2">
        <v>16.0</v>
      </c>
      <c r="P1121" s="2">
        <v>2692.12</v>
      </c>
      <c r="Q1121" s="2">
        <v>91059.0</v>
      </c>
      <c r="R1121" s="15" t="b">
        <f>ISNUMBER(MATCH(Q1121,'Returned order'!A:A,0))</f>
        <v>0</v>
      </c>
      <c r="S1121" s="22">
        <v>42080.0</v>
      </c>
      <c r="T1121" s="15"/>
      <c r="U1121" s="15"/>
      <c r="V1121" s="15"/>
    </row>
    <row r="1122">
      <c r="A1122" s="2">
        <v>20654.0</v>
      </c>
      <c r="B1122" s="1" t="s">
        <v>63</v>
      </c>
      <c r="C1122" s="2">
        <v>0.03</v>
      </c>
      <c r="D1122" s="2">
        <v>55.98</v>
      </c>
      <c r="E1122" s="2">
        <v>2030.0</v>
      </c>
      <c r="F1122" s="1" t="s">
        <v>1420</v>
      </c>
      <c r="G1122" s="1" t="s">
        <v>32</v>
      </c>
      <c r="H1122" s="1" t="s">
        <v>23</v>
      </c>
      <c r="I1122" s="1" t="s">
        <v>93</v>
      </c>
      <c r="J1122" s="1" t="s">
        <v>526</v>
      </c>
      <c r="K1122" s="19" t="s">
        <v>68</v>
      </c>
      <c r="L1122" s="20" t="s">
        <v>35</v>
      </c>
      <c r="M1122" s="21">
        <f t="shared" si="1"/>
        <v>3</v>
      </c>
      <c r="N1122" s="2">
        <v>526.0422</v>
      </c>
      <c r="O1122" s="2">
        <v>13.0</v>
      </c>
      <c r="P1122" s="2">
        <v>762.38</v>
      </c>
      <c r="Q1122" s="2">
        <v>91060.0</v>
      </c>
      <c r="R1122" s="15" t="b">
        <f>ISNUMBER(MATCH(Q1122,'Returned order'!A:A,0))</f>
        <v>0</v>
      </c>
      <c r="S1122" s="22">
        <v>42081.0</v>
      </c>
      <c r="T1122" s="15"/>
      <c r="U1122" s="15"/>
      <c r="V1122" s="15"/>
    </row>
    <row r="1123">
      <c r="A1123" s="2">
        <v>25918.0</v>
      </c>
      <c r="B1123" s="1" t="s">
        <v>58</v>
      </c>
      <c r="C1123" s="2">
        <v>0.1</v>
      </c>
      <c r="D1123" s="2">
        <v>1.89</v>
      </c>
      <c r="E1123" s="2">
        <v>2035.0</v>
      </c>
      <c r="F1123" s="1" t="s">
        <v>1422</v>
      </c>
      <c r="G1123" s="1" t="s">
        <v>22</v>
      </c>
      <c r="H1123" s="1" t="s">
        <v>23</v>
      </c>
      <c r="I1123" s="1" t="s">
        <v>81</v>
      </c>
      <c r="J1123" s="1" t="s">
        <v>1423</v>
      </c>
      <c r="K1123" s="19" t="s">
        <v>229</v>
      </c>
      <c r="L1123" s="20" t="s">
        <v>27</v>
      </c>
      <c r="M1123" s="21">
        <f t="shared" si="1"/>
        <v>1</v>
      </c>
      <c r="N1123" s="2">
        <v>-40.432</v>
      </c>
      <c r="O1123" s="2">
        <v>20.0</v>
      </c>
      <c r="P1123" s="2">
        <v>36.72</v>
      </c>
      <c r="Q1123" s="2">
        <v>87117.0</v>
      </c>
      <c r="R1123" s="15" t="b">
        <f>ISNUMBER(MATCH(Q1123,'Returned order'!A:A,0))</f>
        <v>0</v>
      </c>
      <c r="S1123" s="22">
        <v>42142.0</v>
      </c>
      <c r="T1123" s="15"/>
      <c r="U1123" s="15"/>
      <c r="V1123" s="15"/>
    </row>
    <row r="1124">
      <c r="A1124" s="2">
        <v>19733.0</v>
      </c>
      <c r="B1124" s="1" t="s">
        <v>49</v>
      </c>
      <c r="C1124" s="2">
        <v>0.0</v>
      </c>
      <c r="D1124" s="2">
        <v>73.98</v>
      </c>
      <c r="E1124" s="2">
        <v>2037.0</v>
      </c>
      <c r="F1124" s="1" t="s">
        <v>1424</v>
      </c>
      <c r="G1124" s="1" t="s">
        <v>66</v>
      </c>
      <c r="H1124" s="1" t="s">
        <v>46</v>
      </c>
      <c r="I1124" s="1" t="s">
        <v>47</v>
      </c>
      <c r="J1124" s="1" t="s">
        <v>883</v>
      </c>
      <c r="K1124" s="19" t="s">
        <v>34</v>
      </c>
      <c r="L1124" s="20" t="s">
        <v>70</v>
      </c>
      <c r="M1124" s="21">
        <f t="shared" si="1"/>
        <v>4</v>
      </c>
      <c r="N1124" s="2">
        <v>-88.61</v>
      </c>
      <c r="O1124" s="2">
        <v>4.0</v>
      </c>
      <c r="P1124" s="2">
        <v>305.71</v>
      </c>
      <c r="Q1124" s="2">
        <v>89333.0</v>
      </c>
      <c r="R1124" s="15" t="b">
        <f>ISNUMBER(MATCH(Q1124,'Returned order'!A:A,0))</f>
        <v>0</v>
      </c>
      <c r="S1124" s="22">
        <v>42075.0</v>
      </c>
      <c r="T1124" s="15"/>
      <c r="U1124" s="15"/>
      <c r="V1124" s="15"/>
    </row>
    <row r="1125">
      <c r="A1125" s="2">
        <v>22018.0</v>
      </c>
      <c r="B1125" s="1" t="s">
        <v>28</v>
      </c>
      <c r="C1125" s="2">
        <v>0.06</v>
      </c>
      <c r="D1125" s="2">
        <v>40.99</v>
      </c>
      <c r="E1125" s="2">
        <v>2038.0</v>
      </c>
      <c r="F1125" s="1" t="s">
        <v>1425</v>
      </c>
      <c r="G1125" s="1" t="s">
        <v>66</v>
      </c>
      <c r="H1125" s="1" t="s">
        <v>23</v>
      </c>
      <c r="I1125" s="1" t="s">
        <v>93</v>
      </c>
      <c r="J1125" s="1" t="s">
        <v>861</v>
      </c>
      <c r="K1125" s="19" t="s">
        <v>26</v>
      </c>
      <c r="L1125" s="20" t="s">
        <v>57</v>
      </c>
      <c r="M1125" s="21">
        <f t="shared" si="1"/>
        <v>2</v>
      </c>
      <c r="N1125" s="2">
        <v>109.16</v>
      </c>
      <c r="O1125" s="2">
        <v>7.0</v>
      </c>
      <c r="P1125" s="2">
        <v>277.12</v>
      </c>
      <c r="Q1125" s="2">
        <v>89334.0</v>
      </c>
      <c r="R1125" s="15" t="b">
        <f>ISNUMBER(MATCH(Q1125,'Returned order'!A:A,0))</f>
        <v>0</v>
      </c>
      <c r="S1125" s="22">
        <v>42115.0</v>
      </c>
      <c r="T1125" s="15"/>
      <c r="U1125" s="15"/>
      <c r="V1125" s="15"/>
    </row>
    <row r="1126">
      <c r="A1126" s="2">
        <v>24731.0</v>
      </c>
      <c r="B1126" s="1" t="s">
        <v>170</v>
      </c>
      <c r="C1126" s="2">
        <v>0.09</v>
      </c>
      <c r="D1126" s="2">
        <v>20.99</v>
      </c>
      <c r="E1126" s="2">
        <v>2044.0</v>
      </c>
      <c r="F1126" s="1" t="s">
        <v>1426</v>
      </c>
      <c r="G1126" s="1" t="s">
        <v>32</v>
      </c>
      <c r="H1126" s="1" t="s">
        <v>46</v>
      </c>
      <c r="I1126" s="1" t="s">
        <v>85</v>
      </c>
      <c r="J1126" s="1" t="s">
        <v>905</v>
      </c>
      <c r="K1126" s="19" t="s">
        <v>229</v>
      </c>
      <c r="L1126" s="20" t="s">
        <v>35</v>
      </c>
      <c r="M1126" s="21">
        <f t="shared" si="1"/>
        <v>3</v>
      </c>
      <c r="N1126" s="2">
        <v>-136.122</v>
      </c>
      <c r="O1126" s="2">
        <v>6.0</v>
      </c>
      <c r="P1126" s="2">
        <v>100.11</v>
      </c>
      <c r="Q1126" s="2">
        <v>88692.0</v>
      </c>
      <c r="R1126" s="15" t="b">
        <f>ISNUMBER(MATCH(Q1126,'Returned order'!A:A,0))</f>
        <v>0</v>
      </c>
      <c r="S1126" s="22">
        <v>42179.0</v>
      </c>
      <c r="T1126" s="15"/>
      <c r="U1126" s="15"/>
      <c r="V1126" s="15"/>
    </row>
    <row r="1127">
      <c r="A1127" s="2">
        <v>22970.0</v>
      </c>
      <c r="B1127" s="1" t="s">
        <v>58</v>
      </c>
      <c r="C1127" s="2">
        <v>0.04</v>
      </c>
      <c r="D1127" s="2">
        <v>4.28</v>
      </c>
      <c r="E1127" s="2">
        <v>2046.0</v>
      </c>
      <c r="F1127" s="1" t="s">
        <v>1427</v>
      </c>
      <c r="G1127" s="1" t="s">
        <v>32</v>
      </c>
      <c r="H1127" s="1" t="s">
        <v>23</v>
      </c>
      <c r="I1127" s="1" t="s">
        <v>93</v>
      </c>
      <c r="J1127" s="1" t="s">
        <v>1428</v>
      </c>
      <c r="K1127" s="19" t="s">
        <v>68</v>
      </c>
      <c r="L1127" s="20" t="s">
        <v>76</v>
      </c>
      <c r="M1127" s="21">
        <f t="shared" si="1"/>
        <v>5</v>
      </c>
      <c r="N1127" s="2">
        <v>-27.375</v>
      </c>
      <c r="O1127" s="2">
        <v>7.0</v>
      </c>
      <c r="P1127" s="2">
        <v>31.54</v>
      </c>
      <c r="Q1127" s="2">
        <v>88219.0</v>
      </c>
      <c r="R1127" s="15" t="b">
        <f>ISNUMBER(MATCH(Q1127,'Returned order'!A:A,0))</f>
        <v>0</v>
      </c>
      <c r="S1127" s="22">
        <v>42167.0</v>
      </c>
      <c r="T1127" s="15"/>
      <c r="U1127" s="15"/>
      <c r="V1127" s="15"/>
    </row>
    <row r="1128">
      <c r="A1128" s="2">
        <v>22971.0</v>
      </c>
      <c r="B1128" s="1" t="s">
        <v>58</v>
      </c>
      <c r="C1128" s="2">
        <v>0.06</v>
      </c>
      <c r="D1128" s="2">
        <v>376.13</v>
      </c>
      <c r="E1128" s="2">
        <v>2046.0</v>
      </c>
      <c r="F1128" s="1" t="s">
        <v>1427</v>
      </c>
      <c r="G1128" s="1" t="s">
        <v>32</v>
      </c>
      <c r="H1128" s="1" t="s">
        <v>37</v>
      </c>
      <c r="I1128" s="1" t="s">
        <v>73</v>
      </c>
      <c r="J1128" s="1" t="s">
        <v>1429</v>
      </c>
      <c r="K1128" s="19" t="s">
        <v>68</v>
      </c>
      <c r="L1128" s="20" t="s">
        <v>76</v>
      </c>
      <c r="M1128" s="21">
        <f t="shared" si="1"/>
        <v>5</v>
      </c>
      <c r="N1128" s="2">
        <v>-435.7575</v>
      </c>
      <c r="O1128" s="2">
        <v>13.0</v>
      </c>
      <c r="P1128" s="2">
        <v>4634.69</v>
      </c>
      <c r="Q1128" s="2">
        <v>88219.0</v>
      </c>
      <c r="R1128" s="15" t="b">
        <f>ISNUMBER(MATCH(Q1128,'Returned order'!A:A,0))</f>
        <v>0</v>
      </c>
      <c r="S1128" s="22">
        <v>42167.0</v>
      </c>
      <c r="T1128" s="15"/>
      <c r="U1128" s="15"/>
      <c r="V1128" s="15"/>
    </row>
    <row r="1129">
      <c r="A1129" s="2">
        <v>22972.0</v>
      </c>
      <c r="B1129" s="1" t="s">
        <v>58</v>
      </c>
      <c r="C1129" s="2">
        <v>0.06</v>
      </c>
      <c r="D1129" s="2">
        <v>424.21</v>
      </c>
      <c r="E1129" s="2">
        <v>2046.0</v>
      </c>
      <c r="F1129" s="1" t="s">
        <v>1427</v>
      </c>
      <c r="G1129" s="1" t="s">
        <v>32</v>
      </c>
      <c r="H1129" s="1" t="s">
        <v>37</v>
      </c>
      <c r="I1129" s="1" t="s">
        <v>73</v>
      </c>
      <c r="J1129" s="1" t="s">
        <v>1383</v>
      </c>
      <c r="K1129" s="19" t="s">
        <v>68</v>
      </c>
      <c r="L1129" s="20" t="s">
        <v>76</v>
      </c>
      <c r="M1129" s="21">
        <f t="shared" si="1"/>
        <v>5</v>
      </c>
      <c r="N1129" s="2">
        <v>682.53</v>
      </c>
      <c r="O1129" s="2">
        <v>17.0</v>
      </c>
      <c r="P1129" s="2">
        <v>7304.03</v>
      </c>
      <c r="Q1129" s="2">
        <v>88219.0</v>
      </c>
      <c r="R1129" s="15" t="b">
        <f>ISNUMBER(MATCH(Q1129,'Returned order'!A:A,0))</f>
        <v>0</v>
      </c>
      <c r="S1129" s="22">
        <v>42167.0</v>
      </c>
      <c r="T1129" s="15"/>
      <c r="U1129" s="15"/>
      <c r="V1129" s="15"/>
    </row>
    <row r="1130">
      <c r="A1130" s="2">
        <v>22973.0</v>
      </c>
      <c r="B1130" s="1" t="s">
        <v>58</v>
      </c>
      <c r="C1130" s="2">
        <v>0.06</v>
      </c>
      <c r="D1130" s="2">
        <v>195.99</v>
      </c>
      <c r="E1130" s="2">
        <v>2046.0</v>
      </c>
      <c r="F1130" s="1" t="s">
        <v>1427</v>
      </c>
      <c r="G1130" s="1" t="s">
        <v>32</v>
      </c>
      <c r="H1130" s="1" t="s">
        <v>46</v>
      </c>
      <c r="I1130" s="1" t="s">
        <v>85</v>
      </c>
      <c r="J1130" s="1" t="s">
        <v>611</v>
      </c>
      <c r="K1130" s="19" t="s">
        <v>68</v>
      </c>
      <c r="L1130" s="20" t="s">
        <v>76</v>
      </c>
      <c r="M1130" s="21">
        <f t="shared" si="1"/>
        <v>5</v>
      </c>
      <c r="N1130" s="2">
        <v>-277.222</v>
      </c>
      <c r="O1130" s="2">
        <v>4.0</v>
      </c>
      <c r="P1130" s="2">
        <v>632.65</v>
      </c>
      <c r="Q1130" s="2">
        <v>88219.0</v>
      </c>
      <c r="R1130" s="15" t="b">
        <f>ISNUMBER(MATCH(Q1130,'Returned order'!A:A,0))</f>
        <v>0</v>
      </c>
      <c r="S1130" s="22">
        <v>42167.0</v>
      </c>
      <c r="T1130" s="15"/>
      <c r="U1130" s="15"/>
      <c r="V1130" s="15"/>
    </row>
    <row r="1131">
      <c r="A1131" s="2">
        <v>18497.0</v>
      </c>
      <c r="B1131" s="1" t="s">
        <v>28</v>
      </c>
      <c r="C1131" s="2">
        <v>0.03</v>
      </c>
      <c r="D1131" s="2">
        <v>15.28</v>
      </c>
      <c r="E1131" s="2">
        <v>2049.0</v>
      </c>
      <c r="F1131" s="1" t="s">
        <v>1430</v>
      </c>
      <c r="G1131" s="1" t="s">
        <v>32</v>
      </c>
      <c r="H1131" s="1" t="s">
        <v>46</v>
      </c>
      <c r="I1131" s="1" t="s">
        <v>47</v>
      </c>
      <c r="J1131" s="1" t="s">
        <v>342</v>
      </c>
      <c r="K1131" s="19" t="s">
        <v>229</v>
      </c>
      <c r="L1131" s="20" t="s">
        <v>61</v>
      </c>
      <c r="M1131" s="21">
        <f t="shared" si="1"/>
        <v>7</v>
      </c>
      <c r="N1131" s="2">
        <v>-266.686</v>
      </c>
      <c r="O1131" s="2">
        <v>19.0</v>
      </c>
      <c r="P1131" s="2">
        <v>290.98</v>
      </c>
      <c r="Q1131" s="2">
        <v>88220.0</v>
      </c>
      <c r="R1131" s="15" t="b">
        <f>ISNUMBER(MATCH(Q1131,'Returned order'!A:A,0))</f>
        <v>0</v>
      </c>
      <c r="S1131" s="22">
        <v>42176.0</v>
      </c>
      <c r="T1131" s="15"/>
      <c r="U1131" s="15"/>
      <c r="V1131" s="15"/>
    </row>
    <row r="1132">
      <c r="A1132" s="2">
        <v>18498.0</v>
      </c>
      <c r="B1132" s="1" t="s">
        <v>28</v>
      </c>
      <c r="C1132" s="2">
        <v>0.09</v>
      </c>
      <c r="D1132" s="2">
        <v>1.76</v>
      </c>
      <c r="E1132" s="2">
        <v>2049.0</v>
      </c>
      <c r="F1132" s="1" t="s">
        <v>1430</v>
      </c>
      <c r="G1132" s="1" t="s">
        <v>32</v>
      </c>
      <c r="H1132" s="1" t="s">
        <v>23</v>
      </c>
      <c r="I1132" s="1" t="s">
        <v>29</v>
      </c>
      <c r="J1132" s="1" t="s">
        <v>1431</v>
      </c>
      <c r="K1132" s="19" t="s">
        <v>229</v>
      </c>
      <c r="L1132" s="20" t="s">
        <v>61</v>
      </c>
      <c r="M1132" s="21">
        <f t="shared" si="1"/>
        <v>7</v>
      </c>
      <c r="N1132" s="2">
        <v>-12.278</v>
      </c>
      <c r="O1132" s="2">
        <v>13.0</v>
      </c>
      <c r="P1132" s="2">
        <v>21.77</v>
      </c>
      <c r="Q1132" s="2">
        <v>88220.0</v>
      </c>
      <c r="R1132" s="15" t="b">
        <f>ISNUMBER(MATCH(Q1132,'Returned order'!A:A,0))</f>
        <v>0</v>
      </c>
      <c r="S1132" s="22">
        <v>42176.0</v>
      </c>
      <c r="T1132" s="15"/>
      <c r="U1132" s="15"/>
      <c r="V1132" s="15"/>
    </row>
    <row r="1133">
      <c r="A1133" s="2">
        <v>18251.0</v>
      </c>
      <c r="B1133" s="1" t="s">
        <v>49</v>
      </c>
      <c r="C1133" s="2">
        <v>0.07</v>
      </c>
      <c r="D1133" s="2">
        <v>31.78</v>
      </c>
      <c r="E1133" s="2">
        <v>2052.0</v>
      </c>
      <c r="F1133" s="1" t="s">
        <v>1432</v>
      </c>
      <c r="G1133" s="1" t="s">
        <v>51</v>
      </c>
      <c r="H1133" s="1" t="s">
        <v>46</v>
      </c>
      <c r="I1133" s="1" t="s">
        <v>47</v>
      </c>
      <c r="J1133" s="1" t="s">
        <v>727</v>
      </c>
      <c r="K1133" s="19" t="s">
        <v>34</v>
      </c>
      <c r="L1133" s="20" t="s">
        <v>70</v>
      </c>
      <c r="M1133" s="21">
        <f t="shared" si="1"/>
        <v>4</v>
      </c>
      <c r="N1133" s="2">
        <v>265.1118</v>
      </c>
      <c r="O1133" s="2">
        <v>13.0</v>
      </c>
      <c r="P1133" s="2">
        <v>384.22</v>
      </c>
      <c r="Q1133" s="2">
        <v>87234.0</v>
      </c>
      <c r="R1133" s="15" t="b">
        <f>ISNUMBER(MATCH(Q1133,'Returned order'!A:A,0))</f>
        <v>0</v>
      </c>
      <c r="S1133" s="22">
        <v>42054.0</v>
      </c>
      <c r="T1133" s="15"/>
      <c r="U1133" s="15"/>
      <c r="V1133" s="15"/>
    </row>
    <row r="1134">
      <c r="A1134" s="2">
        <v>18252.0</v>
      </c>
      <c r="B1134" s="1" t="s">
        <v>49</v>
      </c>
      <c r="C1134" s="2">
        <v>0.0</v>
      </c>
      <c r="D1134" s="2">
        <v>5.98</v>
      </c>
      <c r="E1134" s="2">
        <v>2052.0</v>
      </c>
      <c r="F1134" s="1" t="s">
        <v>1432</v>
      </c>
      <c r="G1134" s="1" t="s">
        <v>51</v>
      </c>
      <c r="H1134" s="1" t="s">
        <v>23</v>
      </c>
      <c r="I1134" s="1" t="s">
        <v>88</v>
      </c>
      <c r="J1134" s="1" t="s">
        <v>288</v>
      </c>
      <c r="K1134" s="19" t="s">
        <v>34</v>
      </c>
      <c r="L1134" s="20" t="s">
        <v>70</v>
      </c>
      <c r="M1134" s="21">
        <f t="shared" si="1"/>
        <v>4</v>
      </c>
      <c r="N1134" s="2">
        <v>9.5608</v>
      </c>
      <c r="O1134" s="2">
        <v>5.0</v>
      </c>
      <c r="P1134" s="2">
        <v>31.64</v>
      </c>
      <c r="Q1134" s="2">
        <v>87234.0</v>
      </c>
      <c r="R1134" s="15" t="b">
        <f>ISNUMBER(MATCH(Q1134,'Returned order'!A:A,0))</f>
        <v>0</v>
      </c>
      <c r="S1134" s="22">
        <v>42054.0</v>
      </c>
      <c r="T1134" s="15"/>
      <c r="U1134" s="15"/>
      <c r="V1134" s="15"/>
    </row>
    <row r="1135">
      <c r="A1135" s="2">
        <v>18253.0</v>
      </c>
      <c r="B1135" s="1" t="s">
        <v>49</v>
      </c>
      <c r="C1135" s="2">
        <v>0.1</v>
      </c>
      <c r="D1135" s="2">
        <v>35.99</v>
      </c>
      <c r="E1135" s="2">
        <v>2052.0</v>
      </c>
      <c r="F1135" s="1" t="s">
        <v>1432</v>
      </c>
      <c r="G1135" s="1" t="s">
        <v>51</v>
      </c>
      <c r="H1135" s="1" t="s">
        <v>46</v>
      </c>
      <c r="I1135" s="1" t="s">
        <v>85</v>
      </c>
      <c r="J1135" s="1" t="s">
        <v>750</v>
      </c>
      <c r="K1135" s="19" t="s">
        <v>34</v>
      </c>
      <c r="L1135" s="20" t="s">
        <v>70</v>
      </c>
      <c r="M1135" s="21">
        <f t="shared" si="1"/>
        <v>4</v>
      </c>
      <c r="N1135" s="2">
        <v>390.0984</v>
      </c>
      <c r="O1135" s="2">
        <v>19.0</v>
      </c>
      <c r="P1135" s="2">
        <v>565.36</v>
      </c>
      <c r="Q1135" s="2">
        <v>87234.0</v>
      </c>
      <c r="R1135" s="15" t="b">
        <f>ISNUMBER(MATCH(Q1135,'Returned order'!A:A,0))</f>
        <v>0</v>
      </c>
      <c r="S1135" s="22">
        <v>42054.0</v>
      </c>
      <c r="T1135" s="15"/>
      <c r="U1135" s="15"/>
      <c r="V1135" s="15"/>
    </row>
    <row r="1136">
      <c r="A1136" s="2">
        <v>20481.0</v>
      </c>
      <c r="B1136" s="1" t="s">
        <v>63</v>
      </c>
      <c r="C1136" s="2">
        <v>0.07</v>
      </c>
      <c r="D1136" s="2">
        <v>5.98</v>
      </c>
      <c r="E1136" s="2">
        <v>2058.0</v>
      </c>
      <c r="F1136" s="1" t="s">
        <v>1433</v>
      </c>
      <c r="G1136" s="1" t="s">
        <v>32</v>
      </c>
      <c r="H1136" s="1" t="s">
        <v>23</v>
      </c>
      <c r="I1136" s="1" t="s">
        <v>93</v>
      </c>
      <c r="J1136" s="1" t="s">
        <v>821</v>
      </c>
      <c r="K1136" s="19" t="s">
        <v>229</v>
      </c>
      <c r="L1136" s="20" t="s">
        <v>76</v>
      </c>
      <c r="M1136" s="21">
        <f t="shared" si="1"/>
        <v>5</v>
      </c>
      <c r="N1136" s="2">
        <v>46.65</v>
      </c>
      <c r="O1136" s="2">
        <v>5.0</v>
      </c>
      <c r="P1136" s="2">
        <v>32.76</v>
      </c>
      <c r="Q1136" s="2">
        <v>88040.0</v>
      </c>
      <c r="R1136" s="15" t="b">
        <f>ISNUMBER(MATCH(Q1136,'Returned order'!A:A,0))</f>
        <v>0</v>
      </c>
      <c r="S1136" s="22">
        <v>42048.0</v>
      </c>
      <c r="T1136" s="15"/>
      <c r="U1136" s="15"/>
      <c r="V1136" s="15"/>
    </row>
    <row r="1137">
      <c r="A1137" s="2">
        <v>23499.0</v>
      </c>
      <c r="B1137" s="1" t="s">
        <v>49</v>
      </c>
      <c r="C1137" s="2">
        <v>0.09</v>
      </c>
      <c r="D1137" s="2">
        <v>28.48</v>
      </c>
      <c r="E1137" s="2">
        <v>2059.0</v>
      </c>
      <c r="F1137" s="1" t="s">
        <v>1434</v>
      </c>
      <c r="G1137" s="1" t="s">
        <v>32</v>
      </c>
      <c r="H1137" s="1" t="s">
        <v>46</v>
      </c>
      <c r="I1137" s="1" t="s">
        <v>47</v>
      </c>
      <c r="J1137" s="1" t="s">
        <v>390</v>
      </c>
      <c r="K1137" s="19" t="s">
        <v>229</v>
      </c>
      <c r="L1137" s="20" t="s">
        <v>53</v>
      </c>
      <c r="M1137" s="21">
        <f t="shared" si="1"/>
        <v>6</v>
      </c>
      <c r="N1137" s="2">
        <v>-1250.746</v>
      </c>
      <c r="O1137" s="2">
        <v>13.0</v>
      </c>
      <c r="P1137" s="2">
        <v>336.92</v>
      </c>
      <c r="Q1137" s="2">
        <v>88039.0</v>
      </c>
      <c r="R1137" s="15" t="b">
        <f>ISNUMBER(MATCH(Q1137,'Returned order'!A:A,0))</f>
        <v>0</v>
      </c>
      <c r="S1137" s="22">
        <v>42021.0</v>
      </c>
      <c r="T1137" s="15"/>
      <c r="U1137" s="15"/>
      <c r="V1137" s="15"/>
    </row>
    <row r="1138">
      <c r="A1138" s="2">
        <v>21632.0</v>
      </c>
      <c r="B1138" s="1" t="s">
        <v>58</v>
      </c>
      <c r="C1138" s="2">
        <v>0.1</v>
      </c>
      <c r="D1138" s="2">
        <v>9.85</v>
      </c>
      <c r="E1138" s="2">
        <v>2059.0</v>
      </c>
      <c r="F1138" s="1" t="s">
        <v>1434</v>
      </c>
      <c r="G1138" s="1" t="s">
        <v>32</v>
      </c>
      <c r="H1138" s="1" t="s">
        <v>23</v>
      </c>
      <c r="I1138" s="1" t="s">
        <v>29</v>
      </c>
      <c r="J1138" s="1" t="s">
        <v>1435</v>
      </c>
      <c r="K1138" s="19" t="s">
        <v>229</v>
      </c>
      <c r="L1138" s="20" t="s">
        <v>76</v>
      </c>
      <c r="M1138" s="21">
        <f t="shared" si="1"/>
        <v>5</v>
      </c>
      <c r="N1138" s="2">
        <v>374.904</v>
      </c>
      <c r="O1138" s="2">
        <v>12.0</v>
      </c>
      <c r="P1138" s="2">
        <v>114.91</v>
      </c>
      <c r="Q1138" s="2">
        <v>88041.0</v>
      </c>
      <c r="R1138" s="15" t="b">
        <f>ISNUMBER(MATCH(Q1138,'Returned order'!A:A,0))</f>
        <v>0</v>
      </c>
      <c r="S1138" s="22">
        <v>42090.0</v>
      </c>
      <c r="T1138" s="15"/>
      <c r="U1138" s="15"/>
      <c r="V1138" s="15"/>
    </row>
    <row r="1139">
      <c r="A1139" s="2">
        <v>21633.0</v>
      </c>
      <c r="B1139" s="1" t="s">
        <v>58</v>
      </c>
      <c r="C1139" s="2">
        <v>0.04</v>
      </c>
      <c r="D1139" s="2">
        <v>125.99</v>
      </c>
      <c r="E1139" s="2">
        <v>2059.0</v>
      </c>
      <c r="F1139" s="1" t="s">
        <v>1434</v>
      </c>
      <c r="G1139" s="1" t="s">
        <v>32</v>
      </c>
      <c r="H1139" s="1" t="s">
        <v>46</v>
      </c>
      <c r="I1139" s="1" t="s">
        <v>85</v>
      </c>
      <c r="J1139" s="1" t="s">
        <v>941</v>
      </c>
      <c r="K1139" s="19" t="s">
        <v>229</v>
      </c>
      <c r="L1139" s="20" t="s">
        <v>76</v>
      </c>
      <c r="M1139" s="21">
        <f t="shared" si="1"/>
        <v>5</v>
      </c>
      <c r="N1139" s="2">
        <v>-528.836</v>
      </c>
      <c r="O1139" s="2">
        <v>9.0</v>
      </c>
      <c r="P1139" s="2">
        <v>934.52</v>
      </c>
      <c r="Q1139" s="2">
        <v>88041.0</v>
      </c>
      <c r="R1139" s="15" t="b">
        <f>ISNUMBER(MATCH(Q1139,'Returned order'!A:A,0))</f>
        <v>0</v>
      </c>
      <c r="S1139" s="22">
        <v>42090.0</v>
      </c>
      <c r="T1139" s="15"/>
      <c r="U1139" s="15"/>
      <c r="V1139" s="15"/>
    </row>
    <row r="1140">
      <c r="A1140" s="2">
        <v>20841.0</v>
      </c>
      <c r="B1140" s="1" t="s">
        <v>63</v>
      </c>
      <c r="C1140" s="2">
        <v>0.02</v>
      </c>
      <c r="D1140" s="2">
        <v>240.98</v>
      </c>
      <c r="E1140" s="2">
        <v>2061.0</v>
      </c>
      <c r="F1140" s="1" t="s">
        <v>1436</v>
      </c>
      <c r="G1140" s="1" t="s">
        <v>32</v>
      </c>
      <c r="H1140" s="1" t="s">
        <v>37</v>
      </c>
      <c r="I1140" s="1" t="s">
        <v>55</v>
      </c>
      <c r="J1140" s="1" t="s">
        <v>1437</v>
      </c>
      <c r="K1140" s="19" t="s">
        <v>68</v>
      </c>
      <c r="L1140" s="20" t="s">
        <v>70</v>
      </c>
      <c r="M1140" s="21">
        <f t="shared" si="1"/>
        <v>4</v>
      </c>
      <c r="N1140" s="2">
        <v>-272.7132</v>
      </c>
      <c r="O1140" s="2">
        <v>1.0</v>
      </c>
      <c r="P1140" s="2">
        <v>260.66</v>
      </c>
      <c r="Q1140" s="2">
        <v>87146.0</v>
      </c>
      <c r="R1140" s="15" t="b">
        <f>ISNUMBER(MATCH(Q1140,'Returned order'!A:A,0))</f>
        <v>0</v>
      </c>
      <c r="S1140" s="22">
        <v>42033.0</v>
      </c>
      <c r="T1140" s="15"/>
      <c r="U1140" s="15"/>
      <c r="V1140" s="15"/>
    </row>
    <row r="1141">
      <c r="A1141" s="2">
        <v>20840.0</v>
      </c>
      <c r="B1141" s="1" t="s">
        <v>63</v>
      </c>
      <c r="C1141" s="2">
        <v>0.02</v>
      </c>
      <c r="D1141" s="2">
        <v>420.98</v>
      </c>
      <c r="E1141" s="2">
        <v>2062.0</v>
      </c>
      <c r="F1141" s="1" t="s">
        <v>1438</v>
      </c>
      <c r="G1141" s="1" t="s">
        <v>32</v>
      </c>
      <c r="H1141" s="1" t="s">
        <v>23</v>
      </c>
      <c r="I1141" s="1" t="s">
        <v>24</v>
      </c>
      <c r="J1141" s="1" t="s">
        <v>1132</v>
      </c>
      <c r="K1141" s="19" t="s">
        <v>229</v>
      </c>
      <c r="L1141" s="20" t="s">
        <v>70</v>
      </c>
      <c r="M1141" s="21">
        <f t="shared" si="1"/>
        <v>4</v>
      </c>
      <c r="N1141" s="2">
        <v>-162.694</v>
      </c>
      <c r="O1141" s="2">
        <v>10.0</v>
      </c>
      <c r="P1141" s="2">
        <v>4249.37</v>
      </c>
      <c r="Q1141" s="2">
        <v>87146.0</v>
      </c>
      <c r="R1141" s="15" t="b">
        <f>ISNUMBER(MATCH(Q1141,'Returned order'!A:A,0))</f>
        <v>0</v>
      </c>
      <c r="S1141" s="22">
        <v>42033.0</v>
      </c>
      <c r="T1141" s="15"/>
      <c r="U1141" s="15"/>
      <c r="V1141" s="15"/>
    </row>
    <row r="1142">
      <c r="A1142" s="2">
        <v>22511.0</v>
      </c>
      <c r="B1142" s="1" t="s">
        <v>170</v>
      </c>
      <c r="C1142" s="2">
        <v>0.04</v>
      </c>
      <c r="D1142" s="2">
        <v>291.73</v>
      </c>
      <c r="E1142" s="2">
        <v>2062.0</v>
      </c>
      <c r="F1142" s="1" t="s">
        <v>1438</v>
      </c>
      <c r="G1142" s="1" t="s">
        <v>32</v>
      </c>
      <c r="H1142" s="1" t="s">
        <v>37</v>
      </c>
      <c r="I1142" s="1" t="s">
        <v>38</v>
      </c>
      <c r="J1142" s="1" t="s">
        <v>244</v>
      </c>
      <c r="K1142" s="19" t="s">
        <v>229</v>
      </c>
      <c r="L1142" s="20" t="s">
        <v>76</v>
      </c>
      <c r="M1142" s="21">
        <f t="shared" si="1"/>
        <v>5</v>
      </c>
      <c r="N1142" s="2">
        <v>-115.9039</v>
      </c>
      <c r="O1142" s="2">
        <v>22.0</v>
      </c>
      <c r="P1142" s="2">
        <v>6676.61</v>
      </c>
      <c r="Q1142" s="2">
        <v>87148.0</v>
      </c>
      <c r="R1142" s="15" t="b">
        <f>ISNUMBER(MATCH(Q1142,'Returned order'!A:A,0))</f>
        <v>0</v>
      </c>
      <c r="S1142" s="22">
        <v>42181.0</v>
      </c>
      <c r="T1142" s="15"/>
      <c r="U1142" s="15"/>
      <c r="V1142" s="15"/>
    </row>
    <row r="1143">
      <c r="A1143" s="2">
        <v>25759.0</v>
      </c>
      <c r="B1143" s="1" t="s">
        <v>170</v>
      </c>
      <c r="C1143" s="2">
        <v>0.06</v>
      </c>
      <c r="D1143" s="2">
        <v>300.97</v>
      </c>
      <c r="E1143" s="2">
        <v>2063.0</v>
      </c>
      <c r="F1143" s="1" t="s">
        <v>1439</v>
      </c>
      <c r="G1143" s="1" t="s">
        <v>32</v>
      </c>
      <c r="H1143" s="1" t="s">
        <v>46</v>
      </c>
      <c r="I1143" s="1" t="s">
        <v>47</v>
      </c>
      <c r="J1143" s="1" t="s">
        <v>849</v>
      </c>
      <c r="K1143" s="19" t="s">
        <v>229</v>
      </c>
      <c r="L1143" s="20" t="s">
        <v>76</v>
      </c>
      <c r="M1143" s="21">
        <f t="shared" si="1"/>
        <v>5</v>
      </c>
      <c r="N1143" s="2">
        <v>-729.988</v>
      </c>
      <c r="O1143" s="2">
        <v>1.0</v>
      </c>
      <c r="P1143" s="2">
        <v>291.4</v>
      </c>
      <c r="Q1143" s="2">
        <v>87147.0</v>
      </c>
      <c r="R1143" s="15" t="b">
        <f>ISNUMBER(MATCH(Q1143,'Returned order'!A:A,0))</f>
        <v>0</v>
      </c>
      <c r="S1143" s="22">
        <v>42132.0</v>
      </c>
      <c r="T1143" s="15"/>
      <c r="U1143" s="15"/>
      <c r="V1143" s="15"/>
    </row>
    <row r="1144">
      <c r="A1144" s="2">
        <v>25228.0</v>
      </c>
      <c r="B1144" s="1" t="s">
        <v>63</v>
      </c>
      <c r="C1144" s="2">
        <v>0.09</v>
      </c>
      <c r="D1144" s="2">
        <v>20.89</v>
      </c>
      <c r="E1144" s="2">
        <v>2066.0</v>
      </c>
      <c r="F1144" s="1" t="s">
        <v>1440</v>
      </c>
      <c r="G1144" s="1" t="s">
        <v>51</v>
      </c>
      <c r="H1144" s="1" t="s">
        <v>23</v>
      </c>
      <c r="I1144" s="1" t="s">
        <v>120</v>
      </c>
      <c r="J1144" s="1" t="s">
        <v>603</v>
      </c>
      <c r="K1144" s="19" t="s">
        <v>229</v>
      </c>
      <c r="L1144" s="20" t="s">
        <v>70</v>
      </c>
      <c r="M1144" s="21">
        <f t="shared" si="1"/>
        <v>4</v>
      </c>
      <c r="N1144" s="2">
        <v>-133.546</v>
      </c>
      <c r="O1144" s="2">
        <v>7.0</v>
      </c>
      <c r="P1144" s="2">
        <v>146.5</v>
      </c>
      <c r="Q1144" s="2">
        <v>85833.0</v>
      </c>
      <c r="R1144" s="15" t="b">
        <f>ISNUMBER(MATCH(Q1144,'Returned order'!A:A,0))</f>
        <v>0</v>
      </c>
      <c r="S1144" s="22">
        <v>42089.0</v>
      </c>
      <c r="T1144" s="15"/>
      <c r="U1144" s="15"/>
      <c r="V1144" s="15"/>
    </row>
    <row r="1145">
      <c r="A1145" s="2">
        <v>24748.0</v>
      </c>
      <c r="B1145" s="1" t="s">
        <v>58</v>
      </c>
      <c r="C1145" s="2">
        <v>0.09</v>
      </c>
      <c r="D1145" s="2">
        <v>20.99</v>
      </c>
      <c r="E1145" s="2">
        <v>2066.0</v>
      </c>
      <c r="F1145" s="1" t="s">
        <v>1440</v>
      </c>
      <c r="G1145" s="1" t="s">
        <v>51</v>
      </c>
      <c r="H1145" s="1" t="s">
        <v>46</v>
      </c>
      <c r="I1145" s="1" t="s">
        <v>85</v>
      </c>
      <c r="J1145" s="1" t="s">
        <v>440</v>
      </c>
      <c r="K1145" s="19" t="s">
        <v>229</v>
      </c>
      <c r="L1145" s="20" t="s">
        <v>57</v>
      </c>
      <c r="M1145" s="21">
        <f t="shared" si="1"/>
        <v>2</v>
      </c>
      <c r="N1145" s="2">
        <v>272.694</v>
      </c>
      <c r="O1145" s="2">
        <v>2.0</v>
      </c>
      <c r="P1145" s="2">
        <v>38.98</v>
      </c>
      <c r="Q1145" s="2">
        <v>85834.0</v>
      </c>
      <c r="R1145" s="15" t="b">
        <f>ISNUMBER(MATCH(Q1145,'Returned order'!A:A,0))</f>
        <v>0</v>
      </c>
      <c r="S1145" s="22">
        <v>42094.0</v>
      </c>
      <c r="T1145" s="15"/>
      <c r="U1145" s="15"/>
      <c r="V1145" s="15"/>
    </row>
    <row r="1146">
      <c r="A1146" s="2">
        <v>25381.0</v>
      </c>
      <c r="B1146" s="1" t="s">
        <v>170</v>
      </c>
      <c r="C1146" s="2">
        <v>0.1</v>
      </c>
      <c r="D1146" s="2">
        <v>4.24</v>
      </c>
      <c r="E1146" s="2">
        <v>2066.0</v>
      </c>
      <c r="F1146" s="1" t="s">
        <v>1440</v>
      </c>
      <c r="G1146" s="1" t="s">
        <v>32</v>
      </c>
      <c r="H1146" s="1" t="s">
        <v>23</v>
      </c>
      <c r="I1146" s="1" t="s">
        <v>24</v>
      </c>
      <c r="J1146" s="1" t="s">
        <v>178</v>
      </c>
      <c r="K1146" s="19" t="s">
        <v>229</v>
      </c>
      <c r="L1146" s="20" t="s">
        <v>61</v>
      </c>
      <c r="M1146" s="21">
        <f t="shared" si="1"/>
        <v>7</v>
      </c>
      <c r="N1146" s="2">
        <v>-61.6</v>
      </c>
      <c r="O1146" s="2">
        <v>8.0</v>
      </c>
      <c r="P1146" s="2">
        <v>34.16</v>
      </c>
      <c r="Q1146" s="2">
        <v>85835.0</v>
      </c>
      <c r="R1146" s="15" t="b">
        <f>ISNUMBER(MATCH(Q1146,'Returned order'!A:A,0))</f>
        <v>0</v>
      </c>
      <c r="S1146" s="22">
        <v>42113.0</v>
      </c>
      <c r="T1146" s="15"/>
      <c r="U1146" s="15"/>
      <c r="V1146" s="15"/>
    </row>
    <row r="1147">
      <c r="A1147" s="2">
        <v>21901.0</v>
      </c>
      <c r="B1147" s="1" t="s">
        <v>63</v>
      </c>
      <c r="C1147" s="2">
        <v>0.1</v>
      </c>
      <c r="D1147" s="2">
        <v>40.98</v>
      </c>
      <c r="E1147" s="2">
        <v>2069.0</v>
      </c>
      <c r="F1147" s="1" t="s">
        <v>1441</v>
      </c>
      <c r="G1147" s="1" t="s">
        <v>22</v>
      </c>
      <c r="H1147" s="1" t="s">
        <v>46</v>
      </c>
      <c r="I1147" s="1" t="s">
        <v>47</v>
      </c>
      <c r="J1147" s="1" t="s">
        <v>968</v>
      </c>
      <c r="K1147" s="19" t="s">
        <v>229</v>
      </c>
      <c r="L1147" s="20" t="s">
        <v>27</v>
      </c>
      <c r="M1147" s="21">
        <f t="shared" si="1"/>
        <v>1</v>
      </c>
      <c r="N1147" s="2">
        <v>66.852</v>
      </c>
      <c r="O1147" s="2">
        <v>3.0</v>
      </c>
      <c r="P1147" s="2">
        <v>120.34</v>
      </c>
      <c r="Q1147" s="2">
        <v>88554.0</v>
      </c>
      <c r="R1147" s="15" t="b">
        <f>ISNUMBER(MATCH(Q1147,'Returned order'!A:A,0))</f>
        <v>0</v>
      </c>
      <c r="S1147" s="22">
        <v>42016.0</v>
      </c>
      <c r="T1147" s="15"/>
      <c r="U1147" s="15"/>
      <c r="V1147" s="15"/>
    </row>
    <row r="1148">
      <c r="A1148" s="2">
        <v>19567.0</v>
      </c>
      <c r="B1148" s="1" t="s">
        <v>170</v>
      </c>
      <c r="C1148" s="2">
        <v>0.07</v>
      </c>
      <c r="D1148" s="2">
        <v>35.99</v>
      </c>
      <c r="E1148" s="2">
        <v>2070.0</v>
      </c>
      <c r="F1148" s="1" t="s">
        <v>1442</v>
      </c>
      <c r="G1148" s="1" t="s">
        <v>32</v>
      </c>
      <c r="H1148" s="1" t="s">
        <v>46</v>
      </c>
      <c r="I1148" s="1" t="s">
        <v>85</v>
      </c>
      <c r="J1148" s="1" t="s">
        <v>200</v>
      </c>
      <c r="K1148" s="19" t="s">
        <v>68</v>
      </c>
      <c r="L1148" s="20" t="s">
        <v>53</v>
      </c>
      <c r="M1148" s="21">
        <f t="shared" si="1"/>
        <v>6</v>
      </c>
      <c r="N1148" s="2">
        <v>17.8398</v>
      </c>
      <c r="O1148" s="2">
        <v>5.0</v>
      </c>
      <c r="P1148" s="2">
        <v>153.61</v>
      </c>
      <c r="Q1148" s="2">
        <v>88558.0</v>
      </c>
      <c r="R1148" s="15" t="b">
        <f>ISNUMBER(MATCH(Q1148,'Returned order'!A:A,0))</f>
        <v>0</v>
      </c>
      <c r="S1148" s="22">
        <v>42140.0</v>
      </c>
      <c r="T1148" s="15"/>
      <c r="U1148" s="15"/>
      <c r="V1148" s="15"/>
    </row>
    <row r="1149">
      <c r="A1149" s="2">
        <v>20498.0</v>
      </c>
      <c r="B1149" s="1" t="s">
        <v>49</v>
      </c>
      <c r="C1149" s="2">
        <v>0.03</v>
      </c>
      <c r="D1149" s="2">
        <v>60.98</v>
      </c>
      <c r="E1149" s="2">
        <v>2071.0</v>
      </c>
      <c r="F1149" s="1" t="s">
        <v>1443</v>
      </c>
      <c r="G1149" s="1" t="s">
        <v>32</v>
      </c>
      <c r="H1149" s="1" t="s">
        <v>46</v>
      </c>
      <c r="I1149" s="1" t="s">
        <v>47</v>
      </c>
      <c r="J1149" s="1" t="s">
        <v>1444</v>
      </c>
      <c r="K1149" s="19" t="s">
        <v>68</v>
      </c>
      <c r="L1149" s="20" t="s">
        <v>61</v>
      </c>
      <c r="M1149" s="21">
        <f t="shared" si="1"/>
        <v>7</v>
      </c>
      <c r="N1149" s="2">
        <v>976.2672</v>
      </c>
      <c r="O1149" s="2">
        <v>23.0</v>
      </c>
      <c r="P1149" s="2">
        <v>1414.88</v>
      </c>
      <c r="Q1149" s="2">
        <v>88555.0</v>
      </c>
      <c r="R1149" s="15" t="b">
        <f>ISNUMBER(MATCH(Q1149,'Returned order'!A:A,0))</f>
        <v>0</v>
      </c>
      <c r="S1149" s="22">
        <v>42036.0</v>
      </c>
      <c r="T1149" s="15"/>
      <c r="U1149" s="15"/>
      <c r="V1149" s="15"/>
    </row>
    <row r="1150">
      <c r="A1150" s="2">
        <v>20499.0</v>
      </c>
      <c r="B1150" s="1" t="s">
        <v>49</v>
      </c>
      <c r="C1150" s="2">
        <v>0.04</v>
      </c>
      <c r="D1150" s="2">
        <v>3.08</v>
      </c>
      <c r="E1150" s="2">
        <v>2071.0</v>
      </c>
      <c r="F1150" s="1" t="s">
        <v>1443</v>
      </c>
      <c r="G1150" s="1" t="s">
        <v>32</v>
      </c>
      <c r="H1150" s="1" t="s">
        <v>23</v>
      </c>
      <c r="I1150" s="1" t="s">
        <v>130</v>
      </c>
      <c r="J1150" s="1" t="s">
        <v>1445</v>
      </c>
      <c r="K1150" s="19" t="s">
        <v>68</v>
      </c>
      <c r="L1150" s="20" t="s">
        <v>61</v>
      </c>
      <c r="M1150" s="21">
        <f t="shared" si="1"/>
        <v>7</v>
      </c>
      <c r="N1150" s="2">
        <v>23.2047</v>
      </c>
      <c r="O1150" s="2">
        <v>11.0</v>
      </c>
      <c r="P1150" s="2">
        <v>33.63</v>
      </c>
      <c r="Q1150" s="2">
        <v>88555.0</v>
      </c>
      <c r="R1150" s="15" t="b">
        <f>ISNUMBER(MATCH(Q1150,'Returned order'!A:A,0))</f>
        <v>0</v>
      </c>
      <c r="S1150" s="22">
        <v>42036.0</v>
      </c>
      <c r="T1150" s="15"/>
      <c r="U1150" s="15"/>
      <c r="V1150" s="15"/>
    </row>
    <row r="1151">
      <c r="A1151" s="2">
        <v>19568.0</v>
      </c>
      <c r="B1151" s="1" t="s">
        <v>170</v>
      </c>
      <c r="C1151" s="2">
        <v>0.08</v>
      </c>
      <c r="D1151" s="2">
        <v>65.99</v>
      </c>
      <c r="E1151" s="2">
        <v>2071.0</v>
      </c>
      <c r="F1151" s="1" t="s">
        <v>1443</v>
      </c>
      <c r="G1151" s="1" t="s">
        <v>32</v>
      </c>
      <c r="H1151" s="1" t="s">
        <v>46</v>
      </c>
      <c r="I1151" s="1" t="s">
        <v>85</v>
      </c>
      <c r="J1151" s="1" t="s">
        <v>879</v>
      </c>
      <c r="K1151" s="19" t="s">
        <v>68</v>
      </c>
      <c r="L1151" s="20" t="s">
        <v>53</v>
      </c>
      <c r="M1151" s="21">
        <f t="shared" si="1"/>
        <v>6</v>
      </c>
      <c r="N1151" s="2">
        <v>183.843</v>
      </c>
      <c r="O1151" s="2">
        <v>20.0</v>
      </c>
      <c r="P1151" s="2">
        <v>1063.81</v>
      </c>
      <c r="Q1151" s="2">
        <v>88558.0</v>
      </c>
      <c r="R1151" s="15" t="b">
        <f>ISNUMBER(MATCH(Q1151,'Returned order'!A:A,0))</f>
        <v>0</v>
      </c>
      <c r="S1151" s="22">
        <v>42140.0</v>
      </c>
      <c r="T1151" s="15"/>
      <c r="U1151" s="15"/>
      <c r="V1151" s="15"/>
    </row>
    <row r="1152">
      <c r="A1152" s="2">
        <v>20500.0</v>
      </c>
      <c r="B1152" s="1" t="s">
        <v>49</v>
      </c>
      <c r="C1152" s="2">
        <v>0.0</v>
      </c>
      <c r="D1152" s="2">
        <v>10.31</v>
      </c>
      <c r="E1152" s="2">
        <v>2072.0</v>
      </c>
      <c r="F1152" s="1" t="s">
        <v>1446</v>
      </c>
      <c r="G1152" s="1" t="s">
        <v>32</v>
      </c>
      <c r="H1152" s="1" t="s">
        <v>23</v>
      </c>
      <c r="I1152" s="1" t="s">
        <v>93</v>
      </c>
      <c r="J1152" s="1" t="s">
        <v>1447</v>
      </c>
      <c r="K1152" s="19" t="s">
        <v>68</v>
      </c>
      <c r="L1152" s="20" t="s">
        <v>61</v>
      </c>
      <c r="M1152" s="21">
        <f t="shared" si="1"/>
        <v>7</v>
      </c>
      <c r="N1152" s="2">
        <v>167.463</v>
      </c>
      <c r="O1152" s="2">
        <v>23.0</v>
      </c>
      <c r="P1152" s="2">
        <v>242.7</v>
      </c>
      <c r="Q1152" s="2">
        <v>88555.0</v>
      </c>
      <c r="R1152" s="15" t="b">
        <f>ISNUMBER(MATCH(Q1152,'Returned order'!A:A,0))</f>
        <v>0</v>
      </c>
      <c r="S1152" s="22">
        <v>42036.0</v>
      </c>
      <c r="T1152" s="15"/>
      <c r="U1152" s="15"/>
      <c r="V1152" s="15"/>
    </row>
    <row r="1153">
      <c r="A1153" s="2">
        <v>20824.0</v>
      </c>
      <c r="B1153" s="1" t="s">
        <v>28</v>
      </c>
      <c r="C1153" s="2">
        <v>0.09</v>
      </c>
      <c r="D1153" s="2">
        <v>260.98</v>
      </c>
      <c r="E1153" s="2">
        <v>2072.0</v>
      </c>
      <c r="F1153" s="1" t="s">
        <v>1446</v>
      </c>
      <c r="G1153" s="1" t="s">
        <v>32</v>
      </c>
      <c r="H1153" s="1" t="s">
        <v>37</v>
      </c>
      <c r="I1153" s="1" t="s">
        <v>55</v>
      </c>
      <c r="J1153" s="1" t="s">
        <v>762</v>
      </c>
      <c r="K1153" s="19" t="s">
        <v>68</v>
      </c>
      <c r="L1153" s="20" t="s">
        <v>35</v>
      </c>
      <c r="M1153" s="21">
        <f t="shared" si="1"/>
        <v>3</v>
      </c>
      <c r="N1153" s="2">
        <v>1307.2692</v>
      </c>
      <c r="O1153" s="2">
        <v>14.0</v>
      </c>
      <c r="P1153" s="2">
        <v>3377.06</v>
      </c>
      <c r="Q1153" s="2">
        <v>88556.0</v>
      </c>
      <c r="R1153" s="15" t="b">
        <f>ISNUMBER(MATCH(Q1153,'Returned order'!A:A,0))</f>
        <v>0</v>
      </c>
      <c r="S1153" s="22">
        <v>42046.0</v>
      </c>
      <c r="T1153" s="15"/>
      <c r="U1153" s="15"/>
      <c r="V1153" s="15"/>
    </row>
    <row r="1154">
      <c r="A1154" s="2">
        <v>20825.0</v>
      </c>
      <c r="B1154" s="1" t="s">
        <v>28</v>
      </c>
      <c r="C1154" s="2">
        <v>0.01</v>
      </c>
      <c r="D1154" s="2">
        <v>10.52</v>
      </c>
      <c r="E1154" s="2">
        <v>2072.0</v>
      </c>
      <c r="F1154" s="1" t="s">
        <v>1446</v>
      </c>
      <c r="G1154" s="1" t="s">
        <v>32</v>
      </c>
      <c r="H1154" s="1" t="s">
        <v>37</v>
      </c>
      <c r="I1154" s="1" t="s">
        <v>42</v>
      </c>
      <c r="J1154" s="1" t="s">
        <v>1448</v>
      </c>
      <c r="K1154" s="19" t="s">
        <v>68</v>
      </c>
      <c r="L1154" s="20" t="s">
        <v>35</v>
      </c>
      <c r="M1154" s="21">
        <f t="shared" si="1"/>
        <v>3</v>
      </c>
      <c r="N1154" s="2">
        <v>-15.8184</v>
      </c>
      <c r="O1154" s="2">
        <v>11.0</v>
      </c>
      <c r="P1154" s="2">
        <v>123.93</v>
      </c>
      <c r="Q1154" s="2">
        <v>88556.0</v>
      </c>
      <c r="R1154" s="15" t="b">
        <f>ISNUMBER(MATCH(Q1154,'Returned order'!A:A,0))</f>
        <v>0</v>
      </c>
      <c r="S1154" s="22">
        <v>42046.0</v>
      </c>
      <c r="T1154" s="15"/>
      <c r="U1154" s="15"/>
      <c r="V1154" s="15"/>
    </row>
    <row r="1155">
      <c r="A1155" s="2">
        <v>20826.0</v>
      </c>
      <c r="B1155" s="1" t="s">
        <v>28</v>
      </c>
      <c r="C1155" s="2">
        <v>0.02</v>
      </c>
      <c r="D1155" s="2">
        <v>5.98</v>
      </c>
      <c r="E1155" s="2">
        <v>2072.0</v>
      </c>
      <c r="F1155" s="1" t="s">
        <v>1446</v>
      </c>
      <c r="G1155" s="1" t="s">
        <v>32</v>
      </c>
      <c r="H1155" s="1" t="s">
        <v>23</v>
      </c>
      <c r="I1155" s="1" t="s">
        <v>93</v>
      </c>
      <c r="J1155" s="1" t="s">
        <v>1449</v>
      </c>
      <c r="K1155" s="19" t="s">
        <v>68</v>
      </c>
      <c r="L1155" s="20" t="s">
        <v>35</v>
      </c>
      <c r="M1155" s="21">
        <f t="shared" si="1"/>
        <v>3</v>
      </c>
      <c r="N1155" s="2">
        <v>-55.8324</v>
      </c>
      <c r="O1155" s="2">
        <v>14.0</v>
      </c>
      <c r="P1155" s="2">
        <v>93.96</v>
      </c>
      <c r="Q1155" s="2">
        <v>88556.0</v>
      </c>
      <c r="R1155" s="15" t="b">
        <f>ISNUMBER(MATCH(Q1155,'Returned order'!A:A,0))</f>
        <v>0</v>
      </c>
      <c r="S1155" s="22">
        <v>42046.0</v>
      </c>
      <c r="T1155" s="15"/>
      <c r="U1155" s="15"/>
      <c r="V1155" s="15"/>
    </row>
    <row r="1156">
      <c r="A1156" s="2">
        <v>24677.0</v>
      </c>
      <c r="B1156" s="1" t="s">
        <v>49</v>
      </c>
      <c r="C1156" s="2">
        <v>0.05</v>
      </c>
      <c r="D1156" s="2">
        <v>291.73</v>
      </c>
      <c r="E1156" s="2">
        <v>2073.0</v>
      </c>
      <c r="F1156" s="1" t="s">
        <v>1450</v>
      </c>
      <c r="G1156" s="1" t="s">
        <v>22</v>
      </c>
      <c r="H1156" s="1" t="s">
        <v>37</v>
      </c>
      <c r="I1156" s="1" t="s">
        <v>38</v>
      </c>
      <c r="J1156" s="1" t="s">
        <v>244</v>
      </c>
      <c r="K1156" s="19" t="s">
        <v>68</v>
      </c>
      <c r="L1156" s="20" t="s">
        <v>57</v>
      </c>
      <c r="M1156" s="21">
        <f t="shared" si="1"/>
        <v>2</v>
      </c>
      <c r="N1156" s="2">
        <v>550.3808</v>
      </c>
      <c r="O1156" s="2">
        <v>6.0</v>
      </c>
      <c r="P1156" s="2">
        <v>1818.41</v>
      </c>
      <c r="Q1156" s="2">
        <v>88557.0</v>
      </c>
      <c r="R1156" s="15" t="b">
        <f>ISNUMBER(MATCH(Q1156,'Returned order'!A:A,0))</f>
        <v>0</v>
      </c>
      <c r="S1156" s="22">
        <v>42101.0</v>
      </c>
      <c r="T1156" s="15"/>
      <c r="U1156" s="15"/>
      <c r="V1156" s="15"/>
    </row>
    <row r="1157">
      <c r="A1157" s="2">
        <v>24094.0</v>
      </c>
      <c r="B1157" s="1" t="s">
        <v>170</v>
      </c>
      <c r="C1157" s="2">
        <v>0.09</v>
      </c>
      <c r="D1157" s="2">
        <v>1.48</v>
      </c>
      <c r="E1157" s="2">
        <v>2081.0</v>
      </c>
      <c r="F1157" s="1" t="s">
        <v>1451</v>
      </c>
      <c r="G1157" s="1" t="s">
        <v>32</v>
      </c>
      <c r="H1157" s="1" t="s">
        <v>23</v>
      </c>
      <c r="I1157" s="1" t="s">
        <v>81</v>
      </c>
      <c r="J1157" s="1" t="s">
        <v>1452</v>
      </c>
      <c r="K1157" s="19" t="s">
        <v>26</v>
      </c>
      <c r="L1157" s="20" t="s">
        <v>53</v>
      </c>
      <c r="M1157" s="21">
        <f t="shared" si="1"/>
        <v>6</v>
      </c>
      <c r="N1157" s="2">
        <v>1.68</v>
      </c>
      <c r="O1157" s="2">
        <v>6.0</v>
      </c>
      <c r="P1157" s="2">
        <v>8.95</v>
      </c>
      <c r="Q1157" s="2">
        <v>86092.0</v>
      </c>
      <c r="R1157" s="15" t="b">
        <f>ISNUMBER(MATCH(Q1157,'Returned order'!A:A,0))</f>
        <v>0</v>
      </c>
      <c r="S1157" s="22">
        <v>42007.0</v>
      </c>
      <c r="T1157" s="15"/>
      <c r="U1157" s="15"/>
      <c r="V1157" s="15"/>
    </row>
    <row r="1158">
      <c r="A1158" s="2">
        <v>21697.0</v>
      </c>
      <c r="B1158" s="1" t="s">
        <v>170</v>
      </c>
      <c r="C1158" s="2">
        <v>0.06</v>
      </c>
      <c r="D1158" s="2">
        <v>38.06</v>
      </c>
      <c r="E1158" s="2">
        <v>2089.0</v>
      </c>
      <c r="F1158" s="1" t="s">
        <v>1453</v>
      </c>
      <c r="G1158" s="1" t="s">
        <v>32</v>
      </c>
      <c r="H1158" s="1" t="s">
        <v>23</v>
      </c>
      <c r="I1158" s="1" t="s">
        <v>151</v>
      </c>
      <c r="J1158" s="1" t="s">
        <v>1454</v>
      </c>
      <c r="K1158" s="19" t="s">
        <v>26</v>
      </c>
      <c r="L1158" s="20" t="s">
        <v>57</v>
      </c>
      <c r="M1158" s="21">
        <f t="shared" si="1"/>
        <v>2</v>
      </c>
      <c r="N1158" s="2">
        <v>450.4596</v>
      </c>
      <c r="O1158" s="2">
        <v>17.0</v>
      </c>
      <c r="P1158" s="2">
        <v>652.84</v>
      </c>
      <c r="Q1158" s="2">
        <v>88348.0</v>
      </c>
      <c r="R1158" s="15" t="b">
        <f>ISNUMBER(MATCH(Q1158,'Returned order'!A:A,0))</f>
        <v>0</v>
      </c>
      <c r="S1158" s="22">
        <v>42185.0</v>
      </c>
      <c r="T1158" s="15"/>
      <c r="U1158" s="15"/>
      <c r="V1158" s="15"/>
    </row>
    <row r="1159">
      <c r="A1159" s="2">
        <v>21698.0</v>
      </c>
      <c r="B1159" s="1" t="s">
        <v>170</v>
      </c>
      <c r="C1159" s="2">
        <v>0.08</v>
      </c>
      <c r="D1159" s="2">
        <v>599.99</v>
      </c>
      <c r="E1159" s="2">
        <v>2089.0</v>
      </c>
      <c r="F1159" s="1" t="s">
        <v>1453</v>
      </c>
      <c r="G1159" s="1" t="s">
        <v>32</v>
      </c>
      <c r="H1159" s="1" t="s">
        <v>46</v>
      </c>
      <c r="I1159" s="1" t="s">
        <v>138</v>
      </c>
      <c r="J1159" s="1" t="s">
        <v>1455</v>
      </c>
      <c r="K1159" s="19" t="s">
        <v>26</v>
      </c>
      <c r="L1159" s="20" t="s">
        <v>57</v>
      </c>
      <c r="M1159" s="21">
        <f t="shared" si="1"/>
        <v>2</v>
      </c>
      <c r="N1159" s="2">
        <v>8798.1831</v>
      </c>
      <c r="O1159" s="2">
        <v>22.0</v>
      </c>
      <c r="P1159" s="2">
        <v>12750.99</v>
      </c>
      <c r="Q1159" s="2">
        <v>88348.0</v>
      </c>
      <c r="R1159" s="15" t="b">
        <f>ISNUMBER(MATCH(Q1159,'Returned order'!A:A,0))</f>
        <v>0</v>
      </c>
      <c r="S1159" s="22">
        <v>42185.0</v>
      </c>
      <c r="T1159" s="15"/>
      <c r="U1159" s="15"/>
      <c r="V1159" s="15"/>
    </row>
    <row r="1160">
      <c r="A1160" s="2">
        <v>21699.0</v>
      </c>
      <c r="B1160" s="1" t="s">
        <v>170</v>
      </c>
      <c r="C1160" s="2">
        <v>0.1</v>
      </c>
      <c r="D1160" s="2">
        <v>3.98</v>
      </c>
      <c r="E1160" s="2">
        <v>2089.0</v>
      </c>
      <c r="F1160" s="1" t="s">
        <v>1453</v>
      </c>
      <c r="G1160" s="1" t="s">
        <v>32</v>
      </c>
      <c r="H1160" s="1" t="s">
        <v>23</v>
      </c>
      <c r="I1160" s="1" t="s">
        <v>93</v>
      </c>
      <c r="J1160" s="1" t="s">
        <v>1456</v>
      </c>
      <c r="K1160" s="19" t="s">
        <v>26</v>
      </c>
      <c r="L1160" s="20" t="s">
        <v>57</v>
      </c>
      <c r="M1160" s="21">
        <f t="shared" si="1"/>
        <v>2</v>
      </c>
      <c r="N1160" s="2">
        <v>-5.385</v>
      </c>
      <c r="O1160" s="2">
        <v>5.0</v>
      </c>
      <c r="P1160" s="2">
        <v>20.54</v>
      </c>
      <c r="Q1160" s="2">
        <v>88348.0</v>
      </c>
      <c r="R1160" s="15" t="b">
        <f>ISNUMBER(MATCH(Q1160,'Returned order'!A:A,0))</f>
        <v>0</v>
      </c>
      <c r="S1160" s="22">
        <v>42185.0</v>
      </c>
      <c r="T1160" s="15"/>
      <c r="U1160" s="15"/>
      <c r="V1160" s="15"/>
    </row>
    <row r="1161">
      <c r="A1161" s="2">
        <v>18696.0</v>
      </c>
      <c r="B1161" s="1" t="s">
        <v>63</v>
      </c>
      <c r="C1161" s="2">
        <v>0.08</v>
      </c>
      <c r="D1161" s="2">
        <v>400.98</v>
      </c>
      <c r="E1161" s="2">
        <v>2094.0</v>
      </c>
      <c r="F1161" s="1" t="s">
        <v>1457</v>
      </c>
      <c r="G1161" s="1" t="s">
        <v>32</v>
      </c>
      <c r="H1161" s="1" t="s">
        <v>37</v>
      </c>
      <c r="I1161" s="1" t="s">
        <v>73</v>
      </c>
      <c r="J1161" s="1" t="s">
        <v>852</v>
      </c>
      <c r="K1161" s="19" t="s">
        <v>34</v>
      </c>
      <c r="L1161" s="20" t="s">
        <v>70</v>
      </c>
      <c r="M1161" s="21">
        <f t="shared" si="1"/>
        <v>4</v>
      </c>
      <c r="N1161" s="2">
        <v>3031.9724</v>
      </c>
      <c r="O1161" s="2">
        <v>20.0</v>
      </c>
      <c r="P1161" s="2">
        <v>7840.04</v>
      </c>
      <c r="Q1161" s="2">
        <v>86629.0</v>
      </c>
      <c r="R1161" s="15" t="b">
        <f>ISNUMBER(MATCH(Q1161,'Returned order'!A:A,0))</f>
        <v>0</v>
      </c>
      <c r="S1161" s="22">
        <v>42040.0</v>
      </c>
      <c r="T1161" s="15"/>
      <c r="U1161" s="15"/>
      <c r="V1161" s="15"/>
    </row>
    <row r="1162">
      <c r="A1162" s="2">
        <v>18417.0</v>
      </c>
      <c r="B1162" s="1" t="s">
        <v>63</v>
      </c>
      <c r="C1162" s="2">
        <v>0.1</v>
      </c>
      <c r="D1162" s="2">
        <v>300.97</v>
      </c>
      <c r="E1162" s="2">
        <v>2097.0</v>
      </c>
      <c r="F1162" s="1" t="s">
        <v>1458</v>
      </c>
      <c r="G1162" s="1" t="s">
        <v>51</v>
      </c>
      <c r="H1162" s="1" t="s">
        <v>46</v>
      </c>
      <c r="I1162" s="1" t="s">
        <v>47</v>
      </c>
      <c r="J1162" s="1" t="s">
        <v>849</v>
      </c>
      <c r="K1162" s="19" t="s">
        <v>229</v>
      </c>
      <c r="L1162" s="20" t="s">
        <v>53</v>
      </c>
      <c r="M1162" s="21">
        <f t="shared" si="1"/>
        <v>6</v>
      </c>
      <c r="N1162" s="2">
        <v>138.018</v>
      </c>
      <c r="O1162" s="2">
        <v>4.0</v>
      </c>
      <c r="P1162" s="2">
        <v>1094.33</v>
      </c>
      <c r="Q1162" s="2">
        <v>87889.0</v>
      </c>
      <c r="R1162" s="15" t="b">
        <f>ISNUMBER(MATCH(Q1162,'Returned order'!A:A,0))</f>
        <v>0</v>
      </c>
      <c r="S1162" s="22">
        <v>42112.0</v>
      </c>
      <c r="T1162" s="15"/>
      <c r="U1162" s="15"/>
      <c r="V1162" s="15"/>
    </row>
    <row r="1163">
      <c r="A1163" s="2">
        <v>18418.0</v>
      </c>
      <c r="B1163" s="1" t="s">
        <v>63</v>
      </c>
      <c r="C1163" s="2">
        <v>0.06</v>
      </c>
      <c r="D1163" s="2">
        <v>39.89</v>
      </c>
      <c r="E1163" s="2">
        <v>2098.0</v>
      </c>
      <c r="F1163" s="1" t="s">
        <v>1459</v>
      </c>
      <c r="G1163" s="1" t="s">
        <v>51</v>
      </c>
      <c r="H1163" s="1" t="s">
        <v>37</v>
      </c>
      <c r="I1163" s="1" t="s">
        <v>42</v>
      </c>
      <c r="J1163" s="1" t="s">
        <v>1460</v>
      </c>
      <c r="K1163" s="19" t="s">
        <v>229</v>
      </c>
      <c r="L1163" s="20" t="s">
        <v>53</v>
      </c>
      <c r="M1163" s="21">
        <f t="shared" si="1"/>
        <v>6</v>
      </c>
      <c r="N1163" s="2">
        <v>38.874</v>
      </c>
      <c r="O1163" s="2">
        <v>10.0</v>
      </c>
      <c r="P1163" s="2">
        <v>389.97</v>
      </c>
      <c r="Q1163" s="2">
        <v>87889.0</v>
      </c>
      <c r="R1163" s="15" t="b">
        <f>ISNUMBER(MATCH(Q1163,'Returned order'!A:A,0))</f>
        <v>0</v>
      </c>
      <c r="S1163" s="22">
        <v>42112.0</v>
      </c>
      <c r="T1163" s="15"/>
      <c r="U1163" s="15"/>
      <c r="V1163" s="15"/>
    </row>
    <row r="1164">
      <c r="A1164" s="2">
        <v>22234.0</v>
      </c>
      <c r="B1164" s="1" t="s">
        <v>49</v>
      </c>
      <c r="C1164" s="2">
        <v>0.07</v>
      </c>
      <c r="D1164" s="2">
        <v>14.56</v>
      </c>
      <c r="E1164" s="2">
        <v>2099.0</v>
      </c>
      <c r="F1164" s="1" t="s">
        <v>1461</v>
      </c>
      <c r="G1164" s="1" t="s">
        <v>51</v>
      </c>
      <c r="H1164" s="1" t="s">
        <v>23</v>
      </c>
      <c r="I1164" s="1" t="s">
        <v>151</v>
      </c>
      <c r="J1164" s="1" t="s">
        <v>730</v>
      </c>
      <c r="K1164" s="19" t="s">
        <v>229</v>
      </c>
      <c r="L1164" s="20" t="s">
        <v>70</v>
      </c>
      <c r="M1164" s="21">
        <f t="shared" si="1"/>
        <v>4</v>
      </c>
      <c r="N1164" s="2">
        <v>-45.528</v>
      </c>
      <c r="O1164" s="2">
        <v>6.0</v>
      </c>
      <c r="P1164" s="2">
        <v>84.59</v>
      </c>
      <c r="Q1164" s="2">
        <v>87888.0</v>
      </c>
      <c r="R1164" s="15" t="b">
        <f>ISNUMBER(MATCH(Q1164,'Returned order'!A:A,0))</f>
        <v>0</v>
      </c>
      <c r="S1164" s="22">
        <v>42012.0</v>
      </c>
      <c r="T1164" s="15"/>
      <c r="U1164" s="15"/>
      <c r="V1164" s="15"/>
    </row>
    <row r="1165">
      <c r="A1165" s="2">
        <v>5501.0</v>
      </c>
      <c r="B1165" s="1" t="s">
        <v>63</v>
      </c>
      <c r="C1165" s="2">
        <v>0.05</v>
      </c>
      <c r="D1165" s="2">
        <v>399.98</v>
      </c>
      <c r="E1165" s="2">
        <v>2107.0</v>
      </c>
      <c r="F1165" s="1" t="s">
        <v>1462</v>
      </c>
      <c r="G1165" s="1" t="s">
        <v>32</v>
      </c>
      <c r="H1165" s="1" t="s">
        <v>46</v>
      </c>
      <c r="I1165" s="1" t="s">
        <v>103</v>
      </c>
      <c r="J1165" s="1" t="s">
        <v>301</v>
      </c>
      <c r="K1165" s="19" t="s">
        <v>68</v>
      </c>
      <c r="L1165" s="20" t="s">
        <v>53</v>
      </c>
      <c r="M1165" s="21">
        <f t="shared" si="1"/>
        <v>6</v>
      </c>
      <c r="N1165" s="2">
        <v>567.59</v>
      </c>
      <c r="O1165" s="2">
        <v>24.0</v>
      </c>
      <c r="P1165" s="2">
        <v>9666.72</v>
      </c>
      <c r="Q1165" s="2">
        <v>39015.0</v>
      </c>
      <c r="R1165" s="15" t="b">
        <f>ISNUMBER(MATCH(Q1165,'Returned order'!A:A,0))</f>
        <v>0</v>
      </c>
      <c r="S1165" s="22">
        <v>42161.0</v>
      </c>
      <c r="T1165" s="15"/>
      <c r="U1165" s="15"/>
      <c r="V1165" s="15"/>
    </row>
    <row r="1166">
      <c r="A1166" s="2">
        <v>5502.0</v>
      </c>
      <c r="B1166" s="1" t="s">
        <v>63</v>
      </c>
      <c r="C1166" s="2">
        <v>0.07</v>
      </c>
      <c r="D1166" s="2">
        <v>6.48</v>
      </c>
      <c r="E1166" s="2">
        <v>2107.0</v>
      </c>
      <c r="F1166" s="1" t="s">
        <v>1462</v>
      </c>
      <c r="G1166" s="1" t="s">
        <v>32</v>
      </c>
      <c r="H1166" s="1" t="s">
        <v>23</v>
      </c>
      <c r="I1166" s="1" t="s">
        <v>93</v>
      </c>
      <c r="J1166" s="1" t="s">
        <v>1463</v>
      </c>
      <c r="K1166" s="19" t="s">
        <v>68</v>
      </c>
      <c r="L1166" s="20" t="s">
        <v>53</v>
      </c>
      <c r="M1166" s="21">
        <f t="shared" si="1"/>
        <v>6</v>
      </c>
      <c r="N1166" s="2">
        <v>-28.45</v>
      </c>
      <c r="O1166" s="2">
        <v>20.0</v>
      </c>
      <c r="P1166" s="2">
        <v>134.58</v>
      </c>
      <c r="Q1166" s="2">
        <v>39015.0</v>
      </c>
      <c r="R1166" s="15" t="b">
        <f>ISNUMBER(MATCH(Q1166,'Returned order'!A:A,0))</f>
        <v>0</v>
      </c>
      <c r="S1166" s="22">
        <v>42161.0</v>
      </c>
      <c r="T1166" s="15"/>
      <c r="U1166" s="15"/>
      <c r="V1166" s="15"/>
    </row>
    <row r="1167">
      <c r="A1167" s="2">
        <v>23502.0</v>
      </c>
      <c r="B1167" s="1" t="s">
        <v>63</v>
      </c>
      <c r="C1167" s="2">
        <v>0.07</v>
      </c>
      <c r="D1167" s="2">
        <v>6.48</v>
      </c>
      <c r="E1167" s="2">
        <v>2108.0</v>
      </c>
      <c r="F1167" s="1" t="s">
        <v>1464</v>
      </c>
      <c r="G1167" s="1" t="s">
        <v>32</v>
      </c>
      <c r="H1167" s="1" t="s">
        <v>23</v>
      </c>
      <c r="I1167" s="1" t="s">
        <v>93</v>
      </c>
      <c r="J1167" s="1" t="s">
        <v>1463</v>
      </c>
      <c r="K1167" s="19" t="s">
        <v>68</v>
      </c>
      <c r="L1167" s="20" t="s">
        <v>53</v>
      </c>
      <c r="M1167" s="21">
        <f t="shared" si="1"/>
        <v>6</v>
      </c>
      <c r="N1167" s="2">
        <v>-14.225</v>
      </c>
      <c r="O1167" s="2">
        <v>5.0</v>
      </c>
      <c r="P1167" s="2">
        <v>33.65</v>
      </c>
      <c r="Q1167" s="2">
        <v>87862.0</v>
      </c>
      <c r="R1167" s="15" t="b">
        <f>ISNUMBER(MATCH(Q1167,'Returned order'!A:A,0))</f>
        <v>0</v>
      </c>
      <c r="S1167" s="22">
        <v>42161.0</v>
      </c>
      <c r="T1167" s="15"/>
      <c r="U1167" s="15"/>
      <c r="V1167" s="15"/>
    </row>
    <row r="1168">
      <c r="A1168" s="2">
        <v>18540.0</v>
      </c>
      <c r="B1168" s="1" t="s">
        <v>58</v>
      </c>
      <c r="C1168" s="2">
        <v>0.08</v>
      </c>
      <c r="D1168" s="2">
        <v>6.68</v>
      </c>
      <c r="E1168" s="2">
        <v>2114.0</v>
      </c>
      <c r="F1168" s="1" t="s">
        <v>1465</v>
      </c>
      <c r="G1168" s="1" t="s">
        <v>32</v>
      </c>
      <c r="H1168" s="1" t="s">
        <v>23</v>
      </c>
      <c r="I1168" s="1" t="s">
        <v>29</v>
      </c>
      <c r="J1168" s="1" t="s">
        <v>1466</v>
      </c>
      <c r="K1168" s="19" t="s">
        <v>229</v>
      </c>
      <c r="L1168" s="20" t="s">
        <v>70</v>
      </c>
      <c r="M1168" s="21">
        <f t="shared" si="1"/>
        <v>4</v>
      </c>
      <c r="N1168" s="2">
        <v>-601.804</v>
      </c>
      <c r="O1168" s="2">
        <v>10.0</v>
      </c>
      <c r="P1168" s="2">
        <v>66.12</v>
      </c>
      <c r="Q1168" s="2">
        <v>88403.0</v>
      </c>
      <c r="R1168" s="15" t="b">
        <f>ISNUMBER(MATCH(Q1168,'Returned order'!A:A,0))</f>
        <v>0</v>
      </c>
      <c r="S1168" s="22">
        <v>42089.0</v>
      </c>
      <c r="T1168" s="15"/>
      <c r="U1168" s="15"/>
      <c r="V1168" s="15"/>
    </row>
    <row r="1169">
      <c r="A1169" s="2">
        <v>18562.0</v>
      </c>
      <c r="B1169" s="1" t="s">
        <v>58</v>
      </c>
      <c r="C1169" s="2">
        <v>0.08</v>
      </c>
      <c r="D1169" s="2">
        <v>2.89</v>
      </c>
      <c r="E1169" s="2">
        <v>2114.0</v>
      </c>
      <c r="F1169" s="1" t="s">
        <v>1465</v>
      </c>
      <c r="G1169" s="1" t="s">
        <v>32</v>
      </c>
      <c r="H1169" s="1" t="s">
        <v>23</v>
      </c>
      <c r="I1169" s="1" t="s">
        <v>130</v>
      </c>
      <c r="J1169" s="1" t="s">
        <v>1467</v>
      </c>
      <c r="K1169" s="19" t="s">
        <v>229</v>
      </c>
      <c r="L1169" s="20" t="s">
        <v>70</v>
      </c>
      <c r="M1169" s="21">
        <f t="shared" si="1"/>
        <v>4</v>
      </c>
      <c r="N1169" s="2">
        <v>38.406</v>
      </c>
      <c r="O1169" s="2">
        <v>1.0</v>
      </c>
      <c r="P1169" s="2">
        <v>3.07</v>
      </c>
      <c r="Q1169" s="2">
        <v>88404.0</v>
      </c>
      <c r="R1169" s="15" t="b">
        <f>ISNUMBER(MATCH(Q1169,'Returned order'!A:A,0))</f>
        <v>0</v>
      </c>
      <c r="S1169" s="22">
        <v>42117.0</v>
      </c>
      <c r="T1169" s="15"/>
      <c r="U1169" s="15"/>
      <c r="V1169" s="15"/>
    </row>
    <row r="1170">
      <c r="A1170" s="2">
        <v>21066.0</v>
      </c>
      <c r="B1170" s="1" t="s">
        <v>58</v>
      </c>
      <c r="C1170" s="2">
        <v>0.07</v>
      </c>
      <c r="D1170" s="2">
        <v>226.67</v>
      </c>
      <c r="E1170" s="2">
        <v>2114.0</v>
      </c>
      <c r="F1170" s="1" t="s">
        <v>1465</v>
      </c>
      <c r="G1170" s="1" t="s">
        <v>32</v>
      </c>
      <c r="H1170" s="1" t="s">
        <v>37</v>
      </c>
      <c r="I1170" s="1" t="s">
        <v>38</v>
      </c>
      <c r="J1170" s="1" t="s">
        <v>1182</v>
      </c>
      <c r="K1170" s="19" t="s">
        <v>229</v>
      </c>
      <c r="L1170" s="20" t="s">
        <v>70</v>
      </c>
      <c r="M1170" s="21">
        <f t="shared" si="1"/>
        <v>4</v>
      </c>
      <c r="N1170" s="2">
        <v>53.1144</v>
      </c>
      <c r="O1170" s="2">
        <v>1.0</v>
      </c>
      <c r="P1170" s="2">
        <v>255.83</v>
      </c>
      <c r="Q1170" s="2">
        <v>88405.0</v>
      </c>
      <c r="R1170" s="15" t="b">
        <f>ISNUMBER(MATCH(Q1170,'Returned order'!A:A,0))</f>
        <v>0</v>
      </c>
      <c r="S1170" s="22">
        <v>42061.0</v>
      </c>
      <c r="T1170" s="15"/>
      <c r="U1170" s="15"/>
      <c r="V1170" s="15"/>
    </row>
    <row r="1171">
      <c r="A1171" s="2">
        <v>21067.0</v>
      </c>
      <c r="B1171" s="1" t="s">
        <v>58</v>
      </c>
      <c r="C1171" s="2">
        <v>0.08</v>
      </c>
      <c r="D1171" s="2">
        <v>20.98</v>
      </c>
      <c r="E1171" s="2">
        <v>2114.0</v>
      </c>
      <c r="F1171" s="1" t="s">
        <v>1465</v>
      </c>
      <c r="G1171" s="1" t="s">
        <v>32</v>
      </c>
      <c r="H1171" s="1" t="s">
        <v>23</v>
      </c>
      <c r="I1171" s="1" t="s">
        <v>120</v>
      </c>
      <c r="J1171" s="1" t="s">
        <v>529</v>
      </c>
      <c r="K1171" s="19" t="s">
        <v>229</v>
      </c>
      <c r="L1171" s="20" t="s">
        <v>70</v>
      </c>
      <c r="M1171" s="21">
        <f t="shared" si="1"/>
        <v>4</v>
      </c>
      <c r="N1171" s="2">
        <v>8.742</v>
      </c>
      <c r="O1171" s="2">
        <v>20.0</v>
      </c>
      <c r="P1171" s="2">
        <v>421.18</v>
      </c>
      <c r="Q1171" s="2">
        <v>88405.0</v>
      </c>
      <c r="R1171" s="15" t="b">
        <f>ISNUMBER(MATCH(Q1171,'Returned order'!A:A,0))</f>
        <v>0</v>
      </c>
      <c r="S1171" s="22">
        <v>42061.0</v>
      </c>
      <c r="T1171" s="15"/>
      <c r="U1171" s="15"/>
      <c r="V1171" s="15"/>
    </row>
    <row r="1172">
      <c r="A1172" s="2">
        <v>21153.0</v>
      </c>
      <c r="B1172" s="1" t="s">
        <v>63</v>
      </c>
      <c r="C1172" s="2">
        <v>0.02</v>
      </c>
      <c r="D1172" s="2">
        <v>95.95</v>
      </c>
      <c r="E1172" s="2">
        <v>2115.0</v>
      </c>
      <c r="F1172" s="1" t="s">
        <v>1468</v>
      </c>
      <c r="G1172" s="1" t="s">
        <v>32</v>
      </c>
      <c r="H1172" s="1" t="s">
        <v>37</v>
      </c>
      <c r="I1172" s="1" t="s">
        <v>38</v>
      </c>
      <c r="J1172" s="1" t="s">
        <v>1469</v>
      </c>
      <c r="K1172" s="19" t="s">
        <v>229</v>
      </c>
      <c r="L1172" s="20" t="s">
        <v>35</v>
      </c>
      <c r="M1172" s="21">
        <f t="shared" si="1"/>
        <v>3</v>
      </c>
      <c r="N1172" s="2">
        <v>636.522</v>
      </c>
      <c r="O1172" s="2">
        <v>14.0</v>
      </c>
      <c r="P1172" s="2">
        <v>1377.46</v>
      </c>
      <c r="Q1172" s="2">
        <v>88406.0</v>
      </c>
      <c r="R1172" s="15" t="b">
        <f>ISNUMBER(MATCH(Q1172,'Returned order'!A:A,0))</f>
        <v>0</v>
      </c>
      <c r="S1172" s="22">
        <v>42123.0</v>
      </c>
      <c r="T1172" s="15"/>
      <c r="U1172" s="15"/>
      <c r="V1172" s="15"/>
    </row>
    <row r="1173">
      <c r="A1173" s="2">
        <v>20249.0</v>
      </c>
      <c r="B1173" s="1" t="s">
        <v>28</v>
      </c>
      <c r="C1173" s="2">
        <v>0.03</v>
      </c>
      <c r="D1173" s="2">
        <v>320.98</v>
      </c>
      <c r="E1173" s="2">
        <v>2117.0</v>
      </c>
      <c r="F1173" s="1" t="s">
        <v>1470</v>
      </c>
      <c r="G1173" s="1" t="s">
        <v>51</v>
      </c>
      <c r="H1173" s="1" t="s">
        <v>37</v>
      </c>
      <c r="I1173" s="1" t="s">
        <v>38</v>
      </c>
      <c r="J1173" s="1" t="s">
        <v>1471</v>
      </c>
      <c r="K1173" s="19" t="s">
        <v>68</v>
      </c>
      <c r="L1173" s="20" t="s">
        <v>27</v>
      </c>
      <c r="M1173" s="21">
        <f t="shared" si="1"/>
        <v>1</v>
      </c>
      <c r="N1173" s="2">
        <v>4554.4347</v>
      </c>
      <c r="O1173" s="2">
        <v>20.0</v>
      </c>
      <c r="P1173" s="2">
        <v>6600.63</v>
      </c>
      <c r="Q1173" s="2">
        <v>90891.0</v>
      </c>
      <c r="R1173" s="15" t="b">
        <f>ISNUMBER(MATCH(Q1173,'Returned order'!A:A,0))</f>
        <v>0</v>
      </c>
      <c r="S1173" s="22">
        <v>42114.0</v>
      </c>
      <c r="T1173" s="15"/>
      <c r="U1173" s="15"/>
      <c r="V1173" s="15"/>
    </row>
    <row r="1174">
      <c r="A1174" s="2">
        <v>20250.0</v>
      </c>
      <c r="B1174" s="1" t="s">
        <v>28</v>
      </c>
      <c r="C1174" s="2">
        <v>0.06</v>
      </c>
      <c r="D1174" s="2">
        <v>125.99</v>
      </c>
      <c r="E1174" s="2">
        <v>2117.0</v>
      </c>
      <c r="F1174" s="1" t="s">
        <v>1470</v>
      </c>
      <c r="G1174" s="1" t="s">
        <v>51</v>
      </c>
      <c r="H1174" s="1" t="s">
        <v>46</v>
      </c>
      <c r="I1174" s="1" t="s">
        <v>85</v>
      </c>
      <c r="J1174" s="1" t="s">
        <v>1472</v>
      </c>
      <c r="K1174" s="19" t="s">
        <v>68</v>
      </c>
      <c r="L1174" s="20" t="s">
        <v>27</v>
      </c>
      <c r="M1174" s="21">
        <f t="shared" si="1"/>
        <v>1</v>
      </c>
      <c r="N1174" s="2">
        <v>618.19308</v>
      </c>
      <c r="O1174" s="2">
        <v>18.0</v>
      </c>
      <c r="P1174" s="2">
        <v>1811.99</v>
      </c>
      <c r="Q1174" s="2">
        <v>90891.0</v>
      </c>
      <c r="R1174" s="15" t="b">
        <f>ISNUMBER(MATCH(Q1174,'Returned order'!A:A,0))</f>
        <v>0</v>
      </c>
      <c r="S1174" s="22">
        <v>42114.0</v>
      </c>
      <c r="T1174" s="15"/>
      <c r="U1174" s="15"/>
      <c r="V1174" s="15"/>
    </row>
    <row r="1175">
      <c r="A1175" s="2">
        <v>22231.0</v>
      </c>
      <c r="B1175" s="1" t="s">
        <v>58</v>
      </c>
      <c r="C1175" s="2">
        <v>0.06</v>
      </c>
      <c r="D1175" s="2">
        <v>80.97</v>
      </c>
      <c r="E1175" s="2">
        <v>2122.0</v>
      </c>
      <c r="F1175" s="1" t="s">
        <v>1473</v>
      </c>
      <c r="G1175" s="1" t="s">
        <v>22</v>
      </c>
      <c r="H1175" s="1" t="s">
        <v>46</v>
      </c>
      <c r="I1175" s="1" t="s">
        <v>103</v>
      </c>
      <c r="J1175" s="1" t="s">
        <v>1474</v>
      </c>
      <c r="K1175" s="19" t="s">
        <v>229</v>
      </c>
      <c r="L1175" s="20" t="s">
        <v>61</v>
      </c>
      <c r="M1175" s="21">
        <f t="shared" si="1"/>
        <v>7</v>
      </c>
      <c r="N1175" s="2">
        <v>-15.1844</v>
      </c>
      <c r="O1175" s="2">
        <v>10.0</v>
      </c>
      <c r="P1175" s="2">
        <v>799.76</v>
      </c>
      <c r="Q1175" s="2">
        <v>89664.0</v>
      </c>
      <c r="R1175" s="15" t="b">
        <f>ISNUMBER(MATCH(Q1175,'Returned order'!A:A,0))</f>
        <v>0</v>
      </c>
      <c r="S1175" s="22">
        <v>42036.0</v>
      </c>
      <c r="T1175" s="15"/>
      <c r="U1175" s="15"/>
      <c r="V1175" s="15"/>
    </row>
    <row r="1176">
      <c r="A1176" s="2">
        <v>24674.0</v>
      </c>
      <c r="B1176" s="1" t="s">
        <v>28</v>
      </c>
      <c r="C1176" s="2">
        <v>0.04</v>
      </c>
      <c r="D1176" s="2">
        <v>45.19</v>
      </c>
      <c r="E1176" s="2">
        <v>2124.0</v>
      </c>
      <c r="F1176" s="1" t="s">
        <v>1475</v>
      </c>
      <c r="G1176" s="1" t="s">
        <v>22</v>
      </c>
      <c r="H1176" s="1" t="s">
        <v>46</v>
      </c>
      <c r="I1176" s="1" t="s">
        <v>47</v>
      </c>
      <c r="J1176" s="1" t="s">
        <v>857</v>
      </c>
      <c r="K1176" s="19" t="s">
        <v>229</v>
      </c>
      <c r="L1176" s="20" t="s">
        <v>70</v>
      </c>
      <c r="M1176" s="21">
        <f t="shared" si="1"/>
        <v>4</v>
      </c>
      <c r="N1176" s="2">
        <v>-61.194</v>
      </c>
      <c r="O1176" s="2">
        <v>13.0</v>
      </c>
      <c r="P1176" s="2">
        <v>609.09</v>
      </c>
      <c r="Q1176" s="2">
        <v>89665.0</v>
      </c>
      <c r="R1176" s="15" t="b">
        <f>ISNUMBER(MATCH(Q1176,'Returned order'!A:A,0))</f>
        <v>0</v>
      </c>
      <c r="S1176" s="22">
        <v>42005.0</v>
      </c>
      <c r="T1176" s="15"/>
      <c r="U1176" s="15"/>
      <c r="V1176" s="15"/>
    </row>
    <row r="1177">
      <c r="A1177" s="2">
        <v>23852.0</v>
      </c>
      <c r="B1177" s="1" t="s">
        <v>28</v>
      </c>
      <c r="C1177" s="2">
        <v>0.03</v>
      </c>
      <c r="D1177" s="2">
        <v>124.49</v>
      </c>
      <c r="E1177" s="2">
        <v>2124.0</v>
      </c>
      <c r="F1177" s="1" t="s">
        <v>1475</v>
      </c>
      <c r="G1177" s="1" t="s">
        <v>32</v>
      </c>
      <c r="H1177" s="1" t="s">
        <v>37</v>
      </c>
      <c r="I1177" s="1" t="s">
        <v>73</v>
      </c>
      <c r="J1177" s="1" t="s">
        <v>432</v>
      </c>
      <c r="K1177" s="19" t="s">
        <v>229</v>
      </c>
      <c r="L1177" s="20" t="s">
        <v>70</v>
      </c>
      <c r="M1177" s="21">
        <f t="shared" si="1"/>
        <v>4</v>
      </c>
      <c r="N1177" s="2">
        <v>18.174</v>
      </c>
      <c r="O1177" s="2">
        <v>21.0</v>
      </c>
      <c r="P1177" s="2">
        <v>2761.94</v>
      </c>
      <c r="Q1177" s="2">
        <v>89666.0</v>
      </c>
      <c r="R1177" s="15" t="b">
        <f>ISNUMBER(MATCH(Q1177,'Returned order'!A:A,0))</f>
        <v>0</v>
      </c>
      <c r="S1177" s="22">
        <v>42089.0</v>
      </c>
      <c r="T1177" s="15"/>
      <c r="U1177" s="15"/>
      <c r="V1177" s="15"/>
    </row>
    <row r="1178">
      <c r="A1178" s="2">
        <v>24091.0</v>
      </c>
      <c r="B1178" s="1" t="s">
        <v>58</v>
      </c>
      <c r="C1178" s="2">
        <v>0.1</v>
      </c>
      <c r="D1178" s="2">
        <v>5.98</v>
      </c>
      <c r="E1178" s="2">
        <v>2127.0</v>
      </c>
      <c r="F1178" s="1" t="s">
        <v>1476</v>
      </c>
      <c r="G1178" s="1" t="s">
        <v>51</v>
      </c>
      <c r="H1178" s="1" t="s">
        <v>23</v>
      </c>
      <c r="I1178" s="1" t="s">
        <v>93</v>
      </c>
      <c r="J1178" s="1" t="s">
        <v>1477</v>
      </c>
      <c r="K1178" s="19" t="s">
        <v>68</v>
      </c>
      <c r="L1178" s="20" t="s">
        <v>35</v>
      </c>
      <c r="M1178" s="21">
        <f t="shared" si="1"/>
        <v>3</v>
      </c>
      <c r="N1178" s="2">
        <v>-49.53</v>
      </c>
      <c r="O1178" s="2">
        <v>6.0</v>
      </c>
      <c r="P1178" s="2">
        <v>33.95</v>
      </c>
      <c r="Q1178" s="2">
        <v>88418.0</v>
      </c>
      <c r="R1178" s="15" t="b">
        <f>ISNUMBER(MATCH(Q1178,'Returned order'!A:A,0))</f>
        <v>0</v>
      </c>
      <c r="S1178" s="22">
        <v>42081.0</v>
      </c>
      <c r="T1178" s="15"/>
      <c r="U1178" s="15"/>
      <c r="V1178" s="15"/>
    </row>
    <row r="1179">
      <c r="A1179" s="2">
        <v>21902.0</v>
      </c>
      <c r="B1179" s="1" t="s">
        <v>28</v>
      </c>
      <c r="C1179" s="2">
        <v>0.09</v>
      </c>
      <c r="D1179" s="2">
        <v>150.98</v>
      </c>
      <c r="E1179" s="2">
        <v>2131.0</v>
      </c>
      <c r="F1179" s="1" t="s">
        <v>1478</v>
      </c>
      <c r="G1179" s="1" t="s">
        <v>51</v>
      </c>
      <c r="H1179" s="1" t="s">
        <v>37</v>
      </c>
      <c r="I1179" s="1" t="s">
        <v>55</v>
      </c>
      <c r="J1179" s="1" t="s">
        <v>1479</v>
      </c>
      <c r="K1179" s="19" t="s">
        <v>68</v>
      </c>
      <c r="L1179" s="20" t="s">
        <v>53</v>
      </c>
      <c r="M1179" s="21">
        <f t="shared" si="1"/>
        <v>6</v>
      </c>
      <c r="N1179" s="2">
        <v>-407.85</v>
      </c>
      <c r="O1179" s="2">
        <v>2.0</v>
      </c>
      <c r="P1179" s="2">
        <v>302.34</v>
      </c>
      <c r="Q1179" s="2">
        <v>90079.0</v>
      </c>
      <c r="R1179" s="15" t="b">
        <f>ISNUMBER(MATCH(Q1179,'Returned order'!A:A,0))</f>
        <v>0</v>
      </c>
      <c r="S1179" s="22">
        <v>42007.0</v>
      </c>
      <c r="T1179" s="15"/>
      <c r="U1179" s="15"/>
      <c r="V1179" s="15"/>
    </row>
    <row r="1180">
      <c r="A1180" s="2">
        <v>21964.0</v>
      </c>
      <c r="B1180" s="1" t="s">
        <v>170</v>
      </c>
      <c r="C1180" s="2">
        <v>0.05</v>
      </c>
      <c r="D1180" s="2">
        <v>30.42</v>
      </c>
      <c r="E1180" s="2">
        <v>2132.0</v>
      </c>
      <c r="F1180" s="1" t="s">
        <v>1480</v>
      </c>
      <c r="G1180" s="1" t="s">
        <v>51</v>
      </c>
      <c r="H1180" s="1" t="s">
        <v>46</v>
      </c>
      <c r="I1180" s="1" t="s">
        <v>47</v>
      </c>
      <c r="J1180" s="1" t="s">
        <v>921</v>
      </c>
      <c r="K1180" s="19" t="s">
        <v>68</v>
      </c>
      <c r="L1180" s="20" t="s">
        <v>53</v>
      </c>
      <c r="M1180" s="21">
        <f t="shared" si="1"/>
        <v>6</v>
      </c>
      <c r="N1180" s="2">
        <v>-191.2576</v>
      </c>
      <c r="O1180" s="2">
        <v>11.0</v>
      </c>
      <c r="P1180" s="2">
        <v>334.44</v>
      </c>
      <c r="Q1180" s="2">
        <v>90078.0</v>
      </c>
      <c r="R1180" s="15" t="b">
        <f>ISNUMBER(MATCH(Q1180,'Returned order'!A:A,0))</f>
        <v>0</v>
      </c>
      <c r="S1180" s="22">
        <v>42014.0</v>
      </c>
      <c r="T1180" s="15"/>
      <c r="U1180" s="15"/>
      <c r="V1180" s="15"/>
    </row>
    <row r="1181">
      <c r="A1181" s="2">
        <v>24348.0</v>
      </c>
      <c r="B1181" s="1" t="s">
        <v>28</v>
      </c>
      <c r="C1181" s="2">
        <v>0.01</v>
      </c>
      <c r="D1181" s="2">
        <v>28.99</v>
      </c>
      <c r="E1181" s="2">
        <v>2135.0</v>
      </c>
      <c r="F1181" s="1" t="s">
        <v>1481</v>
      </c>
      <c r="G1181" s="1" t="s">
        <v>51</v>
      </c>
      <c r="H1181" s="1" t="s">
        <v>46</v>
      </c>
      <c r="I1181" s="1" t="s">
        <v>85</v>
      </c>
      <c r="J1181" s="1" t="s">
        <v>1482</v>
      </c>
      <c r="K1181" s="19" t="s">
        <v>34</v>
      </c>
      <c r="L1181" s="20" t="s">
        <v>76</v>
      </c>
      <c r="M1181" s="21">
        <f t="shared" si="1"/>
        <v>5</v>
      </c>
      <c r="N1181" s="2">
        <v>196.52328</v>
      </c>
      <c r="O1181" s="2">
        <v>21.0</v>
      </c>
      <c r="P1181" s="2">
        <v>556.61</v>
      </c>
      <c r="Q1181" s="2">
        <v>91583.0</v>
      </c>
      <c r="R1181" s="15" t="b">
        <f>ISNUMBER(MATCH(Q1181,'Returned order'!A:A,0))</f>
        <v>0</v>
      </c>
      <c r="S1181" s="22">
        <v>42041.0</v>
      </c>
      <c r="T1181" s="15"/>
      <c r="U1181" s="15"/>
      <c r="V1181" s="15"/>
    </row>
    <row r="1182">
      <c r="A1182" s="2">
        <v>20138.0</v>
      </c>
      <c r="B1182" s="1" t="s">
        <v>49</v>
      </c>
      <c r="C1182" s="2">
        <v>0.0</v>
      </c>
      <c r="D1182" s="2">
        <v>6.98</v>
      </c>
      <c r="E1182" s="2">
        <v>2137.0</v>
      </c>
      <c r="F1182" s="1" t="s">
        <v>1483</v>
      </c>
      <c r="G1182" s="1" t="s">
        <v>32</v>
      </c>
      <c r="H1182" s="1" t="s">
        <v>23</v>
      </c>
      <c r="I1182" s="1" t="s">
        <v>93</v>
      </c>
      <c r="J1182" s="1" t="s">
        <v>765</v>
      </c>
      <c r="K1182" s="19" t="s">
        <v>229</v>
      </c>
      <c r="L1182" s="20" t="s">
        <v>53</v>
      </c>
      <c r="M1182" s="21">
        <f t="shared" si="1"/>
        <v>6</v>
      </c>
      <c r="N1182" s="2">
        <v>-343.868</v>
      </c>
      <c r="O1182" s="2">
        <v>9.0</v>
      </c>
      <c r="P1182" s="2">
        <v>64.48</v>
      </c>
      <c r="Q1182" s="2">
        <v>86002.0</v>
      </c>
      <c r="R1182" s="15" t="b">
        <f>ISNUMBER(MATCH(Q1182,'Returned order'!A:A,0))</f>
        <v>0</v>
      </c>
      <c r="S1182" s="22">
        <v>42035.0</v>
      </c>
      <c r="T1182" s="15"/>
      <c r="U1182" s="15"/>
      <c r="V1182" s="15"/>
    </row>
    <row r="1183">
      <c r="A1183" s="2">
        <v>20712.0</v>
      </c>
      <c r="B1183" s="1" t="s">
        <v>58</v>
      </c>
      <c r="C1183" s="2">
        <v>0.05</v>
      </c>
      <c r="D1183" s="2">
        <v>2550.14</v>
      </c>
      <c r="E1183" s="2">
        <v>2139.0</v>
      </c>
      <c r="F1183" s="1" t="s">
        <v>1484</v>
      </c>
      <c r="G1183" s="1" t="s">
        <v>32</v>
      </c>
      <c r="H1183" s="1" t="s">
        <v>46</v>
      </c>
      <c r="I1183" s="1" t="s">
        <v>103</v>
      </c>
      <c r="J1183" s="1" t="s">
        <v>936</v>
      </c>
      <c r="K1183" s="19" t="s">
        <v>68</v>
      </c>
      <c r="L1183" s="20" t="s">
        <v>70</v>
      </c>
      <c r="M1183" s="21">
        <f t="shared" si="1"/>
        <v>4</v>
      </c>
      <c r="N1183" s="2">
        <v>-3971.0628</v>
      </c>
      <c r="O1183" s="2">
        <v>2.0</v>
      </c>
      <c r="P1183" s="2">
        <v>4845.27</v>
      </c>
      <c r="Q1183" s="2">
        <v>86003.0</v>
      </c>
      <c r="R1183" s="15" t="b">
        <f>ISNUMBER(MATCH(Q1183,'Returned order'!A:A,0))</f>
        <v>0</v>
      </c>
      <c r="S1183" s="22">
        <v>42110.0</v>
      </c>
      <c r="T1183" s="15"/>
      <c r="U1183" s="15"/>
      <c r="V1183" s="15"/>
    </row>
    <row r="1184">
      <c r="A1184" s="2">
        <v>18409.0</v>
      </c>
      <c r="B1184" s="1" t="s">
        <v>28</v>
      </c>
      <c r="C1184" s="2">
        <v>0.01</v>
      </c>
      <c r="D1184" s="2">
        <v>5.44</v>
      </c>
      <c r="E1184" s="2">
        <v>2141.0</v>
      </c>
      <c r="F1184" s="1" t="s">
        <v>1485</v>
      </c>
      <c r="G1184" s="1" t="s">
        <v>51</v>
      </c>
      <c r="H1184" s="1" t="s">
        <v>23</v>
      </c>
      <c r="I1184" s="1" t="s">
        <v>24</v>
      </c>
      <c r="J1184" s="1" t="s">
        <v>903</v>
      </c>
      <c r="K1184" s="19" t="s">
        <v>34</v>
      </c>
      <c r="L1184" s="20" t="s">
        <v>35</v>
      </c>
      <c r="M1184" s="21">
        <f t="shared" si="1"/>
        <v>3</v>
      </c>
      <c r="N1184" s="2">
        <v>-18.4782</v>
      </c>
      <c r="O1184" s="2">
        <v>3.0</v>
      </c>
      <c r="P1184" s="2">
        <v>19.68</v>
      </c>
      <c r="Q1184" s="2">
        <v>87570.0</v>
      </c>
      <c r="R1184" s="15" t="b">
        <f>ISNUMBER(MATCH(Q1184,'Returned order'!A:A,0))</f>
        <v>0</v>
      </c>
      <c r="S1184" s="22">
        <v>42053.0</v>
      </c>
      <c r="T1184" s="15"/>
      <c r="U1184" s="15"/>
      <c r="V1184" s="15"/>
    </row>
    <row r="1185">
      <c r="A1185" s="2">
        <v>18410.0</v>
      </c>
      <c r="B1185" s="1" t="s">
        <v>28</v>
      </c>
      <c r="C1185" s="2">
        <v>0.02</v>
      </c>
      <c r="D1185" s="2">
        <v>549.99</v>
      </c>
      <c r="E1185" s="2">
        <v>2141.0</v>
      </c>
      <c r="F1185" s="1" t="s">
        <v>1485</v>
      </c>
      <c r="G1185" s="1" t="s">
        <v>51</v>
      </c>
      <c r="H1185" s="1" t="s">
        <v>46</v>
      </c>
      <c r="I1185" s="1" t="s">
        <v>138</v>
      </c>
      <c r="J1185" s="1" t="s">
        <v>557</v>
      </c>
      <c r="K1185" s="19" t="s">
        <v>34</v>
      </c>
      <c r="L1185" s="20" t="s">
        <v>35</v>
      </c>
      <c r="M1185" s="21">
        <f t="shared" si="1"/>
        <v>3</v>
      </c>
      <c r="N1185" s="2">
        <v>-381.8412</v>
      </c>
      <c r="O1185" s="2">
        <v>18.0</v>
      </c>
      <c r="P1185" s="2">
        <v>9798.84</v>
      </c>
      <c r="Q1185" s="2">
        <v>87570.0</v>
      </c>
      <c r="R1185" s="15" t="b">
        <f>ISNUMBER(MATCH(Q1185,'Returned order'!A:A,0))</f>
        <v>0</v>
      </c>
      <c r="S1185" s="22">
        <v>42053.0</v>
      </c>
      <c r="T1185" s="15"/>
      <c r="U1185" s="15"/>
      <c r="V1185" s="15"/>
    </row>
    <row r="1186">
      <c r="A1186" s="2">
        <v>18411.0</v>
      </c>
      <c r="B1186" s="1" t="s">
        <v>28</v>
      </c>
      <c r="C1186" s="2">
        <v>0.03</v>
      </c>
      <c r="D1186" s="2">
        <v>22.01</v>
      </c>
      <c r="E1186" s="2">
        <v>2141.0</v>
      </c>
      <c r="F1186" s="1" t="s">
        <v>1485</v>
      </c>
      <c r="G1186" s="1" t="s">
        <v>51</v>
      </c>
      <c r="H1186" s="1" t="s">
        <v>23</v>
      </c>
      <c r="I1186" s="1" t="s">
        <v>29</v>
      </c>
      <c r="J1186" s="1" t="s">
        <v>1486</v>
      </c>
      <c r="K1186" s="19" t="s">
        <v>34</v>
      </c>
      <c r="L1186" s="20" t="s">
        <v>35</v>
      </c>
      <c r="M1186" s="21">
        <f t="shared" si="1"/>
        <v>3</v>
      </c>
      <c r="N1186" s="2">
        <v>12.5504</v>
      </c>
      <c r="O1186" s="2">
        <v>7.0</v>
      </c>
      <c r="P1186" s="2">
        <v>154.11</v>
      </c>
      <c r="Q1186" s="2">
        <v>87570.0</v>
      </c>
      <c r="R1186" s="15" t="b">
        <f>ISNUMBER(MATCH(Q1186,'Returned order'!A:A,0))</f>
        <v>0</v>
      </c>
      <c r="S1186" s="22">
        <v>42053.0</v>
      </c>
      <c r="T1186" s="15"/>
      <c r="U1186" s="15"/>
      <c r="V1186" s="15"/>
    </row>
    <row r="1187">
      <c r="A1187" s="2">
        <v>18412.0</v>
      </c>
      <c r="B1187" s="1" t="s">
        <v>28</v>
      </c>
      <c r="C1187" s="2">
        <v>0.09</v>
      </c>
      <c r="D1187" s="2">
        <v>34.76</v>
      </c>
      <c r="E1187" s="2">
        <v>2141.0</v>
      </c>
      <c r="F1187" s="1" t="s">
        <v>1485</v>
      </c>
      <c r="G1187" s="1" t="s">
        <v>51</v>
      </c>
      <c r="H1187" s="1" t="s">
        <v>23</v>
      </c>
      <c r="I1187" s="1" t="s">
        <v>120</v>
      </c>
      <c r="J1187" s="1" t="s">
        <v>1487</v>
      </c>
      <c r="K1187" s="19" t="s">
        <v>34</v>
      </c>
      <c r="L1187" s="20" t="s">
        <v>35</v>
      </c>
      <c r="M1187" s="21">
        <f t="shared" si="1"/>
        <v>3</v>
      </c>
      <c r="N1187" s="2">
        <v>45.3324</v>
      </c>
      <c r="O1187" s="2">
        <v>7.0</v>
      </c>
      <c r="P1187" s="2">
        <v>242.97</v>
      </c>
      <c r="Q1187" s="2">
        <v>87570.0</v>
      </c>
      <c r="R1187" s="15" t="b">
        <f>ISNUMBER(MATCH(Q1187,'Returned order'!A:A,0))</f>
        <v>0</v>
      </c>
      <c r="S1187" s="22">
        <v>42053.0</v>
      </c>
      <c r="T1187" s="15"/>
      <c r="U1187" s="15"/>
      <c r="V1187" s="15"/>
    </row>
    <row r="1188">
      <c r="A1188" s="2">
        <v>23249.0</v>
      </c>
      <c r="B1188" s="1" t="s">
        <v>28</v>
      </c>
      <c r="C1188" s="2">
        <v>0.08</v>
      </c>
      <c r="D1188" s="2">
        <v>17.15</v>
      </c>
      <c r="E1188" s="2">
        <v>2143.0</v>
      </c>
      <c r="F1188" s="1" t="s">
        <v>1488</v>
      </c>
      <c r="G1188" s="1" t="s">
        <v>51</v>
      </c>
      <c r="H1188" s="1" t="s">
        <v>23</v>
      </c>
      <c r="I1188" s="1" t="s">
        <v>120</v>
      </c>
      <c r="J1188" s="1" t="s">
        <v>520</v>
      </c>
      <c r="K1188" s="19" t="s">
        <v>229</v>
      </c>
      <c r="L1188" s="20" t="s">
        <v>53</v>
      </c>
      <c r="M1188" s="21">
        <f t="shared" si="1"/>
        <v>6</v>
      </c>
      <c r="N1188" s="2">
        <v>33.66</v>
      </c>
      <c r="O1188" s="2">
        <v>12.0</v>
      </c>
      <c r="P1188" s="2">
        <v>200.61</v>
      </c>
      <c r="Q1188" s="2">
        <v>87569.0</v>
      </c>
      <c r="R1188" s="15" t="b">
        <f>ISNUMBER(MATCH(Q1188,'Returned order'!A:A,0))</f>
        <v>0</v>
      </c>
      <c r="S1188" s="22">
        <v>42168.0</v>
      </c>
      <c r="T1188" s="15"/>
      <c r="U1188" s="15"/>
      <c r="V1188" s="15"/>
    </row>
    <row r="1189">
      <c r="A1189" s="2">
        <v>24264.0</v>
      </c>
      <c r="B1189" s="1" t="s">
        <v>63</v>
      </c>
      <c r="C1189" s="2">
        <v>0.0</v>
      </c>
      <c r="D1189" s="2">
        <v>20.28</v>
      </c>
      <c r="E1189" s="2">
        <v>2145.0</v>
      </c>
      <c r="F1189" s="1" t="s">
        <v>1489</v>
      </c>
      <c r="G1189" s="1" t="s">
        <v>32</v>
      </c>
      <c r="H1189" s="1" t="s">
        <v>37</v>
      </c>
      <c r="I1189" s="1" t="s">
        <v>42</v>
      </c>
      <c r="J1189" s="1" t="s">
        <v>1391</v>
      </c>
      <c r="K1189" s="19" t="s">
        <v>229</v>
      </c>
      <c r="L1189" s="20" t="s">
        <v>57</v>
      </c>
      <c r="M1189" s="21">
        <f t="shared" si="1"/>
        <v>2</v>
      </c>
      <c r="N1189" s="2">
        <v>15.678</v>
      </c>
      <c r="O1189" s="2">
        <v>11.0</v>
      </c>
      <c r="P1189" s="2">
        <v>237.83</v>
      </c>
      <c r="Q1189" s="2">
        <v>87072.0</v>
      </c>
      <c r="R1189" s="15" t="b">
        <f>ISNUMBER(MATCH(Q1189,'Returned order'!A:A,0))</f>
        <v>0</v>
      </c>
      <c r="S1189" s="22">
        <v>42045.0</v>
      </c>
      <c r="T1189" s="15"/>
      <c r="U1189" s="15"/>
      <c r="V1189" s="15"/>
    </row>
    <row r="1190">
      <c r="A1190" s="2">
        <v>23795.0</v>
      </c>
      <c r="B1190" s="1" t="s">
        <v>170</v>
      </c>
      <c r="C1190" s="2">
        <v>0.05</v>
      </c>
      <c r="D1190" s="2">
        <v>20.34</v>
      </c>
      <c r="E1190" s="2">
        <v>2146.0</v>
      </c>
      <c r="F1190" s="1" t="s">
        <v>1490</v>
      </c>
      <c r="G1190" s="1" t="s">
        <v>32</v>
      </c>
      <c r="H1190" s="1" t="s">
        <v>23</v>
      </c>
      <c r="I1190" s="1" t="s">
        <v>120</v>
      </c>
      <c r="J1190" s="1" t="s">
        <v>121</v>
      </c>
      <c r="K1190" s="19" t="s">
        <v>229</v>
      </c>
      <c r="L1190" s="20" t="s">
        <v>57</v>
      </c>
      <c r="M1190" s="21">
        <f t="shared" si="1"/>
        <v>2</v>
      </c>
      <c r="N1190" s="2">
        <v>52.776</v>
      </c>
      <c r="O1190" s="2">
        <v>2.0</v>
      </c>
      <c r="P1190" s="2">
        <v>53.02</v>
      </c>
      <c r="Q1190" s="2">
        <v>87071.0</v>
      </c>
      <c r="R1190" s="15" t="b">
        <f>ISNUMBER(MATCH(Q1190,'Returned order'!A:A,0))</f>
        <v>0</v>
      </c>
      <c r="S1190" s="22">
        <v>42010.0</v>
      </c>
      <c r="T1190" s="15"/>
      <c r="U1190" s="15"/>
      <c r="V1190" s="15"/>
    </row>
    <row r="1191">
      <c r="A1191" s="2">
        <v>22555.0</v>
      </c>
      <c r="B1191" s="1" t="s">
        <v>49</v>
      </c>
      <c r="C1191" s="2">
        <v>0.08</v>
      </c>
      <c r="D1191" s="2">
        <v>243.98</v>
      </c>
      <c r="E1191" s="2">
        <v>2151.0</v>
      </c>
      <c r="F1191" s="1" t="s">
        <v>1491</v>
      </c>
      <c r="G1191" s="1" t="s">
        <v>32</v>
      </c>
      <c r="H1191" s="1" t="s">
        <v>37</v>
      </c>
      <c r="I1191" s="1" t="s">
        <v>38</v>
      </c>
      <c r="J1191" s="1" t="s">
        <v>1492</v>
      </c>
      <c r="K1191" s="19" t="s">
        <v>68</v>
      </c>
      <c r="L1191" s="20" t="s">
        <v>27</v>
      </c>
      <c r="M1191" s="21">
        <f t="shared" si="1"/>
        <v>1</v>
      </c>
      <c r="N1191" s="2">
        <v>-162.8244</v>
      </c>
      <c r="O1191" s="2">
        <v>1.0</v>
      </c>
      <c r="P1191" s="2">
        <v>248.84</v>
      </c>
      <c r="Q1191" s="2">
        <v>90404.0</v>
      </c>
      <c r="R1191" s="15" t="b">
        <f>ISNUMBER(MATCH(Q1191,'Returned order'!A:A,0))</f>
        <v>0</v>
      </c>
      <c r="S1191" s="22">
        <v>42009.0</v>
      </c>
      <c r="T1191" s="15"/>
      <c r="U1191" s="15"/>
      <c r="V1191" s="15"/>
    </row>
    <row r="1192">
      <c r="A1192" s="2">
        <v>24791.0</v>
      </c>
      <c r="B1192" s="1" t="s">
        <v>28</v>
      </c>
      <c r="C1192" s="2">
        <v>0.08</v>
      </c>
      <c r="D1192" s="2">
        <v>5.74</v>
      </c>
      <c r="E1192" s="2">
        <v>2151.0</v>
      </c>
      <c r="F1192" s="1" t="s">
        <v>1491</v>
      </c>
      <c r="G1192" s="1" t="s">
        <v>32</v>
      </c>
      <c r="H1192" s="1" t="s">
        <v>23</v>
      </c>
      <c r="I1192" s="1" t="s">
        <v>24</v>
      </c>
      <c r="J1192" s="1" t="s">
        <v>1493</v>
      </c>
      <c r="K1192" s="19" t="s">
        <v>68</v>
      </c>
      <c r="L1192" s="20" t="s">
        <v>27</v>
      </c>
      <c r="M1192" s="21">
        <f t="shared" si="1"/>
        <v>1</v>
      </c>
      <c r="N1192" s="2">
        <v>-6.93082</v>
      </c>
      <c r="O1192" s="2">
        <v>1.0</v>
      </c>
      <c r="P1192" s="2">
        <v>7.21</v>
      </c>
      <c r="Q1192" s="2">
        <v>90405.0</v>
      </c>
      <c r="R1192" s="15" t="b">
        <f>ISNUMBER(MATCH(Q1192,'Returned order'!A:A,0))</f>
        <v>0</v>
      </c>
      <c r="S1192" s="22">
        <v>42044.0</v>
      </c>
      <c r="T1192" s="15"/>
      <c r="U1192" s="15"/>
      <c r="V1192" s="15"/>
    </row>
    <row r="1193">
      <c r="A1193" s="2">
        <v>21834.0</v>
      </c>
      <c r="B1193" s="1" t="s">
        <v>170</v>
      </c>
      <c r="C1193" s="2">
        <v>0.05</v>
      </c>
      <c r="D1193" s="2">
        <v>55.5</v>
      </c>
      <c r="E1193" s="2">
        <v>2157.0</v>
      </c>
      <c r="F1193" s="1" t="s">
        <v>1494</v>
      </c>
      <c r="G1193" s="1" t="s">
        <v>51</v>
      </c>
      <c r="H1193" s="1" t="s">
        <v>37</v>
      </c>
      <c r="I1193" s="1" t="s">
        <v>42</v>
      </c>
      <c r="J1193" s="1" t="s">
        <v>1495</v>
      </c>
      <c r="K1193" s="19" t="s">
        <v>68</v>
      </c>
      <c r="L1193" s="20" t="s">
        <v>27</v>
      </c>
      <c r="M1193" s="21">
        <f t="shared" si="1"/>
        <v>1</v>
      </c>
      <c r="N1193" s="2">
        <v>-118.54</v>
      </c>
      <c r="O1193" s="2">
        <v>4.0</v>
      </c>
      <c r="P1193" s="2">
        <v>253.87</v>
      </c>
      <c r="Q1193" s="2">
        <v>90385.0</v>
      </c>
      <c r="R1193" s="15" t="b">
        <f>ISNUMBER(MATCH(Q1193,'Returned order'!A:A,0))</f>
        <v>0</v>
      </c>
      <c r="S1193" s="22">
        <v>42079.0</v>
      </c>
      <c r="T1193" s="15"/>
      <c r="U1193" s="15"/>
      <c r="V1193" s="15"/>
    </row>
    <row r="1194">
      <c r="A1194" s="2">
        <v>21835.0</v>
      </c>
      <c r="B1194" s="1" t="s">
        <v>170</v>
      </c>
      <c r="C1194" s="2">
        <v>0.05</v>
      </c>
      <c r="D1194" s="2">
        <v>442.14</v>
      </c>
      <c r="E1194" s="2">
        <v>2157.0</v>
      </c>
      <c r="F1194" s="1" t="s">
        <v>1494</v>
      </c>
      <c r="G1194" s="1" t="s">
        <v>51</v>
      </c>
      <c r="H1194" s="1" t="s">
        <v>46</v>
      </c>
      <c r="I1194" s="1" t="s">
        <v>103</v>
      </c>
      <c r="J1194" s="1" t="s">
        <v>345</v>
      </c>
      <c r="K1194" s="19" t="s">
        <v>68</v>
      </c>
      <c r="L1194" s="20" t="s">
        <v>27</v>
      </c>
      <c r="M1194" s="21">
        <f t="shared" si="1"/>
        <v>1</v>
      </c>
      <c r="N1194" s="2">
        <v>2963.48</v>
      </c>
      <c r="O1194" s="2">
        <v>14.0</v>
      </c>
      <c r="P1194" s="2">
        <v>5880.46</v>
      </c>
      <c r="Q1194" s="2">
        <v>90385.0</v>
      </c>
      <c r="R1194" s="15" t="b">
        <f>ISNUMBER(MATCH(Q1194,'Returned order'!A:A,0))</f>
        <v>0</v>
      </c>
      <c r="S1194" s="22">
        <v>42079.0</v>
      </c>
      <c r="T1194" s="15"/>
      <c r="U1194" s="15"/>
      <c r="V1194" s="15"/>
    </row>
    <row r="1195">
      <c r="A1195" s="2">
        <v>21975.0</v>
      </c>
      <c r="B1195" s="1" t="s">
        <v>28</v>
      </c>
      <c r="C1195" s="2">
        <v>0.07</v>
      </c>
      <c r="D1195" s="2">
        <v>30.93</v>
      </c>
      <c r="E1195" s="2">
        <v>2157.0</v>
      </c>
      <c r="F1195" s="1" t="s">
        <v>1494</v>
      </c>
      <c r="G1195" s="1" t="s">
        <v>51</v>
      </c>
      <c r="H1195" s="1" t="s">
        <v>37</v>
      </c>
      <c r="I1195" s="1" t="s">
        <v>42</v>
      </c>
      <c r="J1195" s="1" t="s">
        <v>1283</v>
      </c>
      <c r="K1195" s="19" t="s">
        <v>68</v>
      </c>
      <c r="L1195" s="20" t="s">
        <v>61</v>
      </c>
      <c r="M1195" s="21">
        <f t="shared" si="1"/>
        <v>7</v>
      </c>
      <c r="N1195" s="2">
        <v>398.3025</v>
      </c>
      <c r="O1195" s="2">
        <v>19.0</v>
      </c>
      <c r="P1195" s="2">
        <v>577.25</v>
      </c>
      <c r="Q1195" s="2">
        <v>90386.0</v>
      </c>
      <c r="R1195" s="15" t="b">
        <f>ISNUMBER(MATCH(Q1195,'Returned order'!A:A,0))</f>
        <v>0</v>
      </c>
      <c r="S1195" s="22">
        <v>42127.0</v>
      </c>
      <c r="T1195" s="15"/>
      <c r="U1195" s="15"/>
      <c r="V1195" s="15"/>
    </row>
    <row r="1196">
      <c r="A1196" s="2">
        <v>21976.0</v>
      </c>
      <c r="B1196" s="1" t="s">
        <v>28</v>
      </c>
      <c r="C1196" s="2">
        <v>0.05</v>
      </c>
      <c r="D1196" s="2">
        <v>297.48</v>
      </c>
      <c r="E1196" s="2">
        <v>2157.0</v>
      </c>
      <c r="F1196" s="1" t="s">
        <v>1494</v>
      </c>
      <c r="G1196" s="1" t="s">
        <v>51</v>
      </c>
      <c r="H1196" s="1" t="s">
        <v>46</v>
      </c>
      <c r="I1196" s="1" t="s">
        <v>103</v>
      </c>
      <c r="J1196" s="1" t="s">
        <v>499</v>
      </c>
      <c r="K1196" s="19" t="s">
        <v>68</v>
      </c>
      <c r="L1196" s="20" t="s">
        <v>61</v>
      </c>
      <c r="M1196" s="21">
        <f t="shared" si="1"/>
        <v>7</v>
      </c>
      <c r="N1196" s="2">
        <v>709.852</v>
      </c>
      <c r="O1196" s="2">
        <v>14.0</v>
      </c>
      <c r="P1196" s="2">
        <v>4075.18</v>
      </c>
      <c r="Q1196" s="2">
        <v>90386.0</v>
      </c>
      <c r="R1196" s="15" t="b">
        <f>ISNUMBER(MATCH(Q1196,'Returned order'!A:A,0))</f>
        <v>0</v>
      </c>
      <c r="S1196" s="22">
        <v>42127.0</v>
      </c>
      <c r="T1196" s="15"/>
      <c r="U1196" s="15"/>
      <c r="V1196" s="15"/>
    </row>
    <row r="1197">
      <c r="A1197" s="2">
        <v>21977.0</v>
      </c>
      <c r="B1197" s="1" t="s">
        <v>28</v>
      </c>
      <c r="C1197" s="2">
        <v>0.07</v>
      </c>
      <c r="D1197" s="2">
        <v>296.18</v>
      </c>
      <c r="E1197" s="2">
        <v>2157.0</v>
      </c>
      <c r="F1197" s="1" t="s">
        <v>1494</v>
      </c>
      <c r="G1197" s="1" t="s">
        <v>51</v>
      </c>
      <c r="H1197" s="1" t="s">
        <v>37</v>
      </c>
      <c r="I1197" s="1" t="s">
        <v>73</v>
      </c>
      <c r="J1197" s="1" t="s">
        <v>248</v>
      </c>
      <c r="K1197" s="19" t="s">
        <v>68</v>
      </c>
      <c r="L1197" s="20" t="s">
        <v>61</v>
      </c>
      <c r="M1197" s="21">
        <f t="shared" si="1"/>
        <v>7</v>
      </c>
      <c r="N1197" s="2">
        <v>80.8092</v>
      </c>
      <c r="O1197" s="2">
        <v>6.0</v>
      </c>
      <c r="P1197" s="2">
        <v>1798.23</v>
      </c>
      <c r="Q1197" s="2">
        <v>90386.0</v>
      </c>
      <c r="R1197" s="15" t="b">
        <f>ISNUMBER(MATCH(Q1197,'Returned order'!A:A,0))</f>
        <v>0</v>
      </c>
      <c r="S1197" s="22">
        <v>42127.0</v>
      </c>
      <c r="T1197" s="15"/>
      <c r="U1197" s="15"/>
      <c r="V1197" s="15"/>
    </row>
    <row r="1198">
      <c r="A1198" s="2">
        <v>23775.0</v>
      </c>
      <c r="B1198" s="1" t="s">
        <v>63</v>
      </c>
      <c r="C1198" s="2">
        <v>0.08</v>
      </c>
      <c r="D1198" s="2">
        <v>30.98</v>
      </c>
      <c r="E1198" s="2">
        <v>2159.0</v>
      </c>
      <c r="F1198" s="1" t="s">
        <v>1496</v>
      </c>
      <c r="G1198" s="1" t="s">
        <v>32</v>
      </c>
      <c r="H1198" s="1" t="s">
        <v>23</v>
      </c>
      <c r="I1198" s="1" t="s">
        <v>93</v>
      </c>
      <c r="J1198" s="1" t="s">
        <v>1497</v>
      </c>
      <c r="K1198" s="19" t="s">
        <v>68</v>
      </c>
      <c r="L1198" s="20" t="s">
        <v>35</v>
      </c>
      <c r="M1198" s="21">
        <f t="shared" si="1"/>
        <v>3</v>
      </c>
      <c r="N1198" s="2">
        <v>371.272</v>
      </c>
      <c r="O1198" s="2">
        <v>25.0</v>
      </c>
      <c r="P1198" s="2">
        <v>727.2</v>
      </c>
      <c r="Q1198" s="2">
        <v>90387.0</v>
      </c>
      <c r="R1198" s="15" t="b">
        <f>ISNUMBER(MATCH(Q1198,'Returned order'!A:A,0))</f>
        <v>0</v>
      </c>
      <c r="S1198" s="22">
        <v>42144.0</v>
      </c>
      <c r="T1198" s="15"/>
      <c r="U1198" s="15"/>
      <c r="V1198" s="15"/>
    </row>
    <row r="1199">
      <c r="A1199" s="2">
        <v>23773.0</v>
      </c>
      <c r="B1199" s="1" t="s">
        <v>63</v>
      </c>
      <c r="C1199" s="2">
        <v>0.09</v>
      </c>
      <c r="D1199" s="2">
        <v>159.31</v>
      </c>
      <c r="E1199" s="2">
        <v>2162.0</v>
      </c>
      <c r="F1199" s="1" t="s">
        <v>1498</v>
      </c>
      <c r="G1199" s="1" t="s">
        <v>32</v>
      </c>
      <c r="H1199" s="1" t="s">
        <v>37</v>
      </c>
      <c r="I1199" s="1" t="s">
        <v>73</v>
      </c>
      <c r="J1199" s="1" t="s">
        <v>1499</v>
      </c>
      <c r="K1199" s="19" t="s">
        <v>26</v>
      </c>
      <c r="L1199" s="20" t="s">
        <v>35</v>
      </c>
      <c r="M1199" s="21">
        <f t="shared" si="1"/>
        <v>3</v>
      </c>
      <c r="N1199" s="2">
        <v>77.0008954</v>
      </c>
      <c r="O1199" s="2">
        <v>41.0</v>
      </c>
      <c r="P1199" s="2">
        <v>6173.42</v>
      </c>
      <c r="Q1199" s="2">
        <v>90387.0</v>
      </c>
      <c r="R1199" s="15" t="b">
        <f>ISNUMBER(MATCH(Q1199,'Returned order'!A:A,0))</f>
        <v>0</v>
      </c>
      <c r="S1199" s="22">
        <v>42144.0</v>
      </c>
      <c r="T1199" s="15"/>
      <c r="U1199" s="15"/>
      <c r="V1199" s="15"/>
    </row>
    <row r="1200">
      <c r="A1200" s="2">
        <v>23774.0</v>
      </c>
      <c r="B1200" s="1" t="s">
        <v>63</v>
      </c>
      <c r="C1200" s="2">
        <v>0.06</v>
      </c>
      <c r="D1200" s="2">
        <v>55.99</v>
      </c>
      <c r="E1200" s="2">
        <v>2162.0</v>
      </c>
      <c r="F1200" s="1" t="s">
        <v>1498</v>
      </c>
      <c r="G1200" s="1" t="s">
        <v>32</v>
      </c>
      <c r="H1200" s="1" t="s">
        <v>46</v>
      </c>
      <c r="I1200" s="1" t="s">
        <v>85</v>
      </c>
      <c r="J1200" s="1" t="s">
        <v>384</v>
      </c>
      <c r="K1200" s="19" t="s">
        <v>26</v>
      </c>
      <c r="L1200" s="20" t="s">
        <v>35</v>
      </c>
      <c r="M1200" s="21">
        <f t="shared" si="1"/>
        <v>3</v>
      </c>
      <c r="N1200" s="2">
        <v>27.9686</v>
      </c>
      <c r="O1200" s="2">
        <v>33.0</v>
      </c>
      <c r="P1200" s="2">
        <v>1553.7</v>
      </c>
      <c r="Q1200" s="2">
        <v>90387.0</v>
      </c>
      <c r="R1200" s="15" t="b">
        <f>ISNUMBER(MATCH(Q1200,'Returned order'!A:A,0))</f>
        <v>0</v>
      </c>
      <c r="S1200" s="22">
        <v>42144.0</v>
      </c>
      <c r="T1200" s="15"/>
      <c r="U1200" s="15"/>
      <c r="V1200" s="15"/>
    </row>
    <row r="1201">
      <c r="A1201" s="2">
        <v>22450.0</v>
      </c>
      <c r="B1201" s="1" t="s">
        <v>49</v>
      </c>
      <c r="C1201" s="2">
        <v>0.01</v>
      </c>
      <c r="D1201" s="2">
        <v>5.38</v>
      </c>
      <c r="E1201" s="2">
        <v>2164.0</v>
      </c>
      <c r="F1201" s="1" t="s">
        <v>1500</v>
      </c>
      <c r="G1201" s="1" t="s">
        <v>66</v>
      </c>
      <c r="H1201" s="1" t="s">
        <v>23</v>
      </c>
      <c r="I1201" s="1" t="s">
        <v>24</v>
      </c>
      <c r="J1201" s="1" t="s">
        <v>1501</v>
      </c>
      <c r="K1201" s="19" t="s">
        <v>34</v>
      </c>
      <c r="L1201" s="20" t="s">
        <v>76</v>
      </c>
      <c r="M1201" s="21">
        <f t="shared" si="1"/>
        <v>5</v>
      </c>
      <c r="N1201" s="2">
        <v>-66.77958</v>
      </c>
      <c r="O1201" s="2">
        <v>3.0</v>
      </c>
      <c r="P1201" s="2">
        <v>18.68</v>
      </c>
      <c r="Q1201" s="2">
        <v>88794.0</v>
      </c>
      <c r="R1201" s="15" t="b">
        <f>ISNUMBER(MATCH(Q1201,'Returned order'!A:A,0))</f>
        <v>0</v>
      </c>
      <c r="S1201" s="22">
        <v>42013.0</v>
      </c>
      <c r="T1201" s="15"/>
      <c r="U1201" s="15"/>
      <c r="V1201" s="15"/>
    </row>
    <row r="1202">
      <c r="A1202" s="2">
        <v>22451.0</v>
      </c>
      <c r="B1202" s="1" t="s">
        <v>49</v>
      </c>
      <c r="C1202" s="2">
        <v>0.05</v>
      </c>
      <c r="D1202" s="2">
        <v>3.28</v>
      </c>
      <c r="E1202" s="2">
        <v>2164.0</v>
      </c>
      <c r="F1202" s="1" t="s">
        <v>1500</v>
      </c>
      <c r="G1202" s="1" t="s">
        <v>66</v>
      </c>
      <c r="H1202" s="1" t="s">
        <v>23</v>
      </c>
      <c r="I1202" s="1" t="s">
        <v>29</v>
      </c>
      <c r="J1202" s="1" t="s">
        <v>799</v>
      </c>
      <c r="K1202" s="19" t="s">
        <v>34</v>
      </c>
      <c r="L1202" s="20" t="s">
        <v>76</v>
      </c>
      <c r="M1202" s="21">
        <f t="shared" si="1"/>
        <v>5</v>
      </c>
      <c r="N1202" s="2">
        <v>-144.9188</v>
      </c>
      <c r="O1202" s="2">
        <v>11.0</v>
      </c>
      <c r="P1202" s="2">
        <v>36.3</v>
      </c>
      <c r="Q1202" s="2">
        <v>88794.0</v>
      </c>
      <c r="R1202" s="15" t="b">
        <f>ISNUMBER(MATCH(Q1202,'Returned order'!A:A,0))</f>
        <v>0</v>
      </c>
      <c r="S1202" s="22">
        <v>42013.0</v>
      </c>
      <c r="T1202" s="15"/>
      <c r="U1202" s="15"/>
      <c r="V1202" s="15"/>
    </row>
    <row r="1203">
      <c r="A1203" s="2">
        <v>22449.0</v>
      </c>
      <c r="B1203" s="1" t="s">
        <v>49</v>
      </c>
      <c r="C1203" s="2">
        <v>0.09</v>
      </c>
      <c r="D1203" s="2">
        <v>2.78</v>
      </c>
      <c r="E1203" s="2">
        <v>2165.0</v>
      </c>
      <c r="F1203" s="1" t="s">
        <v>1502</v>
      </c>
      <c r="G1203" s="1" t="s">
        <v>66</v>
      </c>
      <c r="H1203" s="1" t="s">
        <v>23</v>
      </c>
      <c r="I1203" s="1" t="s">
        <v>29</v>
      </c>
      <c r="J1203" s="1" t="s">
        <v>1503</v>
      </c>
      <c r="K1203" s="19" t="s">
        <v>26</v>
      </c>
      <c r="L1203" s="20" t="s">
        <v>76</v>
      </c>
      <c r="M1203" s="21">
        <f t="shared" si="1"/>
        <v>5</v>
      </c>
      <c r="N1203" s="2">
        <v>-5.0716</v>
      </c>
      <c r="O1203" s="2">
        <v>6.0</v>
      </c>
      <c r="P1203" s="2">
        <v>16.03</v>
      </c>
      <c r="Q1203" s="2">
        <v>88794.0</v>
      </c>
      <c r="R1203" s="15" t="b">
        <f>ISNUMBER(MATCH(Q1203,'Returned order'!A:A,0))</f>
        <v>0</v>
      </c>
      <c r="S1203" s="22">
        <v>42013.0</v>
      </c>
      <c r="T1203" s="15"/>
      <c r="U1203" s="15"/>
      <c r="V1203" s="15"/>
    </row>
    <row r="1204">
      <c r="A1204" s="2">
        <v>20980.0</v>
      </c>
      <c r="B1204" s="1" t="s">
        <v>63</v>
      </c>
      <c r="C1204" s="2">
        <v>0.08</v>
      </c>
      <c r="D1204" s="2">
        <v>2.94</v>
      </c>
      <c r="E1204" s="2">
        <v>2178.0</v>
      </c>
      <c r="F1204" s="1" t="s">
        <v>1504</v>
      </c>
      <c r="G1204" s="1" t="s">
        <v>66</v>
      </c>
      <c r="H1204" s="1" t="s">
        <v>23</v>
      </c>
      <c r="I1204" s="1" t="s">
        <v>29</v>
      </c>
      <c r="J1204" s="1" t="s">
        <v>515</v>
      </c>
      <c r="K1204" s="19" t="s">
        <v>26</v>
      </c>
      <c r="L1204" s="20" t="s">
        <v>57</v>
      </c>
      <c r="M1204" s="21">
        <f t="shared" si="1"/>
        <v>2</v>
      </c>
      <c r="N1204" s="2">
        <v>-1.18</v>
      </c>
      <c r="O1204" s="2">
        <v>9.0</v>
      </c>
      <c r="P1204" s="2">
        <v>25.35</v>
      </c>
      <c r="Q1204" s="2">
        <v>89465.0</v>
      </c>
      <c r="R1204" s="15" t="b">
        <f>ISNUMBER(MATCH(Q1204,'Returned order'!A:A,0))</f>
        <v>0</v>
      </c>
      <c r="S1204" s="22">
        <v>42031.0</v>
      </c>
      <c r="T1204" s="15"/>
      <c r="U1204" s="15"/>
      <c r="V1204" s="15"/>
    </row>
    <row r="1205">
      <c r="A1205" s="2">
        <v>26331.0</v>
      </c>
      <c r="B1205" s="1" t="s">
        <v>49</v>
      </c>
      <c r="C1205" s="2">
        <v>0.0</v>
      </c>
      <c r="D1205" s="2">
        <v>1.48</v>
      </c>
      <c r="E1205" s="2">
        <v>2183.0</v>
      </c>
      <c r="F1205" s="1" t="s">
        <v>1505</v>
      </c>
      <c r="G1205" s="1" t="s">
        <v>51</v>
      </c>
      <c r="H1205" s="1" t="s">
        <v>23</v>
      </c>
      <c r="I1205" s="1" t="s">
        <v>81</v>
      </c>
      <c r="J1205" s="1" t="s">
        <v>1452</v>
      </c>
      <c r="K1205" s="19" t="s">
        <v>229</v>
      </c>
      <c r="L1205" s="20" t="s">
        <v>27</v>
      </c>
      <c r="M1205" s="21">
        <f t="shared" si="1"/>
        <v>1</v>
      </c>
      <c r="N1205" s="2">
        <v>-203.098</v>
      </c>
      <c r="O1205" s="2">
        <v>12.0</v>
      </c>
      <c r="P1205" s="2">
        <v>19.32</v>
      </c>
      <c r="Q1205" s="2">
        <v>91571.0</v>
      </c>
      <c r="R1205" s="15" t="b">
        <f>ISNUMBER(MATCH(Q1205,'Returned order'!A:A,0))</f>
        <v>0</v>
      </c>
      <c r="S1205" s="22">
        <v>42170.0</v>
      </c>
      <c r="T1205" s="15"/>
      <c r="U1205" s="15"/>
      <c r="V1205" s="15"/>
    </row>
    <row r="1206">
      <c r="A1206" s="2">
        <v>19008.0</v>
      </c>
      <c r="B1206" s="1" t="s">
        <v>28</v>
      </c>
      <c r="C1206" s="2">
        <v>0.09</v>
      </c>
      <c r="D1206" s="2">
        <v>16.98</v>
      </c>
      <c r="E1206" s="2">
        <v>2187.0</v>
      </c>
      <c r="F1206" s="1" t="s">
        <v>1506</v>
      </c>
      <c r="G1206" s="1" t="s">
        <v>32</v>
      </c>
      <c r="H1206" s="1" t="s">
        <v>23</v>
      </c>
      <c r="I1206" s="1" t="s">
        <v>88</v>
      </c>
      <c r="J1206" s="1" t="s">
        <v>1507</v>
      </c>
      <c r="K1206" s="19" t="s">
        <v>68</v>
      </c>
      <c r="L1206" s="20" t="s">
        <v>76</v>
      </c>
      <c r="M1206" s="21">
        <f t="shared" si="1"/>
        <v>5</v>
      </c>
      <c r="N1206" s="2">
        <v>-48.57</v>
      </c>
      <c r="O1206" s="2">
        <v>5.0</v>
      </c>
      <c r="P1206" s="2">
        <v>86.8</v>
      </c>
      <c r="Q1206" s="2">
        <v>89440.0</v>
      </c>
      <c r="R1206" s="15" t="b">
        <f>ISNUMBER(MATCH(Q1206,'Returned order'!A:A,0))</f>
        <v>0</v>
      </c>
      <c r="S1206" s="22">
        <v>42132.0</v>
      </c>
      <c r="T1206" s="15"/>
      <c r="U1206" s="15"/>
      <c r="V1206" s="15"/>
    </row>
    <row r="1207">
      <c r="A1207" s="2">
        <v>1008.0</v>
      </c>
      <c r="B1207" s="1" t="s">
        <v>28</v>
      </c>
      <c r="C1207" s="2">
        <v>0.09</v>
      </c>
      <c r="D1207" s="2">
        <v>16.98</v>
      </c>
      <c r="E1207" s="2">
        <v>2189.0</v>
      </c>
      <c r="F1207" s="1" t="s">
        <v>1508</v>
      </c>
      <c r="G1207" s="1" t="s">
        <v>32</v>
      </c>
      <c r="H1207" s="1" t="s">
        <v>23</v>
      </c>
      <c r="I1207" s="1" t="s">
        <v>88</v>
      </c>
      <c r="J1207" s="1" t="s">
        <v>1507</v>
      </c>
      <c r="K1207" s="19" t="s">
        <v>26</v>
      </c>
      <c r="L1207" s="20" t="s">
        <v>76</v>
      </c>
      <c r="M1207" s="21">
        <f t="shared" si="1"/>
        <v>5</v>
      </c>
      <c r="N1207" s="2">
        <v>-48.57</v>
      </c>
      <c r="O1207" s="2">
        <v>22.0</v>
      </c>
      <c r="P1207" s="2">
        <v>381.91</v>
      </c>
      <c r="Q1207" s="2">
        <v>7364.0</v>
      </c>
      <c r="R1207" s="15" t="b">
        <f>ISNUMBER(MATCH(Q1207,'Returned order'!A:A,0))</f>
        <v>1</v>
      </c>
      <c r="S1207" s="22">
        <v>42132.0</v>
      </c>
      <c r="T1207" s="15"/>
      <c r="U1207" s="15"/>
      <c r="V1207" s="15"/>
    </row>
    <row r="1208">
      <c r="A1208" s="2">
        <v>5870.0</v>
      </c>
      <c r="B1208" s="1" t="s">
        <v>58</v>
      </c>
      <c r="C1208" s="2">
        <v>0.05</v>
      </c>
      <c r="D1208" s="2">
        <v>16.98</v>
      </c>
      <c r="E1208" s="2">
        <v>2190.0</v>
      </c>
      <c r="F1208" s="1" t="s">
        <v>1509</v>
      </c>
      <c r="G1208" s="1" t="s">
        <v>51</v>
      </c>
      <c r="H1208" s="1" t="s">
        <v>23</v>
      </c>
      <c r="I1208" s="1" t="s">
        <v>29</v>
      </c>
      <c r="J1208" s="1" t="s">
        <v>1510</v>
      </c>
      <c r="K1208" s="19" t="s">
        <v>68</v>
      </c>
      <c r="L1208" s="20" t="s">
        <v>53</v>
      </c>
      <c r="M1208" s="21">
        <f t="shared" si="1"/>
        <v>6</v>
      </c>
      <c r="N1208" s="2">
        <v>-47.28</v>
      </c>
      <c r="O1208" s="2">
        <v>45.0</v>
      </c>
      <c r="P1208" s="2">
        <v>761.67</v>
      </c>
      <c r="Q1208" s="2">
        <v>41636.0</v>
      </c>
      <c r="R1208" s="15" t="b">
        <f>ISNUMBER(MATCH(Q1208,'Returned order'!A:A,0))</f>
        <v>0</v>
      </c>
      <c r="S1208" s="22">
        <v>42049.0</v>
      </c>
      <c r="T1208" s="15"/>
      <c r="U1208" s="15"/>
      <c r="V1208" s="15"/>
    </row>
    <row r="1209">
      <c r="A1209" s="2">
        <v>5871.0</v>
      </c>
      <c r="B1209" s="1" t="s">
        <v>58</v>
      </c>
      <c r="C1209" s="2">
        <v>0.03</v>
      </c>
      <c r="D1209" s="2">
        <v>115.99</v>
      </c>
      <c r="E1209" s="2">
        <v>2190.0</v>
      </c>
      <c r="F1209" s="1" t="s">
        <v>1509</v>
      </c>
      <c r="G1209" s="1" t="s">
        <v>51</v>
      </c>
      <c r="H1209" s="1" t="s">
        <v>46</v>
      </c>
      <c r="I1209" s="1" t="s">
        <v>85</v>
      </c>
      <c r="J1209" s="1">
        <v>282.0</v>
      </c>
      <c r="K1209" s="19" t="s">
        <v>68</v>
      </c>
      <c r="L1209" s="20" t="s">
        <v>53</v>
      </c>
      <c r="M1209" s="21">
        <f t="shared" si="1"/>
        <v>6</v>
      </c>
      <c r="N1209" s="2">
        <v>722.241</v>
      </c>
      <c r="O1209" s="2">
        <v>49.0</v>
      </c>
      <c r="P1209" s="2">
        <v>5014.07</v>
      </c>
      <c r="Q1209" s="2">
        <v>41636.0</v>
      </c>
      <c r="R1209" s="15" t="b">
        <f>ISNUMBER(MATCH(Q1209,'Returned order'!A:A,0))</f>
        <v>0</v>
      </c>
      <c r="S1209" s="22">
        <v>42049.0</v>
      </c>
      <c r="T1209" s="15"/>
      <c r="U1209" s="15"/>
      <c r="V1209" s="15"/>
    </row>
    <row r="1210">
      <c r="A1210" s="2">
        <v>23870.0</v>
      </c>
      <c r="B1210" s="1" t="s">
        <v>58</v>
      </c>
      <c r="C1210" s="2">
        <v>0.05</v>
      </c>
      <c r="D1210" s="2">
        <v>16.98</v>
      </c>
      <c r="E1210" s="2">
        <v>2193.0</v>
      </c>
      <c r="F1210" s="1" t="s">
        <v>1511</v>
      </c>
      <c r="G1210" s="1" t="s">
        <v>51</v>
      </c>
      <c r="H1210" s="1" t="s">
        <v>23</v>
      </c>
      <c r="I1210" s="1" t="s">
        <v>29</v>
      </c>
      <c r="J1210" s="1" t="s">
        <v>1510</v>
      </c>
      <c r="K1210" s="19" t="s">
        <v>229</v>
      </c>
      <c r="L1210" s="20" t="s">
        <v>53</v>
      </c>
      <c r="M1210" s="21">
        <f t="shared" si="1"/>
        <v>6</v>
      </c>
      <c r="N1210" s="2">
        <v>-161.0</v>
      </c>
      <c r="O1210" s="2">
        <v>11.0</v>
      </c>
      <c r="P1210" s="2">
        <v>186.19</v>
      </c>
      <c r="Q1210" s="2">
        <v>90685.0</v>
      </c>
      <c r="R1210" s="15" t="b">
        <f>ISNUMBER(MATCH(Q1210,'Returned order'!A:A,0))</f>
        <v>0</v>
      </c>
      <c r="S1210" s="22">
        <v>42049.0</v>
      </c>
      <c r="T1210" s="15"/>
      <c r="U1210" s="15"/>
      <c r="V1210" s="15"/>
    </row>
    <row r="1211">
      <c r="A1211" s="2">
        <v>23871.0</v>
      </c>
      <c r="B1211" s="1" t="s">
        <v>58</v>
      </c>
      <c r="C1211" s="2">
        <v>0.03</v>
      </c>
      <c r="D1211" s="2">
        <v>115.99</v>
      </c>
      <c r="E1211" s="2">
        <v>2193.0</v>
      </c>
      <c r="F1211" s="1" t="s">
        <v>1511</v>
      </c>
      <c r="G1211" s="1" t="s">
        <v>51</v>
      </c>
      <c r="H1211" s="1" t="s">
        <v>46</v>
      </c>
      <c r="I1211" s="1" t="s">
        <v>85</v>
      </c>
      <c r="J1211" s="1">
        <v>282.0</v>
      </c>
      <c r="K1211" s="19" t="s">
        <v>229</v>
      </c>
      <c r="L1211" s="20" t="s">
        <v>53</v>
      </c>
      <c r="M1211" s="21">
        <f t="shared" si="1"/>
        <v>6</v>
      </c>
      <c r="N1211" s="2">
        <v>848.3646</v>
      </c>
      <c r="O1211" s="2">
        <v>12.0</v>
      </c>
      <c r="P1211" s="2">
        <v>1227.94</v>
      </c>
      <c r="Q1211" s="2">
        <v>90685.0</v>
      </c>
      <c r="R1211" s="15" t="b">
        <f>ISNUMBER(MATCH(Q1211,'Returned order'!A:A,0))</f>
        <v>0</v>
      </c>
      <c r="S1211" s="22">
        <v>42049.0</v>
      </c>
      <c r="T1211" s="15"/>
      <c r="U1211" s="15"/>
      <c r="V1211" s="15"/>
    </row>
    <row r="1212">
      <c r="A1212" s="2">
        <v>19112.0</v>
      </c>
      <c r="B1212" s="1" t="s">
        <v>63</v>
      </c>
      <c r="C1212" s="2">
        <v>0.03</v>
      </c>
      <c r="D1212" s="2">
        <v>27.48</v>
      </c>
      <c r="E1212" s="2">
        <v>2196.0</v>
      </c>
      <c r="F1212" s="1" t="s">
        <v>1512</v>
      </c>
      <c r="G1212" s="1" t="s">
        <v>66</v>
      </c>
      <c r="H1212" s="1" t="s">
        <v>46</v>
      </c>
      <c r="I1212" s="1" t="s">
        <v>47</v>
      </c>
      <c r="J1212" s="1" t="s">
        <v>111</v>
      </c>
      <c r="K1212" s="19" t="s">
        <v>26</v>
      </c>
      <c r="L1212" s="20" t="s">
        <v>57</v>
      </c>
      <c r="M1212" s="21">
        <f t="shared" si="1"/>
        <v>2</v>
      </c>
      <c r="N1212" s="2">
        <v>-88.8408</v>
      </c>
      <c r="O1212" s="2">
        <v>11.0</v>
      </c>
      <c r="P1212" s="2">
        <v>294.97</v>
      </c>
      <c r="Q1212" s="2">
        <v>89175.0</v>
      </c>
      <c r="R1212" s="15" t="b">
        <f>ISNUMBER(MATCH(Q1212,'Returned order'!A:A,0))</f>
        <v>0</v>
      </c>
      <c r="S1212" s="22">
        <v>42101.0</v>
      </c>
      <c r="T1212" s="15"/>
      <c r="U1212" s="15"/>
      <c r="V1212" s="15"/>
    </row>
    <row r="1213">
      <c r="A1213" s="2">
        <v>19113.0</v>
      </c>
      <c r="B1213" s="1" t="s">
        <v>63</v>
      </c>
      <c r="C1213" s="2">
        <v>0.1</v>
      </c>
      <c r="D1213" s="2">
        <v>179.99</v>
      </c>
      <c r="E1213" s="2">
        <v>2196.0</v>
      </c>
      <c r="F1213" s="1" t="s">
        <v>1512</v>
      </c>
      <c r="G1213" s="1" t="s">
        <v>66</v>
      </c>
      <c r="H1213" s="1" t="s">
        <v>46</v>
      </c>
      <c r="I1213" s="1" t="s">
        <v>47</v>
      </c>
      <c r="J1213" s="1" t="s">
        <v>507</v>
      </c>
      <c r="K1213" s="19" t="s">
        <v>26</v>
      </c>
      <c r="L1213" s="20" t="s">
        <v>57</v>
      </c>
      <c r="M1213" s="21">
        <f t="shared" si="1"/>
        <v>2</v>
      </c>
      <c r="N1213" s="2">
        <v>1208.9904</v>
      </c>
      <c r="O1213" s="2">
        <v>14.0</v>
      </c>
      <c r="P1213" s="2">
        <v>2458.05</v>
      </c>
      <c r="Q1213" s="2">
        <v>89175.0</v>
      </c>
      <c r="R1213" s="15" t="b">
        <f>ISNUMBER(MATCH(Q1213,'Returned order'!A:A,0))</f>
        <v>0</v>
      </c>
      <c r="S1213" s="22">
        <v>42101.0</v>
      </c>
      <c r="T1213" s="15"/>
      <c r="U1213" s="15"/>
      <c r="V1213" s="15"/>
    </row>
    <row r="1214">
      <c r="A1214" s="2">
        <v>19114.0</v>
      </c>
      <c r="B1214" s="1" t="s">
        <v>63</v>
      </c>
      <c r="C1214" s="2">
        <v>0.1</v>
      </c>
      <c r="D1214" s="2">
        <v>140.85</v>
      </c>
      <c r="E1214" s="2">
        <v>2196.0</v>
      </c>
      <c r="F1214" s="1" t="s">
        <v>1512</v>
      </c>
      <c r="G1214" s="1" t="s">
        <v>66</v>
      </c>
      <c r="H1214" s="1" t="s">
        <v>23</v>
      </c>
      <c r="I1214" s="1" t="s">
        <v>120</v>
      </c>
      <c r="J1214" s="1" t="s">
        <v>1513</v>
      </c>
      <c r="K1214" s="19" t="s">
        <v>26</v>
      </c>
      <c r="L1214" s="20" t="s">
        <v>57</v>
      </c>
      <c r="M1214" s="21">
        <f t="shared" si="1"/>
        <v>2</v>
      </c>
      <c r="N1214" s="2">
        <v>9.9912</v>
      </c>
      <c r="O1214" s="2">
        <v>19.0</v>
      </c>
      <c r="P1214" s="2">
        <v>2465.75</v>
      </c>
      <c r="Q1214" s="2">
        <v>89175.0</v>
      </c>
      <c r="R1214" s="15" t="b">
        <f>ISNUMBER(MATCH(Q1214,'Returned order'!A:A,0))</f>
        <v>0</v>
      </c>
      <c r="S1214" s="22">
        <v>42101.0</v>
      </c>
      <c r="T1214" s="15"/>
      <c r="U1214" s="15"/>
      <c r="V1214" s="15"/>
    </row>
    <row r="1215">
      <c r="A1215" s="2">
        <v>23300.0</v>
      </c>
      <c r="B1215" s="1" t="s">
        <v>58</v>
      </c>
      <c r="C1215" s="2">
        <v>0.08</v>
      </c>
      <c r="D1215" s="2">
        <v>100.97</v>
      </c>
      <c r="E1215" s="2">
        <v>2197.0</v>
      </c>
      <c r="F1215" s="1" t="s">
        <v>1514</v>
      </c>
      <c r="G1215" s="1" t="s">
        <v>66</v>
      </c>
      <c r="H1215" s="1" t="s">
        <v>46</v>
      </c>
      <c r="I1215" s="1" t="s">
        <v>47</v>
      </c>
      <c r="J1215" s="1" t="s">
        <v>1515</v>
      </c>
      <c r="K1215" s="19" t="s">
        <v>26</v>
      </c>
      <c r="L1215" s="20" t="s">
        <v>76</v>
      </c>
      <c r="M1215" s="21">
        <f t="shared" si="1"/>
        <v>5</v>
      </c>
      <c r="N1215" s="2">
        <v>126.225</v>
      </c>
      <c r="O1215" s="2">
        <v>7.0</v>
      </c>
      <c r="P1215" s="2">
        <v>650.25</v>
      </c>
      <c r="Q1215" s="2">
        <v>89176.0</v>
      </c>
      <c r="R1215" s="15" t="b">
        <f>ISNUMBER(MATCH(Q1215,'Returned order'!A:A,0))</f>
        <v>0</v>
      </c>
      <c r="S1215" s="22">
        <v>42181.0</v>
      </c>
      <c r="T1215" s="15"/>
      <c r="U1215" s="15"/>
      <c r="V1215" s="15"/>
    </row>
    <row r="1216">
      <c r="A1216" s="2">
        <v>23301.0</v>
      </c>
      <c r="B1216" s="1" t="s">
        <v>58</v>
      </c>
      <c r="C1216" s="2">
        <v>0.0</v>
      </c>
      <c r="D1216" s="2">
        <v>13.4</v>
      </c>
      <c r="E1216" s="2">
        <v>2197.0</v>
      </c>
      <c r="F1216" s="1" t="s">
        <v>1514</v>
      </c>
      <c r="G1216" s="1" t="s">
        <v>66</v>
      </c>
      <c r="H1216" s="1" t="s">
        <v>37</v>
      </c>
      <c r="I1216" s="1" t="s">
        <v>42</v>
      </c>
      <c r="J1216" s="1" t="s">
        <v>634</v>
      </c>
      <c r="K1216" s="19" t="s">
        <v>26</v>
      </c>
      <c r="L1216" s="20" t="s">
        <v>76</v>
      </c>
      <c r="M1216" s="21">
        <f t="shared" si="1"/>
        <v>5</v>
      </c>
      <c r="N1216" s="2">
        <v>187.7628</v>
      </c>
      <c r="O1216" s="2">
        <v>19.0</v>
      </c>
      <c r="P1216" s="2">
        <v>272.12</v>
      </c>
      <c r="Q1216" s="2">
        <v>89176.0</v>
      </c>
      <c r="R1216" s="15" t="b">
        <f>ISNUMBER(MATCH(Q1216,'Returned order'!A:A,0))</f>
        <v>0</v>
      </c>
      <c r="S1216" s="22">
        <v>42181.0</v>
      </c>
      <c r="T1216" s="15"/>
      <c r="U1216" s="15"/>
      <c r="V1216" s="15"/>
    </row>
    <row r="1217">
      <c r="A1217" s="2">
        <v>26083.0</v>
      </c>
      <c r="B1217" s="1" t="s">
        <v>49</v>
      </c>
      <c r="C1217" s="2">
        <v>0.03</v>
      </c>
      <c r="D1217" s="2">
        <v>25.98</v>
      </c>
      <c r="E1217" s="2">
        <v>2198.0</v>
      </c>
      <c r="F1217" s="1" t="s">
        <v>1516</v>
      </c>
      <c r="G1217" s="1" t="s">
        <v>66</v>
      </c>
      <c r="H1217" s="1" t="s">
        <v>23</v>
      </c>
      <c r="I1217" s="1" t="s">
        <v>29</v>
      </c>
      <c r="J1217" s="1" t="s">
        <v>1517</v>
      </c>
      <c r="K1217" s="19" t="s">
        <v>26</v>
      </c>
      <c r="L1217" s="20" t="s">
        <v>76</v>
      </c>
      <c r="M1217" s="21">
        <f t="shared" si="1"/>
        <v>5</v>
      </c>
      <c r="N1217" s="2">
        <v>295.9065</v>
      </c>
      <c r="O1217" s="2">
        <v>16.0</v>
      </c>
      <c r="P1217" s="2">
        <v>428.85</v>
      </c>
      <c r="Q1217" s="2">
        <v>89174.0</v>
      </c>
      <c r="R1217" s="15" t="b">
        <f>ISNUMBER(MATCH(Q1217,'Returned order'!A:A,0))</f>
        <v>0</v>
      </c>
      <c r="S1217" s="22">
        <v>42146.0</v>
      </c>
      <c r="T1217" s="15"/>
      <c r="U1217" s="15"/>
      <c r="V1217" s="15"/>
    </row>
    <row r="1218">
      <c r="A1218" s="2">
        <v>26084.0</v>
      </c>
      <c r="B1218" s="1" t="s">
        <v>49</v>
      </c>
      <c r="C1218" s="2">
        <v>0.1</v>
      </c>
      <c r="D1218" s="2">
        <v>20.98</v>
      </c>
      <c r="E1218" s="2">
        <v>2198.0</v>
      </c>
      <c r="F1218" s="1" t="s">
        <v>1516</v>
      </c>
      <c r="G1218" s="1" t="s">
        <v>66</v>
      </c>
      <c r="H1218" s="1" t="s">
        <v>23</v>
      </c>
      <c r="I1218" s="1" t="s">
        <v>120</v>
      </c>
      <c r="J1218" s="1" t="s">
        <v>529</v>
      </c>
      <c r="K1218" s="19" t="s">
        <v>26</v>
      </c>
      <c r="L1218" s="20" t="s">
        <v>76</v>
      </c>
      <c r="M1218" s="21">
        <f t="shared" si="1"/>
        <v>5</v>
      </c>
      <c r="N1218" s="2">
        <v>-2111.36</v>
      </c>
      <c r="O1218" s="2">
        <v>16.0</v>
      </c>
      <c r="P1218" s="2">
        <v>342.54</v>
      </c>
      <c r="Q1218" s="2">
        <v>89174.0</v>
      </c>
      <c r="R1218" s="15" t="b">
        <f>ISNUMBER(MATCH(Q1218,'Returned order'!A:A,0))</f>
        <v>0</v>
      </c>
      <c r="S1218" s="22">
        <v>42146.0</v>
      </c>
      <c r="T1218" s="15"/>
      <c r="U1218" s="15"/>
      <c r="V1218" s="15"/>
    </row>
    <row r="1219">
      <c r="A1219" s="2">
        <v>20234.0</v>
      </c>
      <c r="B1219" s="1" t="s">
        <v>58</v>
      </c>
      <c r="C1219" s="2">
        <v>0.17</v>
      </c>
      <c r="D1219" s="2">
        <v>14.89</v>
      </c>
      <c r="E1219" s="2">
        <v>2201.0</v>
      </c>
      <c r="F1219" s="1" t="s">
        <v>1518</v>
      </c>
      <c r="G1219" s="1" t="s">
        <v>66</v>
      </c>
      <c r="H1219" s="1" t="s">
        <v>37</v>
      </c>
      <c r="I1219" s="1" t="s">
        <v>42</v>
      </c>
      <c r="J1219" s="1" t="s">
        <v>1519</v>
      </c>
      <c r="K1219" s="19" t="s">
        <v>68</v>
      </c>
      <c r="L1219" s="20" t="s">
        <v>35</v>
      </c>
      <c r="M1219" s="21">
        <f t="shared" si="1"/>
        <v>3</v>
      </c>
      <c r="N1219" s="2">
        <v>-9.13</v>
      </c>
      <c r="O1219" s="2">
        <v>1.0</v>
      </c>
      <c r="P1219" s="2">
        <v>27.96</v>
      </c>
      <c r="Q1219" s="2">
        <v>86054.0</v>
      </c>
      <c r="R1219" s="15" t="b">
        <f>ISNUMBER(MATCH(Q1219,'Returned order'!A:A,0))</f>
        <v>0</v>
      </c>
      <c r="S1219" s="22">
        <v>42088.0</v>
      </c>
      <c r="T1219" s="15"/>
      <c r="U1219" s="15"/>
      <c r="V1219" s="15"/>
    </row>
    <row r="1220">
      <c r="A1220" s="2">
        <v>22259.0</v>
      </c>
      <c r="B1220" s="1" t="s">
        <v>170</v>
      </c>
      <c r="C1220" s="2">
        <v>0.09</v>
      </c>
      <c r="D1220" s="2">
        <v>160.98</v>
      </c>
      <c r="E1220" s="2">
        <v>2202.0</v>
      </c>
      <c r="F1220" s="1" t="s">
        <v>1520</v>
      </c>
      <c r="G1220" s="1" t="s">
        <v>51</v>
      </c>
      <c r="H1220" s="1" t="s">
        <v>37</v>
      </c>
      <c r="I1220" s="1" t="s">
        <v>38</v>
      </c>
      <c r="J1220" s="1" t="s">
        <v>260</v>
      </c>
      <c r="K1220" s="19" t="s">
        <v>68</v>
      </c>
      <c r="L1220" s="20" t="s">
        <v>53</v>
      </c>
      <c r="M1220" s="21">
        <f t="shared" si="1"/>
        <v>6</v>
      </c>
      <c r="N1220" s="2">
        <v>357.428</v>
      </c>
      <c r="O1220" s="2">
        <v>11.0</v>
      </c>
      <c r="P1220" s="2">
        <v>1635.38</v>
      </c>
      <c r="Q1220" s="2">
        <v>86050.0</v>
      </c>
      <c r="R1220" s="15" t="b">
        <f>ISNUMBER(MATCH(Q1220,'Returned order'!A:A,0))</f>
        <v>0</v>
      </c>
      <c r="S1220" s="22">
        <v>42035.0</v>
      </c>
      <c r="T1220" s="15"/>
      <c r="U1220" s="15"/>
      <c r="V1220" s="15"/>
    </row>
    <row r="1221">
      <c r="A1221" s="2">
        <v>22260.0</v>
      </c>
      <c r="B1221" s="1" t="s">
        <v>170</v>
      </c>
      <c r="C1221" s="2">
        <v>0.09</v>
      </c>
      <c r="D1221" s="2">
        <v>6.3</v>
      </c>
      <c r="E1221" s="2">
        <v>2202.0</v>
      </c>
      <c r="F1221" s="1" t="s">
        <v>1520</v>
      </c>
      <c r="G1221" s="1" t="s">
        <v>51</v>
      </c>
      <c r="H1221" s="1" t="s">
        <v>23</v>
      </c>
      <c r="I1221" s="1" t="s">
        <v>130</v>
      </c>
      <c r="J1221" s="1" t="s">
        <v>270</v>
      </c>
      <c r="K1221" s="19" t="s">
        <v>68</v>
      </c>
      <c r="L1221" s="20" t="s">
        <v>53</v>
      </c>
      <c r="M1221" s="21">
        <f t="shared" si="1"/>
        <v>6</v>
      </c>
      <c r="N1221" s="2">
        <v>40.3512</v>
      </c>
      <c r="O1221" s="2">
        <v>10.0</v>
      </c>
      <c r="P1221" s="2">
        <v>58.48</v>
      </c>
      <c r="Q1221" s="2">
        <v>86050.0</v>
      </c>
      <c r="R1221" s="15" t="b">
        <f>ISNUMBER(MATCH(Q1221,'Returned order'!A:A,0))</f>
        <v>0</v>
      </c>
      <c r="S1221" s="22">
        <v>42035.0</v>
      </c>
      <c r="T1221" s="15"/>
      <c r="U1221" s="15"/>
      <c r="V1221" s="15"/>
    </row>
    <row r="1222">
      <c r="A1222" s="2">
        <v>22261.0</v>
      </c>
      <c r="B1222" s="1" t="s">
        <v>170</v>
      </c>
      <c r="C1222" s="2">
        <v>0.0</v>
      </c>
      <c r="D1222" s="2">
        <v>4.98</v>
      </c>
      <c r="E1222" s="2">
        <v>2202.0</v>
      </c>
      <c r="F1222" s="1" t="s">
        <v>1520</v>
      </c>
      <c r="G1222" s="1" t="s">
        <v>51</v>
      </c>
      <c r="H1222" s="1" t="s">
        <v>23</v>
      </c>
      <c r="I1222" s="1" t="s">
        <v>93</v>
      </c>
      <c r="J1222" s="1" t="s">
        <v>470</v>
      </c>
      <c r="K1222" s="19" t="s">
        <v>68</v>
      </c>
      <c r="L1222" s="20" t="s">
        <v>53</v>
      </c>
      <c r="M1222" s="21">
        <f t="shared" si="1"/>
        <v>6</v>
      </c>
      <c r="N1222" s="2">
        <v>27.6345</v>
      </c>
      <c r="O1222" s="2">
        <v>8.0</v>
      </c>
      <c r="P1222" s="2">
        <v>40.05</v>
      </c>
      <c r="Q1222" s="2">
        <v>86050.0</v>
      </c>
      <c r="R1222" s="15" t="b">
        <f>ISNUMBER(MATCH(Q1222,'Returned order'!A:A,0))</f>
        <v>0</v>
      </c>
      <c r="S1222" s="22">
        <v>42035.0</v>
      </c>
      <c r="T1222" s="15"/>
      <c r="U1222" s="15"/>
      <c r="V1222" s="15"/>
    </row>
    <row r="1223">
      <c r="A1223" s="2">
        <v>23919.0</v>
      </c>
      <c r="B1223" s="1" t="s">
        <v>170</v>
      </c>
      <c r="C1223" s="2">
        <v>0.08</v>
      </c>
      <c r="D1223" s="2">
        <v>145.45</v>
      </c>
      <c r="E1223" s="2">
        <v>2203.0</v>
      </c>
      <c r="F1223" s="1" t="s">
        <v>1521</v>
      </c>
      <c r="G1223" s="1" t="s">
        <v>51</v>
      </c>
      <c r="H1223" s="1" t="s">
        <v>46</v>
      </c>
      <c r="I1223" s="1" t="s">
        <v>103</v>
      </c>
      <c r="J1223" s="1" t="s">
        <v>837</v>
      </c>
      <c r="K1223" s="19" t="s">
        <v>68</v>
      </c>
      <c r="L1223" s="20" t="s">
        <v>35</v>
      </c>
      <c r="M1223" s="21">
        <f t="shared" si="1"/>
        <v>3</v>
      </c>
      <c r="N1223" s="2">
        <v>751.58</v>
      </c>
      <c r="O1223" s="2">
        <v>8.0</v>
      </c>
      <c r="P1223" s="2">
        <v>1117.66</v>
      </c>
      <c r="Q1223" s="2">
        <v>86051.0</v>
      </c>
      <c r="R1223" s="15" t="b">
        <f>ISNUMBER(MATCH(Q1223,'Returned order'!A:A,0))</f>
        <v>0</v>
      </c>
      <c r="S1223" s="22">
        <v>42039.0</v>
      </c>
      <c r="T1223" s="15"/>
      <c r="U1223" s="15"/>
      <c r="V1223" s="15"/>
    </row>
    <row r="1224">
      <c r="A1224" s="2">
        <v>22595.0</v>
      </c>
      <c r="B1224" s="1" t="s">
        <v>58</v>
      </c>
      <c r="C1224" s="2">
        <v>0.03</v>
      </c>
      <c r="D1224" s="2">
        <v>399.98</v>
      </c>
      <c r="E1224" s="2">
        <v>2203.0</v>
      </c>
      <c r="F1224" s="1" t="s">
        <v>1521</v>
      </c>
      <c r="G1224" s="1" t="s">
        <v>51</v>
      </c>
      <c r="H1224" s="1" t="s">
        <v>46</v>
      </c>
      <c r="I1224" s="1" t="s">
        <v>103</v>
      </c>
      <c r="J1224" s="1" t="s">
        <v>301</v>
      </c>
      <c r="K1224" s="19" t="s">
        <v>68</v>
      </c>
      <c r="L1224" s="20" t="s">
        <v>61</v>
      </c>
      <c r="M1224" s="21">
        <f t="shared" si="1"/>
        <v>7</v>
      </c>
      <c r="N1224" s="2">
        <v>-663.5142</v>
      </c>
      <c r="O1224" s="2">
        <v>2.0</v>
      </c>
      <c r="P1224" s="2">
        <v>807.0</v>
      </c>
      <c r="Q1224" s="2">
        <v>86052.0</v>
      </c>
      <c r="R1224" s="15" t="b">
        <f>ISNUMBER(MATCH(Q1224,'Returned order'!A:A,0))</f>
        <v>0</v>
      </c>
      <c r="S1224" s="22">
        <v>42008.0</v>
      </c>
      <c r="T1224" s="15"/>
      <c r="U1224" s="15"/>
      <c r="V1224" s="15"/>
    </row>
    <row r="1225">
      <c r="A1225" s="2">
        <v>23920.0</v>
      </c>
      <c r="B1225" s="1" t="s">
        <v>170</v>
      </c>
      <c r="C1225" s="2">
        <v>0.07</v>
      </c>
      <c r="D1225" s="2">
        <v>33.94</v>
      </c>
      <c r="E1225" s="2">
        <v>2204.0</v>
      </c>
      <c r="F1225" s="1" t="s">
        <v>1522</v>
      </c>
      <c r="G1225" s="1" t="s">
        <v>51</v>
      </c>
      <c r="H1225" s="1" t="s">
        <v>37</v>
      </c>
      <c r="I1225" s="1" t="s">
        <v>38</v>
      </c>
      <c r="J1225" s="1" t="s">
        <v>797</v>
      </c>
      <c r="K1225" s="19" t="s">
        <v>68</v>
      </c>
      <c r="L1225" s="20" t="s">
        <v>35</v>
      </c>
      <c r="M1225" s="21">
        <f t="shared" si="1"/>
        <v>3</v>
      </c>
      <c r="N1225" s="2">
        <v>-157.56</v>
      </c>
      <c r="O1225" s="2">
        <v>5.0</v>
      </c>
      <c r="P1225" s="2">
        <v>169.46</v>
      </c>
      <c r="Q1225" s="2">
        <v>86051.0</v>
      </c>
      <c r="R1225" s="15" t="b">
        <f>ISNUMBER(MATCH(Q1225,'Returned order'!A:A,0))</f>
        <v>0</v>
      </c>
      <c r="S1225" s="22">
        <v>42039.0</v>
      </c>
      <c r="T1225" s="15"/>
      <c r="U1225" s="15"/>
      <c r="V1225" s="15"/>
    </row>
    <row r="1226">
      <c r="A1226" s="2">
        <v>24434.0</v>
      </c>
      <c r="B1226" s="1" t="s">
        <v>58</v>
      </c>
      <c r="C1226" s="2">
        <v>0.04</v>
      </c>
      <c r="D1226" s="2">
        <v>296.18</v>
      </c>
      <c r="E1226" s="2">
        <v>2204.0</v>
      </c>
      <c r="F1226" s="1" t="s">
        <v>1522</v>
      </c>
      <c r="G1226" s="1" t="s">
        <v>22</v>
      </c>
      <c r="H1226" s="1" t="s">
        <v>37</v>
      </c>
      <c r="I1226" s="1" t="s">
        <v>73</v>
      </c>
      <c r="J1226" s="1" t="s">
        <v>248</v>
      </c>
      <c r="K1226" s="19" t="s">
        <v>68</v>
      </c>
      <c r="L1226" s="20" t="s">
        <v>57</v>
      </c>
      <c r="M1226" s="21">
        <f t="shared" si="1"/>
        <v>2</v>
      </c>
      <c r="N1226" s="2">
        <v>-87.99804</v>
      </c>
      <c r="O1226" s="2">
        <v>20.0</v>
      </c>
      <c r="P1226" s="2">
        <v>5768.12</v>
      </c>
      <c r="Q1226" s="2">
        <v>86053.0</v>
      </c>
      <c r="R1226" s="15" t="b">
        <f>ISNUMBER(MATCH(Q1226,'Returned order'!A:A,0))</f>
        <v>0</v>
      </c>
      <c r="S1226" s="22">
        <v>42045.0</v>
      </c>
      <c r="T1226" s="15"/>
      <c r="U1226" s="15"/>
      <c r="V1226" s="15"/>
    </row>
    <row r="1227">
      <c r="A1227" s="2">
        <v>18164.0</v>
      </c>
      <c r="B1227" s="1" t="s">
        <v>28</v>
      </c>
      <c r="C1227" s="2">
        <v>0.03</v>
      </c>
      <c r="D1227" s="2">
        <v>28.48</v>
      </c>
      <c r="E1227" s="2">
        <v>2206.0</v>
      </c>
      <c r="F1227" s="1" t="s">
        <v>1523</v>
      </c>
      <c r="G1227" s="1" t="s">
        <v>22</v>
      </c>
      <c r="H1227" s="1" t="s">
        <v>46</v>
      </c>
      <c r="I1227" s="1" t="s">
        <v>47</v>
      </c>
      <c r="J1227" s="1" t="s">
        <v>390</v>
      </c>
      <c r="K1227" s="19" t="s">
        <v>68</v>
      </c>
      <c r="L1227" s="20" t="s">
        <v>27</v>
      </c>
      <c r="M1227" s="21">
        <f t="shared" si="1"/>
        <v>1</v>
      </c>
      <c r="N1227" s="2">
        <v>-35.2904</v>
      </c>
      <c r="O1227" s="2">
        <v>2.0</v>
      </c>
      <c r="P1227" s="2">
        <v>55.25</v>
      </c>
      <c r="Q1227" s="2">
        <v>86258.0</v>
      </c>
      <c r="R1227" s="15" t="b">
        <f>ISNUMBER(MATCH(Q1227,'Returned order'!A:A,0))</f>
        <v>0</v>
      </c>
      <c r="S1227" s="22">
        <v>42009.0</v>
      </c>
      <c r="T1227" s="15"/>
      <c r="U1227" s="15"/>
      <c r="V1227" s="15"/>
    </row>
    <row r="1228">
      <c r="A1228" s="2">
        <v>18165.0</v>
      </c>
      <c r="B1228" s="1" t="s">
        <v>28</v>
      </c>
      <c r="C1228" s="2">
        <v>0.01</v>
      </c>
      <c r="D1228" s="2">
        <v>205.99</v>
      </c>
      <c r="E1228" s="2">
        <v>2206.0</v>
      </c>
      <c r="F1228" s="1" t="s">
        <v>1523</v>
      </c>
      <c r="G1228" s="1" t="s">
        <v>22</v>
      </c>
      <c r="H1228" s="1" t="s">
        <v>46</v>
      </c>
      <c r="I1228" s="1" t="s">
        <v>85</v>
      </c>
      <c r="J1228" s="1">
        <v>3285.0</v>
      </c>
      <c r="K1228" s="19" t="s">
        <v>68</v>
      </c>
      <c r="L1228" s="20" t="s">
        <v>27</v>
      </c>
      <c r="M1228" s="21">
        <f t="shared" si="1"/>
        <v>1</v>
      </c>
      <c r="N1228" s="2">
        <v>-74.8836</v>
      </c>
      <c r="O1228" s="2">
        <v>3.0</v>
      </c>
      <c r="P1228" s="2">
        <v>551.22</v>
      </c>
      <c r="Q1228" s="2">
        <v>86258.0</v>
      </c>
      <c r="R1228" s="15" t="b">
        <f>ISNUMBER(MATCH(Q1228,'Returned order'!A:A,0))</f>
        <v>0</v>
      </c>
      <c r="S1228" s="22">
        <v>42009.0</v>
      </c>
      <c r="T1228" s="15"/>
      <c r="U1228" s="15"/>
      <c r="V1228" s="15"/>
    </row>
    <row r="1229">
      <c r="A1229" s="2">
        <v>23317.0</v>
      </c>
      <c r="B1229" s="1" t="s">
        <v>170</v>
      </c>
      <c r="C1229" s="2">
        <v>0.06</v>
      </c>
      <c r="D1229" s="2">
        <v>6.98</v>
      </c>
      <c r="E1229" s="2">
        <v>2209.0</v>
      </c>
      <c r="F1229" s="1" t="s">
        <v>1524</v>
      </c>
      <c r="G1229" s="1" t="s">
        <v>51</v>
      </c>
      <c r="H1229" s="1" t="s">
        <v>23</v>
      </c>
      <c r="I1229" s="1" t="s">
        <v>93</v>
      </c>
      <c r="J1229" s="1" t="s">
        <v>765</v>
      </c>
      <c r="K1229" s="19" t="s">
        <v>229</v>
      </c>
      <c r="L1229" s="20" t="s">
        <v>70</v>
      </c>
      <c r="M1229" s="21">
        <f t="shared" si="1"/>
        <v>4</v>
      </c>
      <c r="N1229" s="2">
        <v>-98.056</v>
      </c>
      <c r="O1229" s="2">
        <v>12.0</v>
      </c>
      <c r="P1229" s="2">
        <v>83.93</v>
      </c>
      <c r="Q1229" s="2">
        <v>88030.0</v>
      </c>
      <c r="R1229" s="15" t="b">
        <f>ISNUMBER(MATCH(Q1229,'Returned order'!A:A,0))</f>
        <v>0</v>
      </c>
      <c r="S1229" s="22">
        <v>42026.0</v>
      </c>
      <c r="T1229" s="15"/>
      <c r="U1229" s="15"/>
      <c r="V1229" s="15"/>
    </row>
    <row r="1230">
      <c r="A1230" s="2">
        <v>19914.0</v>
      </c>
      <c r="B1230" s="1" t="s">
        <v>49</v>
      </c>
      <c r="C1230" s="2">
        <v>0.08</v>
      </c>
      <c r="D1230" s="2">
        <v>95.99</v>
      </c>
      <c r="E1230" s="2">
        <v>2211.0</v>
      </c>
      <c r="F1230" s="1" t="s">
        <v>1525</v>
      </c>
      <c r="G1230" s="1" t="s">
        <v>51</v>
      </c>
      <c r="H1230" s="1" t="s">
        <v>23</v>
      </c>
      <c r="I1230" s="1" t="s">
        <v>120</v>
      </c>
      <c r="J1230" s="1" t="s">
        <v>1526</v>
      </c>
      <c r="K1230" s="19" t="s">
        <v>26</v>
      </c>
      <c r="L1230" s="20" t="s">
        <v>70</v>
      </c>
      <c r="M1230" s="21">
        <f t="shared" si="1"/>
        <v>4</v>
      </c>
      <c r="N1230" s="2">
        <v>-425.2084</v>
      </c>
      <c r="O1230" s="2">
        <v>2.0</v>
      </c>
      <c r="P1230" s="2">
        <v>193.88</v>
      </c>
      <c r="Q1230" s="2">
        <v>88028.0</v>
      </c>
      <c r="R1230" s="15" t="b">
        <f>ISNUMBER(MATCH(Q1230,'Returned order'!A:A,0))</f>
        <v>0</v>
      </c>
      <c r="S1230" s="22">
        <v>42005.0</v>
      </c>
      <c r="T1230" s="15"/>
      <c r="U1230" s="15"/>
      <c r="V1230" s="15"/>
    </row>
    <row r="1231">
      <c r="A1231" s="2">
        <v>24756.0</v>
      </c>
      <c r="B1231" s="1" t="s">
        <v>28</v>
      </c>
      <c r="C1231" s="2">
        <v>0.09</v>
      </c>
      <c r="D1231" s="2">
        <v>199.99</v>
      </c>
      <c r="E1231" s="2">
        <v>2212.0</v>
      </c>
      <c r="F1231" s="1" t="s">
        <v>1527</v>
      </c>
      <c r="G1231" s="1" t="s">
        <v>51</v>
      </c>
      <c r="H1231" s="1" t="s">
        <v>46</v>
      </c>
      <c r="I1231" s="1" t="s">
        <v>138</v>
      </c>
      <c r="J1231" s="1" t="s">
        <v>1044</v>
      </c>
      <c r="K1231" s="19" t="s">
        <v>26</v>
      </c>
      <c r="L1231" s="20" t="s">
        <v>61</v>
      </c>
      <c r="M1231" s="21">
        <f t="shared" si="1"/>
        <v>7</v>
      </c>
      <c r="N1231" s="2">
        <v>631.33</v>
      </c>
      <c r="O1231" s="2">
        <v>5.0</v>
      </c>
      <c r="P1231" s="2">
        <v>990.25</v>
      </c>
      <c r="Q1231" s="2">
        <v>88029.0</v>
      </c>
      <c r="R1231" s="15" t="b">
        <f>ISNUMBER(MATCH(Q1231,'Returned order'!A:A,0))</f>
        <v>0</v>
      </c>
      <c r="S1231" s="22">
        <v>42113.0</v>
      </c>
      <c r="T1231" s="15"/>
      <c r="U1231" s="15"/>
      <c r="V1231" s="15"/>
    </row>
    <row r="1232">
      <c r="A1232" s="2">
        <v>23512.0</v>
      </c>
      <c r="B1232" s="1" t="s">
        <v>170</v>
      </c>
      <c r="C1232" s="2">
        <v>0.07</v>
      </c>
      <c r="D1232" s="2">
        <v>3.28</v>
      </c>
      <c r="E1232" s="2">
        <v>2215.0</v>
      </c>
      <c r="F1232" s="1" t="s">
        <v>1528</v>
      </c>
      <c r="G1232" s="1" t="s">
        <v>32</v>
      </c>
      <c r="H1232" s="1" t="s">
        <v>23</v>
      </c>
      <c r="I1232" s="1" t="s">
        <v>29</v>
      </c>
      <c r="J1232" s="1" t="s">
        <v>799</v>
      </c>
      <c r="K1232" s="19" t="s">
        <v>26</v>
      </c>
      <c r="L1232" s="20" t="s">
        <v>57</v>
      </c>
      <c r="M1232" s="21">
        <f t="shared" si="1"/>
        <v>2</v>
      </c>
      <c r="N1232" s="2">
        <v>-22.176</v>
      </c>
      <c r="O1232" s="2">
        <v>4.0</v>
      </c>
      <c r="P1232" s="2">
        <v>14.76</v>
      </c>
      <c r="Q1232" s="2">
        <v>90314.0</v>
      </c>
      <c r="R1232" s="15" t="b">
        <f>ISNUMBER(MATCH(Q1232,'Returned order'!A:A,0))</f>
        <v>0</v>
      </c>
      <c r="S1232" s="22">
        <v>42178.0</v>
      </c>
      <c r="T1232" s="15"/>
      <c r="U1232" s="15"/>
      <c r="V1232" s="15"/>
    </row>
    <row r="1233">
      <c r="A1233" s="2">
        <v>23513.0</v>
      </c>
      <c r="B1233" s="1" t="s">
        <v>170</v>
      </c>
      <c r="C1233" s="2">
        <v>0.02</v>
      </c>
      <c r="D1233" s="2">
        <v>256.99</v>
      </c>
      <c r="E1233" s="2">
        <v>2216.0</v>
      </c>
      <c r="F1233" s="1" t="s">
        <v>1529</v>
      </c>
      <c r="G1233" s="1" t="s">
        <v>32</v>
      </c>
      <c r="H1233" s="1" t="s">
        <v>46</v>
      </c>
      <c r="I1233" s="1" t="s">
        <v>47</v>
      </c>
      <c r="J1233" s="1" t="s">
        <v>1012</v>
      </c>
      <c r="K1233" s="19" t="s">
        <v>26</v>
      </c>
      <c r="L1233" s="20" t="s">
        <v>57</v>
      </c>
      <c r="M1233" s="21">
        <f t="shared" si="1"/>
        <v>2</v>
      </c>
      <c r="N1233" s="2">
        <v>-214.104</v>
      </c>
      <c r="O1233" s="2">
        <v>3.0</v>
      </c>
      <c r="P1233" s="2">
        <v>808.44</v>
      </c>
      <c r="Q1233" s="2">
        <v>90314.0</v>
      </c>
      <c r="R1233" s="15" t="b">
        <f>ISNUMBER(MATCH(Q1233,'Returned order'!A:A,0))</f>
        <v>0</v>
      </c>
      <c r="S1233" s="22">
        <v>42178.0</v>
      </c>
      <c r="T1233" s="15"/>
      <c r="U1233" s="15"/>
      <c r="V1233" s="15"/>
    </row>
    <row r="1234">
      <c r="A1234" s="2">
        <v>23514.0</v>
      </c>
      <c r="B1234" s="1" t="s">
        <v>170</v>
      </c>
      <c r="C1234" s="2">
        <v>0.01</v>
      </c>
      <c r="D1234" s="2">
        <v>6.48</v>
      </c>
      <c r="E1234" s="2">
        <v>2216.0</v>
      </c>
      <c r="F1234" s="1" t="s">
        <v>1529</v>
      </c>
      <c r="G1234" s="1" t="s">
        <v>32</v>
      </c>
      <c r="H1234" s="1" t="s">
        <v>23</v>
      </c>
      <c r="I1234" s="1" t="s">
        <v>93</v>
      </c>
      <c r="J1234" s="1" t="s">
        <v>753</v>
      </c>
      <c r="K1234" s="19" t="s">
        <v>26</v>
      </c>
      <c r="L1234" s="20" t="s">
        <v>57</v>
      </c>
      <c r="M1234" s="21">
        <f t="shared" si="1"/>
        <v>2</v>
      </c>
      <c r="N1234" s="2">
        <v>-26.936</v>
      </c>
      <c r="O1234" s="2">
        <v>10.0</v>
      </c>
      <c r="P1234" s="2">
        <v>67.41</v>
      </c>
      <c r="Q1234" s="2">
        <v>90314.0</v>
      </c>
      <c r="R1234" s="15" t="b">
        <f>ISNUMBER(MATCH(Q1234,'Returned order'!A:A,0))</f>
        <v>0</v>
      </c>
      <c r="S1234" s="22">
        <v>42178.0</v>
      </c>
      <c r="T1234" s="15"/>
      <c r="U1234" s="15"/>
      <c r="V1234" s="15"/>
    </row>
    <row r="1235">
      <c r="A1235" s="2">
        <v>22712.0</v>
      </c>
      <c r="B1235" s="1" t="s">
        <v>170</v>
      </c>
      <c r="C1235" s="2">
        <v>0.09</v>
      </c>
      <c r="D1235" s="2">
        <v>14.2</v>
      </c>
      <c r="E1235" s="2">
        <v>2220.0</v>
      </c>
      <c r="F1235" s="1" t="s">
        <v>1530</v>
      </c>
      <c r="G1235" s="1" t="s">
        <v>22</v>
      </c>
      <c r="H1235" s="1" t="s">
        <v>37</v>
      </c>
      <c r="I1235" s="1" t="s">
        <v>42</v>
      </c>
      <c r="J1235" s="1" t="s">
        <v>608</v>
      </c>
      <c r="K1235" s="19" t="s">
        <v>229</v>
      </c>
      <c r="L1235" s="20" t="s">
        <v>53</v>
      </c>
      <c r="M1235" s="21">
        <f t="shared" si="1"/>
        <v>6</v>
      </c>
      <c r="N1235" s="2">
        <v>-324.73</v>
      </c>
      <c r="O1235" s="2">
        <v>4.0</v>
      </c>
      <c r="P1235" s="2">
        <v>55.08</v>
      </c>
      <c r="Q1235" s="2">
        <v>91036.0</v>
      </c>
      <c r="R1235" s="15" t="b">
        <f>ISNUMBER(MATCH(Q1235,'Returned order'!A:A,0))</f>
        <v>0</v>
      </c>
      <c r="S1235" s="22">
        <v>42063.0</v>
      </c>
      <c r="T1235" s="15"/>
      <c r="U1235" s="15"/>
      <c r="V1235" s="15"/>
    </row>
    <row r="1236">
      <c r="A1236" s="2">
        <v>24113.0</v>
      </c>
      <c r="B1236" s="1" t="s">
        <v>58</v>
      </c>
      <c r="C1236" s="2">
        <v>0.0</v>
      </c>
      <c r="D1236" s="2">
        <v>100.89</v>
      </c>
      <c r="E1236" s="2">
        <v>2225.0</v>
      </c>
      <c r="F1236" s="1" t="s">
        <v>1531</v>
      </c>
      <c r="G1236" s="1" t="s">
        <v>66</v>
      </c>
      <c r="H1236" s="1" t="s">
        <v>37</v>
      </c>
      <c r="I1236" s="1" t="s">
        <v>38</v>
      </c>
      <c r="J1236" s="1" t="s">
        <v>1532</v>
      </c>
      <c r="K1236" s="19" t="s">
        <v>34</v>
      </c>
      <c r="L1236" s="20" t="s">
        <v>53</v>
      </c>
      <c r="M1236" s="21">
        <f t="shared" si="1"/>
        <v>6</v>
      </c>
      <c r="N1236" s="2">
        <v>1500.12</v>
      </c>
      <c r="O1236" s="2">
        <v>15.0</v>
      </c>
      <c r="P1236" s="2">
        <v>1608.11</v>
      </c>
      <c r="Q1236" s="2">
        <v>89970.0</v>
      </c>
      <c r="R1236" s="15" t="b">
        <f>ISNUMBER(MATCH(Q1236,'Returned order'!A:A,0))</f>
        <v>0</v>
      </c>
      <c r="S1236" s="22">
        <v>42056.0</v>
      </c>
      <c r="T1236" s="15"/>
      <c r="U1236" s="15"/>
      <c r="V1236" s="15"/>
    </row>
    <row r="1237">
      <c r="A1237" s="2">
        <v>18820.0</v>
      </c>
      <c r="B1237" s="1" t="s">
        <v>170</v>
      </c>
      <c r="C1237" s="2">
        <v>0.01</v>
      </c>
      <c r="D1237" s="2">
        <v>13.43</v>
      </c>
      <c r="E1237" s="2">
        <v>2240.0</v>
      </c>
      <c r="F1237" s="1" t="s">
        <v>1533</v>
      </c>
      <c r="G1237" s="1" t="s">
        <v>32</v>
      </c>
      <c r="H1237" s="1" t="s">
        <v>23</v>
      </c>
      <c r="I1237" s="1" t="s">
        <v>120</v>
      </c>
      <c r="J1237" s="1" t="s">
        <v>1255</v>
      </c>
      <c r="K1237" s="19" t="s">
        <v>229</v>
      </c>
      <c r="L1237" s="20" t="s">
        <v>27</v>
      </c>
      <c r="M1237" s="21">
        <f t="shared" si="1"/>
        <v>1</v>
      </c>
      <c r="N1237" s="2">
        <v>-313.0218</v>
      </c>
      <c r="O1237" s="2">
        <v>7.0</v>
      </c>
      <c r="P1237" s="2">
        <v>99.75</v>
      </c>
      <c r="Q1237" s="2">
        <v>89102.0</v>
      </c>
      <c r="R1237" s="15" t="b">
        <f>ISNUMBER(MATCH(Q1237,'Returned order'!A:A,0))</f>
        <v>0</v>
      </c>
      <c r="S1237" s="22">
        <v>42100.0</v>
      </c>
      <c r="T1237" s="15"/>
      <c r="U1237" s="15"/>
      <c r="V1237" s="15"/>
    </row>
    <row r="1238">
      <c r="A1238" s="2">
        <v>24121.0</v>
      </c>
      <c r="B1238" s="1" t="s">
        <v>170</v>
      </c>
      <c r="C1238" s="2">
        <v>0.0</v>
      </c>
      <c r="D1238" s="2">
        <v>2.08</v>
      </c>
      <c r="E1238" s="2">
        <v>2250.0</v>
      </c>
      <c r="F1238" s="1" t="s">
        <v>179</v>
      </c>
      <c r="G1238" s="1" t="s">
        <v>51</v>
      </c>
      <c r="H1238" s="1" t="s">
        <v>37</v>
      </c>
      <c r="I1238" s="1" t="s">
        <v>42</v>
      </c>
      <c r="J1238" s="1" t="s">
        <v>180</v>
      </c>
      <c r="K1238" s="19" t="s">
        <v>26</v>
      </c>
      <c r="L1238" s="20" t="s">
        <v>27</v>
      </c>
      <c r="M1238" s="21">
        <f t="shared" si="1"/>
        <v>1</v>
      </c>
      <c r="N1238" s="2">
        <v>-192.5532</v>
      </c>
      <c r="O1238" s="2">
        <v>22.0</v>
      </c>
      <c r="P1238" s="2">
        <v>51.41</v>
      </c>
      <c r="Q1238" s="2">
        <v>86699.0</v>
      </c>
      <c r="R1238" s="15" t="b">
        <f>ISNUMBER(MATCH(Q1238,'Returned order'!A:A,0))</f>
        <v>0</v>
      </c>
      <c r="S1238" s="22">
        <v>42107.0</v>
      </c>
      <c r="T1238" s="15"/>
      <c r="U1238" s="15"/>
      <c r="V1238" s="15"/>
    </row>
    <row r="1239">
      <c r="A1239" s="2">
        <v>25440.0</v>
      </c>
      <c r="B1239" s="1" t="s">
        <v>170</v>
      </c>
      <c r="C1239" s="2">
        <v>0.1</v>
      </c>
      <c r="D1239" s="2">
        <v>6.3</v>
      </c>
      <c r="E1239" s="2">
        <v>2254.0</v>
      </c>
      <c r="F1239" s="1" t="s">
        <v>1534</v>
      </c>
      <c r="G1239" s="1" t="s">
        <v>32</v>
      </c>
      <c r="H1239" s="1" t="s">
        <v>23</v>
      </c>
      <c r="I1239" s="1" t="s">
        <v>130</v>
      </c>
      <c r="J1239" s="1" t="s">
        <v>895</v>
      </c>
      <c r="K1239" s="19" t="s">
        <v>229</v>
      </c>
      <c r="L1239" s="20" t="s">
        <v>57</v>
      </c>
      <c r="M1239" s="21">
        <f t="shared" si="1"/>
        <v>2</v>
      </c>
      <c r="N1239" s="2">
        <v>-464.282</v>
      </c>
      <c r="O1239" s="2">
        <v>12.0</v>
      </c>
      <c r="P1239" s="2">
        <v>68.72</v>
      </c>
      <c r="Q1239" s="2">
        <v>89278.0</v>
      </c>
      <c r="R1239" s="15" t="b">
        <f>ISNUMBER(MATCH(Q1239,'Returned order'!A:A,0))</f>
        <v>0</v>
      </c>
      <c r="S1239" s="22">
        <v>42031.0</v>
      </c>
      <c r="T1239" s="15"/>
      <c r="U1239" s="15"/>
      <c r="V1239" s="15"/>
    </row>
    <row r="1240">
      <c r="A1240" s="2">
        <v>20639.0</v>
      </c>
      <c r="B1240" s="1" t="s">
        <v>28</v>
      </c>
      <c r="C1240" s="2">
        <v>0.1</v>
      </c>
      <c r="D1240" s="2">
        <v>48.91</v>
      </c>
      <c r="E1240" s="2">
        <v>2254.0</v>
      </c>
      <c r="F1240" s="1" t="s">
        <v>1534</v>
      </c>
      <c r="G1240" s="1" t="s">
        <v>32</v>
      </c>
      <c r="H1240" s="1" t="s">
        <v>23</v>
      </c>
      <c r="I1240" s="1" t="s">
        <v>93</v>
      </c>
      <c r="J1240" s="1" t="s">
        <v>1535</v>
      </c>
      <c r="K1240" s="19" t="s">
        <v>229</v>
      </c>
      <c r="L1240" s="20" t="s">
        <v>57</v>
      </c>
      <c r="M1240" s="21">
        <f t="shared" si="1"/>
        <v>2</v>
      </c>
      <c r="N1240" s="2">
        <v>156.7434</v>
      </c>
      <c r="O1240" s="2">
        <v>14.0</v>
      </c>
      <c r="P1240" s="2">
        <v>618.96</v>
      </c>
      <c r="Q1240" s="2">
        <v>89279.0</v>
      </c>
      <c r="R1240" s="15" t="b">
        <f>ISNUMBER(MATCH(Q1240,'Returned order'!A:A,0))</f>
        <v>0</v>
      </c>
      <c r="S1240" s="22">
        <v>42122.0</v>
      </c>
      <c r="T1240" s="15"/>
      <c r="U1240" s="15"/>
      <c r="V1240" s="15"/>
    </row>
    <row r="1241">
      <c r="A1241" s="2">
        <v>20640.0</v>
      </c>
      <c r="B1241" s="1" t="s">
        <v>28</v>
      </c>
      <c r="C1241" s="2">
        <v>0.08</v>
      </c>
      <c r="D1241" s="2">
        <v>5.98</v>
      </c>
      <c r="E1241" s="2">
        <v>2254.0</v>
      </c>
      <c r="F1241" s="1" t="s">
        <v>1534</v>
      </c>
      <c r="G1241" s="1" t="s">
        <v>32</v>
      </c>
      <c r="H1241" s="1" t="s">
        <v>23</v>
      </c>
      <c r="I1241" s="1" t="s">
        <v>93</v>
      </c>
      <c r="J1241" s="1" t="s">
        <v>821</v>
      </c>
      <c r="K1241" s="19" t="s">
        <v>229</v>
      </c>
      <c r="L1241" s="20" t="s">
        <v>57</v>
      </c>
      <c r="M1241" s="21">
        <f t="shared" si="1"/>
        <v>2</v>
      </c>
      <c r="N1241" s="2">
        <v>110.118</v>
      </c>
      <c r="O1241" s="2">
        <v>13.0</v>
      </c>
      <c r="P1241" s="2">
        <v>77.54</v>
      </c>
      <c r="Q1241" s="2">
        <v>89279.0</v>
      </c>
      <c r="R1241" s="15" t="b">
        <f>ISNUMBER(MATCH(Q1241,'Returned order'!A:A,0))</f>
        <v>0</v>
      </c>
      <c r="S1241" s="22">
        <v>42122.0</v>
      </c>
      <c r="T1241" s="15"/>
      <c r="U1241" s="15"/>
      <c r="V1241" s="15"/>
    </row>
    <row r="1242">
      <c r="A1242" s="2">
        <v>19054.0</v>
      </c>
      <c r="B1242" s="1" t="s">
        <v>58</v>
      </c>
      <c r="C1242" s="2">
        <v>0.07</v>
      </c>
      <c r="D1242" s="2">
        <v>60.97</v>
      </c>
      <c r="E1242" s="2">
        <v>2256.0</v>
      </c>
      <c r="F1242" s="1" t="s">
        <v>1536</v>
      </c>
      <c r="G1242" s="1" t="s">
        <v>32</v>
      </c>
      <c r="H1242" s="1" t="s">
        <v>23</v>
      </c>
      <c r="I1242" s="1" t="s">
        <v>151</v>
      </c>
      <c r="J1242" s="1" t="s">
        <v>1537</v>
      </c>
      <c r="K1242" s="19" t="s">
        <v>229</v>
      </c>
      <c r="L1242" s="20" t="s">
        <v>76</v>
      </c>
      <c r="M1242" s="21">
        <f t="shared" si="1"/>
        <v>5</v>
      </c>
      <c r="N1242" s="2">
        <v>-42.588</v>
      </c>
      <c r="O1242" s="2">
        <v>6.0</v>
      </c>
      <c r="P1242" s="2">
        <v>361.72</v>
      </c>
      <c r="Q1242" s="2">
        <v>87963.0</v>
      </c>
      <c r="R1242" s="15" t="b">
        <f>ISNUMBER(MATCH(Q1242,'Returned order'!A:A,0))</f>
        <v>0</v>
      </c>
      <c r="S1242" s="22">
        <v>42006.0</v>
      </c>
      <c r="T1242" s="15"/>
      <c r="U1242" s="15"/>
      <c r="V1242" s="15"/>
    </row>
    <row r="1243">
      <c r="A1243" s="2">
        <v>18652.0</v>
      </c>
      <c r="B1243" s="1" t="s">
        <v>63</v>
      </c>
      <c r="C1243" s="2">
        <v>0.07</v>
      </c>
      <c r="D1243" s="2">
        <v>70.98</v>
      </c>
      <c r="E1243" s="2">
        <v>2256.0</v>
      </c>
      <c r="F1243" s="1" t="s">
        <v>1536</v>
      </c>
      <c r="G1243" s="1" t="s">
        <v>32</v>
      </c>
      <c r="H1243" s="1" t="s">
        <v>37</v>
      </c>
      <c r="I1243" s="1" t="s">
        <v>38</v>
      </c>
      <c r="J1243" s="1" t="s">
        <v>1538</v>
      </c>
      <c r="K1243" s="19" t="s">
        <v>229</v>
      </c>
      <c r="L1243" s="20" t="s">
        <v>57</v>
      </c>
      <c r="M1243" s="21">
        <f t="shared" si="1"/>
        <v>2</v>
      </c>
      <c r="N1243" s="2">
        <v>-222.95</v>
      </c>
      <c r="O1243" s="2">
        <v>20.0</v>
      </c>
      <c r="P1243" s="2">
        <v>1373.47</v>
      </c>
      <c r="Q1243" s="2">
        <v>87964.0</v>
      </c>
      <c r="R1243" s="15" t="b">
        <f>ISNUMBER(MATCH(Q1243,'Returned order'!A:A,0))</f>
        <v>0</v>
      </c>
      <c r="S1243" s="22">
        <v>42087.0</v>
      </c>
      <c r="T1243" s="15"/>
      <c r="U1243" s="15"/>
      <c r="V1243" s="15"/>
    </row>
    <row r="1244">
      <c r="A1244" s="2">
        <v>21937.0</v>
      </c>
      <c r="B1244" s="1" t="s">
        <v>28</v>
      </c>
      <c r="C1244" s="2">
        <v>0.06</v>
      </c>
      <c r="D1244" s="2">
        <v>6.68</v>
      </c>
      <c r="E1244" s="2">
        <v>2257.0</v>
      </c>
      <c r="F1244" s="1" t="s">
        <v>1539</v>
      </c>
      <c r="G1244" s="1" t="s">
        <v>32</v>
      </c>
      <c r="H1244" s="1" t="s">
        <v>23</v>
      </c>
      <c r="I1244" s="1" t="s">
        <v>93</v>
      </c>
      <c r="J1244" s="1" t="s">
        <v>1540</v>
      </c>
      <c r="K1244" s="19" t="s">
        <v>229</v>
      </c>
      <c r="L1244" s="20" t="s">
        <v>76</v>
      </c>
      <c r="M1244" s="21">
        <f t="shared" si="1"/>
        <v>5</v>
      </c>
      <c r="N1244" s="2">
        <v>7.6245</v>
      </c>
      <c r="O1244" s="2">
        <v>14.0</v>
      </c>
      <c r="P1244" s="2">
        <v>91.92</v>
      </c>
      <c r="Q1244" s="2">
        <v>87965.0</v>
      </c>
      <c r="R1244" s="15" t="b">
        <f>ISNUMBER(MATCH(Q1244,'Returned order'!A:A,0))</f>
        <v>0</v>
      </c>
      <c r="S1244" s="22">
        <v>42167.0</v>
      </c>
      <c r="T1244" s="15"/>
      <c r="U1244" s="15"/>
      <c r="V1244" s="15"/>
    </row>
    <row r="1245">
      <c r="A1245" s="2">
        <v>26361.0</v>
      </c>
      <c r="B1245" s="1" t="s">
        <v>170</v>
      </c>
      <c r="C1245" s="2">
        <v>0.01</v>
      </c>
      <c r="D1245" s="2">
        <v>7.64</v>
      </c>
      <c r="E1245" s="2">
        <v>2258.0</v>
      </c>
      <c r="F1245" s="1" t="s">
        <v>1541</v>
      </c>
      <c r="G1245" s="1" t="s">
        <v>32</v>
      </c>
      <c r="H1245" s="1" t="s">
        <v>23</v>
      </c>
      <c r="I1245" s="1" t="s">
        <v>88</v>
      </c>
      <c r="J1245" s="1" t="s">
        <v>949</v>
      </c>
      <c r="K1245" s="19" t="s">
        <v>229</v>
      </c>
      <c r="L1245" s="20" t="s">
        <v>27</v>
      </c>
      <c r="M1245" s="21">
        <f t="shared" si="1"/>
        <v>1</v>
      </c>
      <c r="N1245" s="2">
        <v>-1676.612</v>
      </c>
      <c r="O1245" s="2">
        <v>9.0</v>
      </c>
      <c r="P1245" s="2">
        <v>73.29</v>
      </c>
      <c r="Q1245" s="2">
        <v>87962.0</v>
      </c>
      <c r="R1245" s="15" t="b">
        <f>ISNUMBER(MATCH(Q1245,'Returned order'!A:A,0))</f>
        <v>0</v>
      </c>
      <c r="S1245" s="22">
        <v>42072.0</v>
      </c>
      <c r="T1245" s="15"/>
      <c r="U1245" s="15"/>
      <c r="V1245" s="15"/>
    </row>
    <row r="1246">
      <c r="A1246" s="2">
        <v>26362.0</v>
      </c>
      <c r="B1246" s="1" t="s">
        <v>170</v>
      </c>
      <c r="C1246" s="2">
        <v>0.07</v>
      </c>
      <c r="D1246" s="2">
        <v>400.97</v>
      </c>
      <c r="E1246" s="2">
        <v>2258.0</v>
      </c>
      <c r="F1246" s="1" t="s">
        <v>1541</v>
      </c>
      <c r="G1246" s="1" t="s">
        <v>32</v>
      </c>
      <c r="H1246" s="1" t="s">
        <v>46</v>
      </c>
      <c r="I1246" s="1" t="s">
        <v>103</v>
      </c>
      <c r="J1246" s="1" t="s">
        <v>976</v>
      </c>
      <c r="K1246" s="19" t="s">
        <v>229</v>
      </c>
      <c r="L1246" s="20" t="s">
        <v>27</v>
      </c>
      <c r="M1246" s="21">
        <f t="shared" si="1"/>
        <v>1</v>
      </c>
      <c r="N1246" s="2">
        <v>45.1278</v>
      </c>
      <c r="O1246" s="2">
        <v>8.0</v>
      </c>
      <c r="P1246" s="2">
        <v>2961.32</v>
      </c>
      <c r="Q1246" s="2">
        <v>87962.0</v>
      </c>
      <c r="R1246" s="15" t="b">
        <f>ISNUMBER(MATCH(Q1246,'Returned order'!A:A,0))</f>
        <v>0</v>
      </c>
      <c r="S1246" s="22">
        <v>42072.0</v>
      </c>
      <c r="T1246" s="15"/>
      <c r="U1246" s="15"/>
      <c r="V1246" s="15"/>
    </row>
    <row r="1247">
      <c r="A1247" s="2">
        <v>20187.0</v>
      </c>
      <c r="B1247" s="1" t="s">
        <v>58</v>
      </c>
      <c r="C1247" s="2">
        <v>0.02</v>
      </c>
      <c r="D1247" s="2">
        <v>4.98</v>
      </c>
      <c r="E1247" s="2">
        <v>2260.0</v>
      </c>
      <c r="F1247" s="1" t="s">
        <v>1542</v>
      </c>
      <c r="G1247" s="1" t="s">
        <v>32</v>
      </c>
      <c r="H1247" s="1" t="s">
        <v>23</v>
      </c>
      <c r="I1247" s="1" t="s">
        <v>130</v>
      </c>
      <c r="J1247" s="1" t="s">
        <v>1074</v>
      </c>
      <c r="K1247" s="19" t="s">
        <v>229</v>
      </c>
      <c r="L1247" s="20" t="s">
        <v>61</v>
      </c>
      <c r="M1247" s="21">
        <f t="shared" si="1"/>
        <v>7</v>
      </c>
      <c r="N1247" s="2">
        <v>-52.864</v>
      </c>
      <c r="O1247" s="2">
        <v>17.0</v>
      </c>
      <c r="P1247" s="2">
        <v>87.11</v>
      </c>
      <c r="Q1247" s="2">
        <v>89601.0</v>
      </c>
      <c r="R1247" s="15" t="b">
        <f>ISNUMBER(MATCH(Q1247,'Returned order'!A:A,0))</f>
        <v>0</v>
      </c>
      <c r="S1247" s="22">
        <v>42050.0</v>
      </c>
      <c r="T1247" s="15"/>
      <c r="U1247" s="15"/>
      <c r="V1247" s="15"/>
    </row>
    <row r="1248">
      <c r="A1248" s="2">
        <v>20188.0</v>
      </c>
      <c r="B1248" s="1" t="s">
        <v>58</v>
      </c>
      <c r="C1248" s="2">
        <v>0.01</v>
      </c>
      <c r="D1248" s="2">
        <v>20.99</v>
      </c>
      <c r="E1248" s="2">
        <v>2260.0</v>
      </c>
      <c r="F1248" s="1" t="s">
        <v>1542</v>
      </c>
      <c r="G1248" s="1" t="s">
        <v>32</v>
      </c>
      <c r="H1248" s="1" t="s">
        <v>46</v>
      </c>
      <c r="I1248" s="1" t="s">
        <v>85</v>
      </c>
      <c r="J1248" s="1" t="s">
        <v>1543</v>
      </c>
      <c r="K1248" s="19" t="s">
        <v>229</v>
      </c>
      <c r="L1248" s="20" t="s">
        <v>61</v>
      </c>
      <c r="M1248" s="21">
        <f t="shared" si="1"/>
        <v>7</v>
      </c>
      <c r="N1248" s="2">
        <v>45.378</v>
      </c>
      <c r="O1248" s="2">
        <v>9.0</v>
      </c>
      <c r="P1248" s="2">
        <v>170.46</v>
      </c>
      <c r="Q1248" s="2">
        <v>89601.0</v>
      </c>
      <c r="R1248" s="15" t="b">
        <f>ISNUMBER(MATCH(Q1248,'Returned order'!A:A,0))</f>
        <v>0</v>
      </c>
      <c r="S1248" s="22">
        <v>42050.0</v>
      </c>
      <c r="T1248" s="15"/>
      <c r="U1248" s="15"/>
      <c r="V1248" s="15"/>
    </row>
    <row r="1249">
      <c r="A1249" s="2">
        <v>19569.0</v>
      </c>
      <c r="B1249" s="1" t="s">
        <v>28</v>
      </c>
      <c r="C1249" s="2">
        <v>0.08</v>
      </c>
      <c r="D1249" s="2">
        <v>4.98</v>
      </c>
      <c r="E1249" s="2">
        <v>2260.0</v>
      </c>
      <c r="F1249" s="1" t="s">
        <v>1542</v>
      </c>
      <c r="G1249" s="1" t="s">
        <v>32</v>
      </c>
      <c r="H1249" s="1" t="s">
        <v>23</v>
      </c>
      <c r="I1249" s="1" t="s">
        <v>130</v>
      </c>
      <c r="J1249" s="1" t="s">
        <v>1074</v>
      </c>
      <c r="K1249" s="19" t="s">
        <v>229</v>
      </c>
      <c r="L1249" s="20" t="s">
        <v>57</v>
      </c>
      <c r="M1249" s="21">
        <f t="shared" si="1"/>
        <v>2</v>
      </c>
      <c r="N1249" s="2">
        <v>4949.916</v>
      </c>
      <c r="O1249" s="2">
        <v>1.0</v>
      </c>
      <c r="P1249" s="2">
        <v>4.95</v>
      </c>
      <c r="Q1249" s="2">
        <v>89602.0</v>
      </c>
      <c r="R1249" s="15" t="b">
        <f>ISNUMBER(MATCH(Q1249,'Returned order'!A:A,0))</f>
        <v>0</v>
      </c>
      <c r="S1249" s="22">
        <v>42115.0</v>
      </c>
      <c r="T1249" s="15"/>
      <c r="U1249" s="15"/>
      <c r="V1249" s="15"/>
    </row>
    <row r="1250">
      <c r="A1250" s="2">
        <v>19570.0</v>
      </c>
      <c r="B1250" s="1" t="s">
        <v>28</v>
      </c>
      <c r="C1250" s="2">
        <v>0.09</v>
      </c>
      <c r="D1250" s="2">
        <v>119.99</v>
      </c>
      <c r="E1250" s="2">
        <v>2260.0</v>
      </c>
      <c r="F1250" s="1" t="s">
        <v>1542</v>
      </c>
      <c r="G1250" s="1" t="s">
        <v>32</v>
      </c>
      <c r="H1250" s="1" t="s">
        <v>46</v>
      </c>
      <c r="I1250" s="1" t="s">
        <v>103</v>
      </c>
      <c r="J1250" s="1" t="s">
        <v>719</v>
      </c>
      <c r="K1250" s="19" t="s">
        <v>229</v>
      </c>
      <c r="L1250" s="20" t="s">
        <v>57</v>
      </c>
      <c r="M1250" s="21">
        <f t="shared" si="1"/>
        <v>2</v>
      </c>
      <c r="N1250" s="2">
        <v>1055.604</v>
      </c>
      <c r="O1250" s="2">
        <v>4.0</v>
      </c>
      <c r="P1250" s="2">
        <v>461.24</v>
      </c>
      <c r="Q1250" s="2">
        <v>89602.0</v>
      </c>
      <c r="R1250" s="15" t="b">
        <f>ISNUMBER(MATCH(Q1250,'Returned order'!A:A,0))</f>
        <v>0</v>
      </c>
      <c r="S1250" s="22">
        <v>42115.0</v>
      </c>
      <c r="T1250" s="15"/>
      <c r="U1250" s="15"/>
      <c r="V1250" s="15"/>
    </row>
    <row r="1251">
      <c r="A1251" s="2">
        <v>18142.0</v>
      </c>
      <c r="B1251" s="1" t="s">
        <v>49</v>
      </c>
      <c r="C1251" s="2">
        <v>0.09</v>
      </c>
      <c r="D1251" s="2">
        <v>207.48</v>
      </c>
      <c r="E1251" s="2">
        <v>2264.0</v>
      </c>
      <c r="F1251" s="1" t="s">
        <v>1544</v>
      </c>
      <c r="G1251" s="1" t="s">
        <v>32</v>
      </c>
      <c r="H1251" s="1" t="s">
        <v>23</v>
      </c>
      <c r="I1251" s="1" t="s">
        <v>151</v>
      </c>
      <c r="J1251" s="1" t="s">
        <v>227</v>
      </c>
      <c r="K1251" s="19" t="s">
        <v>68</v>
      </c>
      <c r="L1251" s="20" t="s">
        <v>27</v>
      </c>
      <c r="M1251" s="21">
        <f t="shared" si="1"/>
        <v>1</v>
      </c>
      <c r="N1251" s="2">
        <v>359.83</v>
      </c>
      <c r="O1251" s="2">
        <v>3.0</v>
      </c>
      <c r="P1251" s="2">
        <v>577.75</v>
      </c>
      <c r="Q1251" s="2">
        <v>86611.0</v>
      </c>
      <c r="R1251" s="15" t="b">
        <f>ISNUMBER(MATCH(Q1251,'Returned order'!A:A,0))</f>
        <v>0</v>
      </c>
      <c r="S1251" s="22">
        <v>42030.0</v>
      </c>
      <c r="T1251" s="15"/>
      <c r="U1251" s="15"/>
      <c r="V1251" s="15"/>
    </row>
    <row r="1252">
      <c r="A1252" s="2">
        <v>19171.0</v>
      </c>
      <c r="B1252" s="1" t="s">
        <v>58</v>
      </c>
      <c r="C1252" s="2">
        <v>0.1</v>
      </c>
      <c r="D1252" s="2">
        <v>7.45</v>
      </c>
      <c r="E1252" s="2">
        <v>2265.0</v>
      </c>
      <c r="F1252" s="1" t="s">
        <v>1545</v>
      </c>
      <c r="G1252" s="1" t="s">
        <v>32</v>
      </c>
      <c r="H1252" s="1" t="s">
        <v>23</v>
      </c>
      <c r="I1252" s="1" t="s">
        <v>24</v>
      </c>
      <c r="J1252" s="1" t="s">
        <v>1546</v>
      </c>
      <c r="K1252" s="19" t="s">
        <v>68</v>
      </c>
      <c r="L1252" s="20" t="s">
        <v>70</v>
      </c>
      <c r="M1252" s="21">
        <f t="shared" si="1"/>
        <v>4</v>
      </c>
      <c r="N1252" s="2">
        <v>-69.874</v>
      </c>
      <c r="O1252" s="2">
        <v>8.0</v>
      </c>
      <c r="P1252" s="2">
        <v>59.4</v>
      </c>
      <c r="Q1252" s="2">
        <v>86612.0</v>
      </c>
      <c r="R1252" s="15" t="b">
        <f>ISNUMBER(MATCH(Q1252,'Returned order'!A:A,0))</f>
        <v>0</v>
      </c>
      <c r="S1252" s="22">
        <v>42033.0</v>
      </c>
      <c r="T1252" s="15"/>
      <c r="U1252" s="15"/>
      <c r="V1252" s="15"/>
    </row>
    <row r="1253">
      <c r="A1253" s="2">
        <v>19172.0</v>
      </c>
      <c r="B1253" s="1" t="s">
        <v>58</v>
      </c>
      <c r="C1253" s="2">
        <v>0.01</v>
      </c>
      <c r="D1253" s="2">
        <v>6.48</v>
      </c>
      <c r="E1253" s="2">
        <v>2265.0</v>
      </c>
      <c r="F1253" s="1" t="s">
        <v>1545</v>
      </c>
      <c r="G1253" s="1" t="s">
        <v>32</v>
      </c>
      <c r="H1253" s="1" t="s">
        <v>23</v>
      </c>
      <c r="I1253" s="1" t="s">
        <v>93</v>
      </c>
      <c r="J1253" s="1" t="s">
        <v>870</v>
      </c>
      <c r="K1253" s="19" t="s">
        <v>68</v>
      </c>
      <c r="L1253" s="20" t="s">
        <v>70</v>
      </c>
      <c r="M1253" s="21">
        <f t="shared" si="1"/>
        <v>4</v>
      </c>
      <c r="N1253" s="2">
        <v>-135.74</v>
      </c>
      <c r="O1253" s="2">
        <v>10.0</v>
      </c>
      <c r="P1253" s="2">
        <v>66.46</v>
      </c>
      <c r="Q1253" s="2">
        <v>86612.0</v>
      </c>
      <c r="R1253" s="15" t="b">
        <f>ISNUMBER(MATCH(Q1253,'Returned order'!A:A,0))</f>
        <v>0</v>
      </c>
      <c r="S1253" s="22">
        <v>42033.0</v>
      </c>
      <c r="T1253" s="15"/>
      <c r="U1253" s="15"/>
      <c r="V1253" s="15"/>
    </row>
    <row r="1254">
      <c r="A1254" s="2">
        <v>25996.0</v>
      </c>
      <c r="B1254" s="1" t="s">
        <v>58</v>
      </c>
      <c r="C1254" s="2">
        <v>0.02</v>
      </c>
      <c r="D1254" s="2">
        <v>11.33</v>
      </c>
      <c r="E1254" s="2">
        <v>2266.0</v>
      </c>
      <c r="F1254" s="1" t="s">
        <v>1547</v>
      </c>
      <c r="G1254" s="1" t="s">
        <v>32</v>
      </c>
      <c r="H1254" s="1" t="s">
        <v>23</v>
      </c>
      <c r="I1254" s="1" t="s">
        <v>151</v>
      </c>
      <c r="J1254" s="1" t="s">
        <v>1548</v>
      </c>
      <c r="K1254" s="19" t="s">
        <v>68</v>
      </c>
      <c r="L1254" s="20" t="s">
        <v>57</v>
      </c>
      <c r="M1254" s="21">
        <f t="shared" si="1"/>
        <v>2</v>
      </c>
      <c r="N1254" s="2">
        <v>-14.52</v>
      </c>
      <c r="O1254" s="2">
        <v>3.0</v>
      </c>
      <c r="P1254" s="2">
        <v>35.35</v>
      </c>
      <c r="Q1254" s="2">
        <v>86610.0</v>
      </c>
      <c r="R1254" s="15" t="b">
        <f>ISNUMBER(MATCH(Q1254,'Returned order'!A:A,0))</f>
        <v>0</v>
      </c>
      <c r="S1254" s="22">
        <v>42150.0</v>
      </c>
      <c r="T1254" s="15"/>
      <c r="U1254" s="15"/>
      <c r="V1254" s="15"/>
    </row>
    <row r="1255">
      <c r="A1255" s="2">
        <v>25997.0</v>
      </c>
      <c r="B1255" s="1" t="s">
        <v>58</v>
      </c>
      <c r="C1255" s="2">
        <v>0.01</v>
      </c>
      <c r="D1255" s="2">
        <v>15.67</v>
      </c>
      <c r="E1255" s="2">
        <v>2266.0</v>
      </c>
      <c r="F1255" s="1" t="s">
        <v>1547</v>
      </c>
      <c r="G1255" s="1" t="s">
        <v>32</v>
      </c>
      <c r="H1255" s="1" t="s">
        <v>23</v>
      </c>
      <c r="I1255" s="1" t="s">
        <v>88</v>
      </c>
      <c r="J1255" s="1" t="s">
        <v>1253</v>
      </c>
      <c r="K1255" s="19" t="s">
        <v>68</v>
      </c>
      <c r="L1255" s="20" t="s">
        <v>57</v>
      </c>
      <c r="M1255" s="21">
        <f t="shared" si="1"/>
        <v>2</v>
      </c>
      <c r="N1255" s="2">
        <v>171.2649</v>
      </c>
      <c r="O1255" s="2">
        <v>16.0</v>
      </c>
      <c r="P1255" s="2">
        <v>248.21</v>
      </c>
      <c r="Q1255" s="2">
        <v>86610.0</v>
      </c>
      <c r="R1255" s="15" t="b">
        <f>ISNUMBER(MATCH(Q1255,'Returned order'!A:A,0))</f>
        <v>0</v>
      </c>
      <c r="S1255" s="22">
        <v>42150.0</v>
      </c>
      <c r="T1255" s="15"/>
      <c r="U1255" s="15"/>
      <c r="V1255" s="15"/>
    </row>
    <row r="1256">
      <c r="A1256" s="2">
        <v>19072.0</v>
      </c>
      <c r="B1256" s="1" t="s">
        <v>170</v>
      </c>
      <c r="C1256" s="2">
        <v>0.08</v>
      </c>
      <c r="D1256" s="2">
        <v>259.71</v>
      </c>
      <c r="E1256" s="2">
        <v>2268.0</v>
      </c>
      <c r="F1256" s="1" t="s">
        <v>1549</v>
      </c>
      <c r="G1256" s="1" t="s">
        <v>66</v>
      </c>
      <c r="H1256" s="1" t="s">
        <v>37</v>
      </c>
      <c r="I1256" s="1" t="s">
        <v>73</v>
      </c>
      <c r="J1256" s="1" t="s">
        <v>349</v>
      </c>
      <c r="K1256" s="19" t="s">
        <v>229</v>
      </c>
      <c r="L1256" s="20" t="s">
        <v>35</v>
      </c>
      <c r="M1256" s="21">
        <f t="shared" si="1"/>
        <v>3</v>
      </c>
      <c r="N1256" s="2">
        <v>138.222</v>
      </c>
      <c r="O1256" s="2">
        <v>17.0</v>
      </c>
      <c r="P1256" s="2">
        <v>4086.5</v>
      </c>
      <c r="Q1256" s="2">
        <v>89571.0</v>
      </c>
      <c r="R1256" s="15" t="b">
        <f>ISNUMBER(MATCH(Q1256,'Returned order'!A:A,0))</f>
        <v>0</v>
      </c>
      <c r="S1256" s="22">
        <v>42158.0</v>
      </c>
      <c r="T1256" s="15"/>
      <c r="U1256" s="15"/>
      <c r="V1256" s="15"/>
    </row>
    <row r="1257">
      <c r="A1257" s="2">
        <v>23963.0</v>
      </c>
      <c r="B1257" s="1" t="s">
        <v>170</v>
      </c>
      <c r="C1257" s="2">
        <v>0.01</v>
      </c>
      <c r="D1257" s="2">
        <v>20.48</v>
      </c>
      <c r="E1257" s="2">
        <v>2270.0</v>
      </c>
      <c r="F1257" s="1" t="s">
        <v>1550</v>
      </c>
      <c r="G1257" s="1" t="s">
        <v>66</v>
      </c>
      <c r="H1257" s="1" t="s">
        <v>23</v>
      </c>
      <c r="I1257" s="1" t="s">
        <v>151</v>
      </c>
      <c r="J1257" s="1" t="s">
        <v>1398</v>
      </c>
      <c r="K1257" s="19" t="s">
        <v>229</v>
      </c>
      <c r="L1257" s="20" t="s">
        <v>76</v>
      </c>
      <c r="M1257" s="21">
        <f t="shared" si="1"/>
        <v>5</v>
      </c>
      <c r="N1257" s="2">
        <v>711.2448</v>
      </c>
      <c r="O1257" s="2">
        <v>18.0</v>
      </c>
      <c r="P1257" s="2">
        <v>375.03</v>
      </c>
      <c r="Q1257" s="2">
        <v>89572.0</v>
      </c>
      <c r="R1257" s="15" t="b">
        <f>ISNUMBER(MATCH(Q1257,'Returned order'!A:A,0))</f>
        <v>0</v>
      </c>
      <c r="S1257" s="22">
        <v>42041.0</v>
      </c>
      <c r="T1257" s="15"/>
      <c r="U1257" s="15"/>
      <c r="V1257" s="15"/>
    </row>
    <row r="1258">
      <c r="A1258" s="2">
        <v>23964.0</v>
      </c>
      <c r="B1258" s="1" t="s">
        <v>170</v>
      </c>
      <c r="C1258" s="2">
        <v>0.09</v>
      </c>
      <c r="D1258" s="2">
        <v>1.86</v>
      </c>
      <c r="E1258" s="2">
        <v>2270.0</v>
      </c>
      <c r="F1258" s="1" t="s">
        <v>1550</v>
      </c>
      <c r="G1258" s="1" t="s">
        <v>66</v>
      </c>
      <c r="H1258" s="1" t="s">
        <v>23</v>
      </c>
      <c r="I1258" s="1" t="s">
        <v>81</v>
      </c>
      <c r="J1258" s="1" t="s">
        <v>327</v>
      </c>
      <c r="K1258" s="19" t="s">
        <v>229</v>
      </c>
      <c r="L1258" s="20" t="s">
        <v>76</v>
      </c>
      <c r="M1258" s="21">
        <f t="shared" si="1"/>
        <v>5</v>
      </c>
      <c r="N1258" s="2">
        <v>-1084.846963</v>
      </c>
      <c r="O1258" s="2">
        <v>12.0</v>
      </c>
      <c r="P1258" s="2">
        <v>22.11</v>
      </c>
      <c r="Q1258" s="2">
        <v>89572.0</v>
      </c>
      <c r="R1258" s="15" t="b">
        <f>ISNUMBER(MATCH(Q1258,'Returned order'!A:A,0))</f>
        <v>0</v>
      </c>
      <c r="S1258" s="22">
        <v>42041.0</v>
      </c>
      <c r="T1258" s="15"/>
      <c r="U1258" s="15"/>
      <c r="V1258" s="15"/>
    </row>
    <row r="1259">
      <c r="A1259" s="2">
        <v>23965.0</v>
      </c>
      <c r="B1259" s="1" t="s">
        <v>170</v>
      </c>
      <c r="C1259" s="2">
        <v>0.08</v>
      </c>
      <c r="D1259" s="2">
        <v>205.99</v>
      </c>
      <c r="E1259" s="2">
        <v>2270.0</v>
      </c>
      <c r="F1259" s="1" t="s">
        <v>1550</v>
      </c>
      <c r="G1259" s="1" t="s">
        <v>66</v>
      </c>
      <c r="H1259" s="1" t="s">
        <v>46</v>
      </c>
      <c r="I1259" s="1" t="s">
        <v>85</v>
      </c>
      <c r="J1259" s="1" t="s">
        <v>1551</v>
      </c>
      <c r="K1259" s="19" t="s">
        <v>229</v>
      </c>
      <c r="L1259" s="20" t="s">
        <v>76</v>
      </c>
      <c r="M1259" s="21">
        <f t="shared" si="1"/>
        <v>5</v>
      </c>
      <c r="N1259" s="2">
        <v>-156.772</v>
      </c>
      <c r="O1259" s="2">
        <v>17.0</v>
      </c>
      <c r="P1259" s="2">
        <v>2875.35</v>
      </c>
      <c r="Q1259" s="2">
        <v>89572.0</v>
      </c>
      <c r="R1259" s="15" t="b">
        <f>ISNUMBER(MATCH(Q1259,'Returned order'!A:A,0))</f>
        <v>0</v>
      </c>
      <c r="S1259" s="22">
        <v>42041.0</v>
      </c>
      <c r="T1259" s="15"/>
      <c r="U1259" s="15"/>
      <c r="V1259" s="15"/>
    </row>
    <row r="1260">
      <c r="A1260" s="2">
        <v>19438.0</v>
      </c>
      <c r="B1260" s="1" t="s">
        <v>28</v>
      </c>
      <c r="C1260" s="2">
        <v>0.08</v>
      </c>
      <c r="D1260" s="2">
        <v>15.73</v>
      </c>
      <c r="E1260" s="2">
        <v>2272.0</v>
      </c>
      <c r="F1260" s="1" t="s">
        <v>1552</v>
      </c>
      <c r="G1260" s="1" t="s">
        <v>32</v>
      </c>
      <c r="H1260" s="1" t="s">
        <v>23</v>
      </c>
      <c r="I1260" s="1" t="s">
        <v>257</v>
      </c>
      <c r="J1260" s="1" t="s">
        <v>1553</v>
      </c>
      <c r="K1260" s="19" t="s">
        <v>68</v>
      </c>
      <c r="L1260" s="20" t="s">
        <v>27</v>
      </c>
      <c r="M1260" s="21">
        <f t="shared" si="1"/>
        <v>1</v>
      </c>
      <c r="N1260" s="2">
        <v>-37.6</v>
      </c>
      <c r="O1260" s="2">
        <v>5.0</v>
      </c>
      <c r="P1260" s="2">
        <v>78.08</v>
      </c>
      <c r="Q1260" s="2">
        <v>90110.0</v>
      </c>
      <c r="R1260" s="15" t="b">
        <f>ISNUMBER(MATCH(Q1260,'Returned order'!A:A,0))</f>
        <v>0</v>
      </c>
      <c r="S1260" s="22">
        <v>42079.0</v>
      </c>
      <c r="T1260" s="15"/>
      <c r="U1260" s="15"/>
      <c r="V1260" s="15"/>
    </row>
    <row r="1261">
      <c r="A1261" s="2">
        <v>23416.0</v>
      </c>
      <c r="B1261" s="1" t="s">
        <v>170</v>
      </c>
      <c r="C1261" s="2">
        <v>0.04</v>
      </c>
      <c r="D1261" s="2">
        <v>120.98</v>
      </c>
      <c r="E1261" s="2">
        <v>2273.0</v>
      </c>
      <c r="F1261" s="1" t="s">
        <v>1554</v>
      </c>
      <c r="G1261" s="1" t="s">
        <v>32</v>
      </c>
      <c r="H1261" s="1" t="s">
        <v>23</v>
      </c>
      <c r="I1261" s="1" t="s">
        <v>151</v>
      </c>
      <c r="J1261" s="1" t="s">
        <v>1555</v>
      </c>
      <c r="K1261" s="19" t="s">
        <v>68</v>
      </c>
      <c r="L1261" s="20" t="s">
        <v>57</v>
      </c>
      <c r="M1261" s="21">
        <f t="shared" si="1"/>
        <v>2</v>
      </c>
      <c r="N1261" s="2">
        <v>1389.5772</v>
      </c>
      <c r="O1261" s="2">
        <v>17.0</v>
      </c>
      <c r="P1261" s="2">
        <v>2013.88</v>
      </c>
      <c r="Q1261" s="2">
        <v>90109.0</v>
      </c>
      <c r="R1261" s="15" t="b">
        <f>ISNUMBER(MATCH(Q1261,'Returned order'!A:A,0))</f>
        <v>0</v>
      </c>
      <c r="S1261" s="22">
        <v>42129.0</v>
      </c>
      <c r="T1261" s="15"/>
      <c r="U1261" s="15"/>
      <c r="V1261" s="15"/>
    </row>
    <row r="1262">
      <c r="A1262" s="2">
        <v>23417.0</v>
      </c>
      <c r="B1262" s="1" t="s">
        <v>170</v>
      </c>
      <c r="C1262" s="2">
        <v>0.02</v>
      </c>
      <c r="D1262" s="2">
        <v>55.99</v>
      </c>
      <c r="E1262" s="2">
        <v>2273.0</v>
      </c>
      <c r="F1262" s="1" t="s">
        <v>1554</v>
      </c>
      <c r="G1262" s="1" t="s">
        <v>32</v>
      </c>
      <c r="H1262" s="1" t="s">
        <v>46</v>
      </c>
      <c r="I1262" s="1" t="s">
        <v>85</v>
      </c>
      <c r="J1262" s="1" t="s">
        <v>384</v>
      </c>
      <c r="K1262" s="19" t="s">
        <v>68</v>
      </c>
      <c r="L1262" s="20" t="s">
        <v>57</v>
      </c>
      <c r="M1262" s="21">
        <f t="shared" si="1"/>
        <v>2</v>
      </c>
      <c r="N1262" s="2">
        <v>-222.816</v>
      </c>
      <c r="O1262" s="2">
        <v>4.0</v>
      </c>
      <c r="P1262" s="2">
        <v>201.32</v>
      </c>
      <c r="Q1262" s="2">
        <v>90109.0</v>
      </c>
      <c r="R1262" s="15" t="b">
        <f>ISNUMBER(MATCH(Q1262,'Returned order'!A:A,0))</f>
        <v>0</v>
      </c>
      <c r="S1262" s="22">
        <v>42129.0</v>
      </c>
      <c r="T1262" s="15"/>
      <c r="U1262" s="15"/>
      <c r="V1262" s="15"/>
    </row>
    <row r="1263">
      <c r="A1263" s="2">
        <v>23418.0</v>
      </c>
      <c r="B1263" s="1" t="s">
        <v>170</v>
      </c>
      <c r="C1263" s="2">
        <v>0.05</v>
      </c>
      <c r="D1263" s="2">
        <v>23.99</v>
      </c>
      <c r="E1263" s="2">
        <v>2274.0</v>
      </c>
      <c r="F1263" s="1" t="s">
        <v>1556</v>
      </c>
      <c r="G1263" s="1" t="s">
        <v>32</v>
      </c>
      <c r="H1263" s="1" t="s">
        <v>37</v>
      </c>
      <c r="I1263" s="1" t="s">
        <v>42</v>
      </c>
      <c r="J1263" s="1" t="s">
        <v>1557</v>
      </c>
      <c r="K1263" s="19" t="s">
        <v>68</v>
      </c>
      <c r="L1263" s="20" t="s">
        <v>57</v>
      </c>
      <c r="M1263" s="21">
        <f t="shared" si="1"/>
        <v>2</v>
      </c>
      <c r="N1263" s="2">
        <v>-133.71</v>
      </c>
      <c r="O1263" s="2">
        <v>12.0</v>
      </c>
      <c r="P1263" s="2">
        <v>298.51</v>
      </c>
      <c r="Q1263" s="2">
        <v>90109.0</v>
      </c>
      <c r="R1263" s="15" t="b">
        <f>ISNUMBER(MATCH(Q1263,'Returned order'!A:A,0))</f>
        <v>0</v>
      </c>
      <c r="S1263" s="22">
        <v>42129.0</v>
      </c>
      <c r="T1263" s="15"/>
      <c r="U1263" s="15"/>
      <c r="V1263" s="15"/>
    </row>
    <row r="1264">
      <c r="A1264" s="2">
        <v>24552.0</v>
      </c>
      <c r="B1264" s="1" t="s">
        <v>49</v>
      </c>
      <c r="C1264" s="2">
        <v>0.01</v>
      </c>
      <c r="D1264" s="2">
        <v>195.99</v>
      </c>
      <c r="E1264" s="2">
        <v>2276.0</v>
      </c>
      <c r="F1264" s="1" t="s">
        <v>1558</v>
      </c>
      <c r="G1264" s="1" t="s">
        <v>22</v>
      </c>
      <c r="H1264" s="1" t="s">
        <v>46</v>
      </c>
      <c r="I1264" s="1" t="s">
        <v>85</v>
      </c>
      <c r="J1264" s="1" t="s">
        <v>611</v>
      </c>
      <c r="K1264" s="19" t="s">
        <v>26</v>
      </c>
      <c r="L1264" s="20" t="s">
        <v>57</v>
      </c>
      <c r="M1264" s="21">
        <f t="shared" si="1"/>
        <v>2</v>
      </c>
      <c r="N1264" s="2">
        <v>2653.7814</v>
      </c>
      <c r="O1264" s="2">
        <v>22.0</v>
      </c>
      <c r="P1264" s="2">
        <v>3846.06</v>
      </c>
      <c r="Q1264" s="2">
        <v>91502.0</v>
      </c>
      <c r="R1264" s="15" t="b">
        <f>ISNUMBER(MATCH(Q1264,'Returned order'!A:A,0))</f>
        <v>0</v>
      </c>
      <c r="S1264" s="22">
        <v>42185.0</v>
      </c>
      <c r="T1264" s="15"/>
      <c r="U1264" s="15"/>
      <c r="V1264" s="15"/>
    </row>
    <row r="1265">
      <c r="A1265" s="2">
        <v>23572.0</v>
      </c>
      <c r="B1265" s="1" t="s">
        <v>170</v>
      </c>
      <c r="C1265" s="2">
        <v>0.04</v>
      </c>
      <c r="D1265" s="2">
        <v>4.48</v>
      </c>
      <c r="E1265" s="2">
        <v>2279.0</v>
      </c>
      <c r="F1265" s="1" t="s">
        <v>181</v>
      </c>
      <c r="G1265" s="1" t="s">
        <v>51</v>
      </c>
      <c r="H1265" s="1" t="s">
        <v>23</v>
      </c>
      <c r="I1265" s="1" t="s">
        <v>88</v>
      </c>
      <c r="J1265" s="1" t="s">
        <v>182</v>
      </c>
      <c r="K1265" s="19" t="s">
        <v>26</v>
      </c>
      <c r="L1265" s="20" t="s">
        <v>27</v>
      </c>
      <c r="M1265" s="21">
        <f t="shared" si="1"/>
        <v>1</v>
      </c>
      <c r="N1265" s="2">
        <v>10.32</v>
      </c>
      <c r="O1265" s="2">
        <v>7.0</v>
      </c>
      <c r="P1265" s="2">
        <v>35.93</v>
      </c>
      <c r="Q1265" s="2">
        <v>85949.0</v>
      </c>
      <c r="R1265" s="15" t="b">
        <f>ISNUMBER(MATCH(Q1265,'Returned order'!A:A,0))</f>
        <v>0</v>
      </c>
      <c r="S1265" s="22">
        <v>42177.0</v>
      </c>
      <c r="T1265" s="15"/>
      <c r="U1265" s="15"/>
      <c r="V1265" s="15"/>
    </row>
    <row r="1266">
      <c r="A1266" s="2">
        <v>19615.0</v>
      </c>
      <c r="B1266" s="1" t="s">
        <v>49</v>
      </c>
      <c r="C1266" s="2">
        <v>0.08</v>
      </c>
      <c r="D1266" s="2">
        <v>205.99</v>
      </c>
      <c r="E1266" s="2">
        <v>2281.0</v>
      </c>
      <c r="F1266" s="1" t="s">
        <v>1559</v>
      </c>
      <c r="G1266" s="1" t="s">
        <v>51</v>
      </c>
      <c r="H1266" s="1" t="s">
        <v>46</v>
      </c>
      <c r="I1266" s="1" t="s">
        <v>85</v>
      </c>
      <c r="J1266" s="1" t="s">
        <v>1551</v>
      </c>
      <c r="K1266" s="19" t="s">
        <v>68</v>
      </c>
      <c r="L1266" s="20" t="s">
        <v>57</v>
      </c>
      <c r="M1266" s="21">
        <f t="shared" si="1"/>
        <v>2</v>
      </c>
      <c r="N1266" s="2">
        <v>997.38144</v>
      </c>
      <c r="O1266" s="2">
        <v>10.0</v>
      </c>
      <c r="P1266" s="2">
        <v>1610.84</v>
      </c>
      <c r="Q1266" s="2">
        <v>85948.0</v>
      </c>
      <c r="R1266" s="15" t="b">
        <f>ISNUMBER(MATCH(Q1266,'Returned order'!A:A,0))</f>
        <v>0</v>
      </c>
      <c r="S1266" s="22">
        <v>42031.0</v>
      </c>
      <c r="T1266" s="15"/>
      <c r="U1266" s="15"/>
      <c r="V1266" s="15"/>
    </row>
    <row r="1267">
      <c r="A1267" s="2">
        <v>21260.0</v>
      </c>
      <c r="B1267" s="1" t="s">
        <v>63</v>
      </c>
      <c r="C1267" s="2">
        <v>0.04</v>
      </c>
      <c r="D1267" s="2">
        <v>5.98</v>
      </c>
      <c r="E1267" s="2">
        <v>2282.0</v>
      </c>
      <c r="F1267" s="1" t="s">
        <v>1560</v>
      </c>
      <c r="G1267" s="1" t="s">
        <v>51</v>
      </c>
      <c r="H1267" s="1" t="s">
        <v>23</v>
      </c>
      <c r="I1267" s="1" t="s">
        <v>93</v>
      </c>
      <c r="J1267" s="1" t="s">
        <v>204</v>
      </c>
      <c r="K1267" s="19" t="s">
        <v>68</v>
      </c>
      <c r="L1267" s="20" t="s">
        <v>70</v>
      </c>
      <c r="M1267" s="21">
        <f t="shared" si="1"/>
        <v>4</v>
      </c>
      <c r="N1267" s="2">
        <v>-36.0308</v>
      </c>
      <c r="O1267" s="2">
        <v>14.0</v>
      </c>
      <c r="P1267" s="2">
        <v>86.12</v>
      </c>
      <c r="Q1267" s="2">
        <v>85950.0</v>
      </c>
      <c r="R1267" s="15" t="b">
        <f>ISNUMBER(MATCH(Q1267,'Returned order'!A:A,0))</f>
        <v>0</v>
      </c>
      <c r="S1267" s="22">
        <v>42040.0</v>
      </c>
      <c r="T1267" s="15"/>
      <c r="U1267" s="15"/>
      <c r="V1267" s="15"/>
    </row>
    <row r="1268">
      <c r="A1268" s="2">
        <v>26148.0</v>
      </c>
      <c r="B1268" s="1" t="s">
        <v>63</v>
      </c>
      <c r="C1268" s="2">
        <v>0.01</v>
      </c>
      <c r="D1268" s="2">
        <v>11.7</v>
      </c>
      <c r="E1268" s="2">
        <v>2283.0</v>
      </c>
      <c r="F1268" s="1" t="s">
        <v>1561</v>
      </c>
      <c r="G1268" s="1" t="s">
        <v>51</v>
      </c>
      <c r="H1268" s="1" t="s">
        <v>23</v>
      </c>
      <c r="I1268" s="1" t="s">
        <v>151</v>
      </c>
      <c r="J1268" s="1" t="s">
        <v>974</v>
      </c>
      <c r="K1268" s="19" t="s">
        <v>68</v>
      </c>
      <c r="L1268" s="20" t="s">
        <v>53</v>
      </c>
      <c r="M1268" s="21">
        <f t="shared" si="1"/>
        <v>6</v>
      </c>
      <c r="N1268" s="2">
        <v>-28.954</v>
      </c>
      <c r="O1268" s="2">
        <v>6.0</v>
      </c>
      <c r="P1268" s="2">
        <v>76.87</v>
      </c>
      <c r="Q1268" s="2">
        <v>85947.0</v>
      </c>
      <c r="R1268" s="15" t="b">
        <f>ISNUMBER(MATCH(Q1268,'Returned order'!A:A,0))</f>
        <v>0</v>
      </c>
      <c r="S1268" s="22">
        <v>42028.0</v>
      </c>
      <c r="T1268" s="15"/>
      <c r="U1268" s="15"/>
      <c r="V1268" s="15"/>
    </row>
    <row r="1269">
      <c r="A1269" s="2">
        <v>19460.0</v>
      </c>
      <c r="B1269" s="1" t="s">
        <v>63</v>
      </c>
      <c r="C1269" s="2">
        <v>0.02</v>
      </c>
      <c r="D1269" s="2">
        <v>17.7</v>
      </c>
      <c r="E1269" s="2">
        <v>2285.0</v>
      </c>
      <c r="F1269" s="1" t="s">
        <v>1562</v>
      </c>
      <c r="G1269" s="1" t="s">
        <v>32</v>
      </c>
      <c r="H1269" s="1" t="s">
        <v>23</v>
      </c>
      <c r="I1269" s="1" t="s">
        <v>120</v>
      </c>
      <c r="J1269" s="1" t="s">
        <v>1170</v>
      </c>
      <c r="K1269" s="19" t="s">
        <v>229</v>
      </c>
      <c r="L1269" s="20" t="s">
        <v>76</v>
      </c>
      <c r="M1269" s="21">
        <f t="shared" si="1"/>
        <v>5</v>
      </c>
      <c r="N1269" s="2">
        <v>-85.022</v>
      </c>
      <c r="O1269" s="2">
        <v>21.0</v>
      </c>
      <c r="P1269" s="2">
        <v>374.6</v>
      </c>
      <c r="Q1269" s="2">
        <v>90148.0</v>
      </c>
      <c r="R1269" s="15" t="b">
        <f>ISNUMBER(MATCH(Q1269,'Returned order'!A:A,0))</f>
        <v>0</v>
      </c>
      <c r="S1269" s="22">
        <v>42076.0</v>
      </c>
      <c r="T1269" s="15"/>
      <c r="U1269" s="15"/>
      <c r="V1269" s="15"/>
    </row>
    <row r="1270">
      <c r="A1270" s="2">
        <v>21529.0</v>
      </c>
      <c r="B1270" s="1" t="s">
        <v>63</v>
      </c>
      <c r="C1270" s="2">
        <v>0.0</v>
      </c>
      <c r="D1270" s="2">
        <v>4.91</v>
      </c>
      <c r="E1270" s="2">
        <v>2286.0</v>
      </c>
      <c r="F1270" s="1" t="s">
        <v>1563</v>
      </c>
      <c r="G1270" s="1" t="s">
        <v>32</v>
      </c>
      <c r="H1270" s="1" t="s">
        <v>23</v>
      </c>
      <c r="I1270" s="1" t="s">
        <v>130</v>
      </c>
      <c r="J1270" s="1" t="s">
        <v>251</v>
      </c>
      <c r="K1270" s="19" t="s">
        <v>229</v>
      </c>
      <c r="L1270" s="20" t="s">
        <v>35</v>
      </c>
      <c r="M1270" s="21">
        <f t="shared" si="1"/>
        <v>3</v>
      </c>
      <c r="N1270" s="2">
        <v>99.198</v>
      </c>
      <c r="O1270" s="2">
        <v>12.0</v>
      </c>
      <c r="P1270" s="2">
        <v>61.87</v>
      </c>
      <c r="Q1270" s="2">
        <v>90145.0</v>
      </c>
      <c r="R1270" s="15" t="b">
        <f>ISNUMBER(MATCH(Q1270,'Returned order'!A:A,0))</f>
        <v>0</v>
      </c>
      <c r="S1270" s="22">
        <v>42039.0</v>
      </c>
      <c r="T1270" s="15"/>
      <c r="U1270" s="15"/>
      <c r="V1270" s="15"/>
    </row>
    <row r="1271">
      <c r="A1271" s="2">
        <v>21530.0</v>
      </c>
      <c r="B1271" s="1" t="s">
        <v>63</v>
      </c>
      <c r="C1271" s="2">
        <v>0.01</v>
      </c>
      <c r="D1271" s="2">
        <v>7.28</v>
      </c>
      <c r="E1271" s="2">
        <v>2286.0</v>
      </c>
      <c r="F1271" s="1" t="s">
        <v>1563</v>
      </c>
      <c r="G1271" s="1" t="s">
        <v>32</v>
      </c>
      <c r="H1271" s="1" t="s">
        <v>23</v>
      </c>
      <c r="I1271" s="1" t="s">
        <v>93</v>
      </c>
      <c r="J1271" s="1" t="s">
        <v>696</v>
      </c>
      <c r="K1271" s="19" t="s">
        <v>229</v>
      </c>
      <c r="L1271" s="20" t="s">
        <v>35</v>
      </c>
      <c r="M1271" s="21">
        <f t="shared" si="1"/>
        <v>3</v>
      </c>
      <c r="N1271" s="2">
        <v>136.0314</v>
      </c>
      <c r="O1271" s="2">
        <v>6.0</v>
      </c>
      <c r="P1271" s="2">
        <v>48.88</v>
      </c>
      <c r="Q1271" s="2">
        <v>90145.0</v>
      </c>
      <c r="R1271" s="15" t="b">
        <f>ISNUMBER(MATCH(Q1271,'Returned order'!A:A,0))</f>
        <v>0</v>
      </c>
      <c r="S1271" s="22">
        <v>42039.0</v>
      </c>
      <c r="T1271" s="15"/>
      <c r="U1271" s="15"/>
      <c r="V1271" s="15"/>
    </row>
    <row r="1272">
      <c r="A1272" s="2">
        <v>21531.0</v>
      </c>
      <c r="B1272" s="1" t="s">
        <v>63</v>
      </c>
      <c r="C1272" s="2">
        <v>0.1</v>
      </c>
      <c r="D1272" s="2">
        <v>6.68</v>
      </c>
      <c r="E1272" s="2">
        <v>2286.0</v>
      </c>
      <c r="F1272" s="1" t="s">
        <v>1563</v>
      </c>
      <c r="G1272" s="1" t="s">
        <v>32</v>
      </c>
      <c r="H1272" s="1" t="s">
        <v>23</v>
      </c>
      <c r="I1272" s="1" t="s">
        <v>93</v>
      </c>
      <c r="J1272" s="1" t="s">
        <v>1540</v>
      </c>
      <c r="K1272" s="19" t="s">
        <v>229</v>
      </c>
      <c r="L1272" s="20" t="s">
        <v>35</v>
      </c>
      <c r="M1272" s="21">
        <f t="shared" si="1"/>
        <v>3</v>
      </c>
      <c r="N1272" s="2">
        <v>-100.072</v>
      </c>
      <c r="O1272" s="2">
        <v>3.0</v>
      </c>
      <c r="P1272" s="2">
        <v>21.56</v>
      </c>
      <c r="Q1272" s="2">
        <v>90145.0</v>
      </c>
      <c r="R1272" s="15" t="b">
        <f>ISNUMBER(MATCH(Q1272,'Returned order'!A:A,0))</f>
        <v>0</v>
      </c>
      <c r="S1272" s="22">
        <v>42039.0</v>
      </c>
      <c r="T1272" s="15"/>
      <c r="U1272" s="15"/>
      <c r="V1272" s="15"/>
    </row>
    <row r="1273">
      <c r="A1273" s="2">
        <v>25183.0</v>
      </c>
      <c r="B1273" s="1" t="s">
        <v>49</v>
      </c>
      <c r="C1273" s="2">
        <v>0.01</v>
      </c>
      <c r="D1273" s="2">
        <v>18.97</v>
      </c>
      <c r="E1273" s="2">
        <v>2287.0</v>
      </c>
      <c r="F1273" s="1" t="s">
        <v>1564</v>
      </c>
      <c r="G1273" s="1" t="s">
        <v>32</v>
      </c>
      <c r="H1273" s="1" t="s">
        <v>23</v>
      </c>
      <c r="I1273" s="1" t="s">
        <v>93</v>
      </c>
      <c r="J1273" s="1" t="s">
        <v>99</v>
      </c>
      <c r="K1273" s="19" t="s">
        <v>229</v>
      </c>
      <c r="L1273" s="20" t="s">
        <v>35</v>
      </c>
      <c r="M1273" s="21">
        <f t="shared" si="1"/>
        <v>3</v>
      </c>
      <c r="N1273" s="2">
        <v>-12.0267</v>
      </c>
      <c r="O1273" s="2">
        <v>8.0</v>
      </c>
      <c r="P1273" s="2">
        <v>164.67</v>
      </c>
      <c r="Q1273" s="2">
        <v>90146.0</v>
      </c>
      <c r="R1273" s="15" t="b">
        <f>ISNUMBER(MATCH(Q1273,'Returned order'!A:A,0))</f>
        <v>0</v>
      </c>
      <c r="S1273" s="22">
        <v>42088.0</v>
      </c>
      <c r="T1273" s="15"/>
      <c r="U1273" s="15"/>
      <c r="V1273" s="15"/>
    </row>
    <row r="1274">
      <c r="A1274" s="2">
        <v>25184.0</v>
      </c>
      <c r="B1274" s="1" t="s">
        <v>49</v>
      </c>
      <c r="C1274" s="2">
        <v>0.03</v>
      </c>
      <c r="D1274" s="2">
        <v>12.28</v>
      </c>
      <c r="E1274" s="2">
        <v>2287.0</v>
      </c>
      <c r="F1274" s="1" t="s">
        <v>1564</v>
      </c>
      <c r="G1274" s="1" t="s">
        <v>32</v>
      </c>
      <c r="H1274" s="1" t="s">
        <v>23</v>
      </c>
      <c r="I1274" s="1" t="s">
        <v>93</v>
      </c>
      <c r="J1274" s="1" t="s">
        <v>94</v>
      </c>
      <c r="K1274" s="19" t="s">
        <v>229</v>
      </c>
      <c r="L1274" s="20" t="s">
        <v>35</v>
      </c>
      <c r="M1274" s="21">
        <f t="shared" si="1"/>
        <v>3</v>
      </c>
      <c r="N1274" s="2">
        <v>122.508</v>
      </c>
      <c r="O1274" s="2">
        <v>6.0</v>
      </c>
      <c r="P1274" s="2">
        <v>72.74</v>
      </c>
      <c r="Q1274" s="2">
        <v>90146.0</v>
      </c>
      <c r="R1274" s="15" t="b">
        <f>ISNUMBER(MATCH(Q1274,'Returned order'!A:A,0))</f>
        <v>0</v>
      </c>
      <c r="S1274" s="22">
        <v>42088.0</v>
      </c>
      <c r="T1274" s="15"/>
      <c r="U1274" s="15"/>
      <c r="V1274" s="15"/>
    </row>
    <row r="1275">
      <c r="A1275" s="2">
        <v>25185.0</v>
      </c>
      <c r="B1275" s="1" t="s">
        <v>49</v>
      </c>
      <c r="C1275" s="2">
        <v>0.05</v>
      </c>
      <c r="D1275" s="2">
        <v>34.99</v>
      </c>
      <c r="E1275" s="2">
        <v>2287.0</v>
      </c>
      <c r="F1275" s="1" t="s">
        <v>1564</v>
      </c>
      <c r="G1275" s="1" t="s">
        <v>32</v>
      </c>
      <c r="H1275" s="1" t="s">
        <v>23</v>
      </c>
      <c r="I1275" s="1" t="s">
        <v>29</v>
      </c>
      <c r="J1275" s="1" t="s">
        <v>157</v>
      </c>
      <c r="K1275" s="19" t="s">
        <v>229</v>
      </c>
      <c r="L1275" s="20" t="s">
        <v>35</v>
      </c>
      <c r="M1275" s="21">
        <f t="shared" si="1"/>
        <v>3</v>
      </c>
      <c r="N1275" s="2">
        <v>-12.0267</v>
      </c>
      <c r="O1275" s="2">
        <v>12.0</v>
      </c>
      <c r="P1275" s="2">
        <v>418.75</v>
      </c>
      <c r="Q1275" s="2">
        <v>90146.0</v>
      </c>
      <c r="R1275" s="15" t="b">
        <f>ISNUMBER(MATCH(Q1275,'Returned order'!A:A,0))</f>
        <v>0</v>
      </c>
      <c r="S1275" s="22">
        <v>42088.0</v>
      </c>
      <c r="T1275" s="15"/>
      <c r="U1275" s="15"/>
      <c r="V1275" s="15"/>
    </row>
    <row r="1276">
      <c r="A1276" s="2">
        <v>24396.0</v>
      </c>
      <c r="B1276" s="1" t="s">
        <v>170</v>
      </c>
      <c r="C1276" s="2">
        <v>0.1</v>
      </c>
      <c r="D1276" s="2">
        <v>54.1</v>
      </c>
      <c r="E1276" s="2">
        <v>2287.0</v>
      </c>
      <c r="F1276" s="1" t="s">
        <v>1564</v>
      </c>
      <c r="G1276" s="1" t="s">
        <v>32</v>
      </c>
      <c r="H1276" s="1" t="s">
        <v>23</v>
      </c>
      <c r="I1276" s="1" t="s">
        <v>120</v>
      </c>
      <c r="J1276" s="1" t="s">
        <v>1565</v>
      </c>
      <c r="K1276" s="19" t="s">
        <v>229</v>
      </c>
      <c r="L1276" s="20" t="s">
        <v>70</v>
      </c>
      <c r="M1276" s="21">
        <f t="shared" si="1"/>
        <v>4</v>
      </c>
      <c r="N1276" s="2">
        <v>34.068</v>
      </c>
      <c r="O1276" s="2">
        <v>9.0</v>
      </c>
      <c r="P1276" s="2">
        <v>469.59</v>
      </c>
      <c r="Q1276" s="2">
        <v>90147.0</v>
      </c>
      <c r="R1276" s="15" t="b">
        <f>ISNUMBER(MATCH(Q1276,'Returned order'!A:A,0))</f>
        <v>0</v>
      </c>
      <c r="S1276" s="22">
        <v>42054.0</v>
      </c>
      <c r="T1276" s="15"/>
      <c r="U1276" s="15"/>
      <c r="V1276" s="15"/>
    </row>
    <row r="1277">
      <c r="A1277" s="2">
        <v>19243.0</v>
      </c>
      <c r="B1277" s="1" t="s">
        <v>58</v>
      </c>
      <c r="C1277" s="2">
        <v>0.01</v>
      </c>
      <c r="D1277" s="2">
        <v>7.59</v>
      </c>
      <c r="E1277" s="2">
        <v>2289.0</v>
      </c>
      <c r="F1277" s="1" t="s">
        <v>1566</v>
      </c>
      <c r="G1277" s="1" t="s">
        <v>51</v>
      </c>
      <c r="H1277" s="1" t="s">
        <v>37</v>
      </c>
      <c r="I1277" s="1" t="s">
        <v>42</v>
      </c>
      <c r="J1277" s="1" t="s">
        <v>413</v>
      </c>
      <c r="K1277" s="19" t="s">
        <v>68</v>
      </c>
      <c r="L1277" s="20" t="s">
        <v>27</v>
      </c>
      <c r="M1277" s="21">
        <f t="shared" si="1"/>
        <v>1</v>
      </c>
      <c r="N1277" s="2">
        <v>2.97</v>
      </c>
      <c r="O1277" s="2">
        <v>17.0</v>
      </c>
      <c r="P1277" s="2">
        <v>136.25</v>
      </c>
      <c r="Q1277" s="2">
        <v>88165.0</v>
      </c>
      <c r="R1277" s="15" t="b">
        <f>ISNUMBER(MATCH(Q1277,'Returned order'!A:A,0))</f>
        <v>0</v>
      </c>
      <c r="S1277" s="22">
        <v>42128.0</v>
      </c>
      <c r="T1277" s="15"/>
      <c r="U1277" s="15"/>
      <c r="V1277" s="15"/>
    </row>
    <row r="1278">
      <c r="A1278" s="2">
        <v>21334.0</v>
      </c>
      <c r="B1278" s="1" t="s">
        <v>49</v>
      </c>
      <c r="C1278" s="2">
        <v>0.0</v>
      </c>
      <c r="D1278" s="2">
        <v>42.98</v>
      </c>
      <c r="E1278" s="2">
        <v>2290.0</v>
      </c>
      <c r="F1278" s="1" t="s">
        <v>1567</v>
      </c>
      <c r="G1278" s="1" t="s">
        <v>51</v>
      </c>
      <c r="H1278" s="1" t="s">
        <v>23</v>
      </c>
      <c r="I1278" s="1" t="s">
        <v>151</v>
      </c>
      <c r="J1278" s="1" t="s">
        <v>1376</v>
      </c>
      <c r="K1278" s="19" t="s">
        <v>68</v>
      </c>
      <c r="L1278" s="20" t="s">
        <v>57</v>
      </c>
      <c r="M1278" s="21">
        <f t="shared" si="1"/>
        <v>2</v>
      </c>
      <c r="N1278" s="2">
        <v>385.3029</v>
      </c>
      <c r="O1278" s="2">
        <v>12.0</v>
      </c>
      <c r="P1278" s="2">
        <v>558.41</v>
      </c>
      <c r="Q1278" s="2">
        <v>88163.0</v>
      </c>
      <c r="R1278" s="15" t="b">
        <f>ISNUMBER(MATCH(Q1278,'Returned order'!A:A,0))</f>
        <v>0</v>
      </c>
      <c r="S1278" s="22">
        <v>42010.0</v>
      </c>
      <c r="T1278" s="15"/>
      <c r="U1278" s="15"/>
      <c r="V1278" s="15"/>
    </row>
    <row r="1279">
      <c r="A1279" s="2">
        <v>21335.0</v>
      </c>
      <c r="B1279" s="1" t="s">
        <v>49</v>
      </c>
      <c r="C1279" s="2">
        <v>0.03</v>
      </c>
      <c r="D1279" s="2">
        <v>21.78</v>
      </c>
      <c r="E1279" s="2">
        <v>2290.0</v>
      </c>
      <c r="F1279" s="1" t="s">
        <v>1567</v>
      </c>
      <c r="G1279" s="1" t="s">
        <v>51</v>
      </c>
      <c r="H1279" s="1" t="s">
        <v>23</v>
      </c>
      <c r="I1279" s="1" t="s">
        <v>151</v>
      </c>
      <c r="J1279" s="1" t="s">
        <v>1568</v>
      </c>
      <c r="K1279" s="19" t="s">
        <v>68</v>
      </c>
      <c r="L1279" s="20" t="s">
        <v>57</v>
      </c>
      <c r="M1279" s="21">
        <f t="shared" si="1"/>
        <v>2</v>
      </c>
      <c r="N1279" s="2">
        <v>187.2</v>
      </c>
      <c r="O1279" s="2">
        <v>13.0</v>
      </c>
      <c r="P1279" s="2">
        <v>290.22</v>
      </c>
      <c r="Q1279" s="2">
        <v>88163.0</v>
      </c>
      <c r="R1279" s="15" t="b">
        <f>ISNUMBER(MATCH(Q1279,'Returned order'!A:A,0))</f>
        <v>0</v>
      </c>
      <c r="S1279" s="22">
        <v>42010.0</v>
      </c>
      <c r="T1279" s="15"/>
      <c r="U1279" s="15"/>
      <c r="V1279" s="15"/>
    </row>
    <row r="1280">
      <c r="A1280" s="2">
        <v>19723.0</v>
      </c>
      <c r="B1280" s="1" t="s">
        <v>63</v>
      </c>
      <c r="C1280" s="2">
        <v>0.07</v>
      </c>
      <c r="D1280" s="2">
        <v>80.98</v>
      </c>
      <c r="E1280" s="2">
        <v>2290.0</v>
      </c>
      <c r="F1280" s="1" t="s">
        <v>1567</v>
      </c>
      <c r="G1280" s="1" t="s">
        <v>32</v>
      </c>
      <c r="H1280" s="1" t="s">
        <v>46</v>
      </c>
      <c r="I1280" s="1" t="s">
        <v>47</v>
      </c>
      <c r="J1280" s="1" t="s">
        <v>1569</v>
      </c>
      <c r="K1280" s="19" t="s">
        <v>68</v>
      </c>
      <c r="L1280" s="20" t="s">
        <v>35</v>
      </c>
      <c r="M1280" s="21">
        <f t="shared" si="1"/>
        <v>3</v>
      </c>
      <c r="N1280" s="2">
        <v>779.4723</v>
      </c>
      <c r="O1280" s="2">
        <v>15.0</v>
      </c>
      <c r="P1280" s="2">
        <v>1129.67</v>
      </c>
      <c r="Q1280" s="2">
        <v>88164.0</v>
      </c>
      <c r="R1280" s="15" t="b">
        <f>ISNUMBER(MATCH(Q1280,'Returned order'!A:A,0))</f>
        <v>0</v>
      </c>
      <c r="S1280" s="22">
        <v>42039.0</v>
      </c>
      <c r="T1280" s="15"/>
      <c r="U1280" s="15"/>
      <c r="V1280" s="15"/>
    </row>
    <row r="1281">
      <c r="A1281" s="2">
        <v>24673.0</v>
      </c>
      <c r="B1281" s="1" t="s">
        <v>58</v>
      </c>
      <c r="C1281" s="2">
        <v>0.07</v>
      </c>
      <c r="D1281" s="2">
        <v>270.98</v>
      </c>
      <c r="E1281" s="2">
        <v>2302.0</v>
      </c>
      <c r="F1281" s="1" t="s">
        <v>1570</v>
      </c>
      <c r="G1281" s="1" t="s">
        <v>32</v>
      </c>
      <c r="H1281" s="1" t="s">
        <v>37</v>
      </c>
      <c r="I1281" s="1" t="s">
        <v>38</v>
      </c>
      <c r="J1281" s="1" t="s">
        <v>1571</v>
      </c>
      <c r="K1281" s="19" t="s">
        <v>229</v>
      </c>
      <c r="L1281" s="20" t="s">
        <v>35</v>
      </c>
      <c r="M1281" s="21">
        <f t="shared" si="1"/>
        <v>3</v>
      </c>
      <c r="N1281" s="2">
        <v>27.726</v>
      </c>
      <c r="O1281" s="2">
        <v>9.0</v>
      </c>
      <c r="P1281" s="2">
        <v>2439.37</v>
      </c>
      <c r="Q1281" s="2">
        <v>87695.0</v>
      </c>
      <c r="R1281" s="15" t="b">
        <f>ISNUMBER(MATCH(Q1281,'Returned order'!A:A,0))</f>
        <v>0</v>
      </c>
      <c r="S1281" s="22">
        <v>42046.0</v>
      </c>
      <c r="T1281" s="15"/>
      <c r="U1281" s="15"/>
      <c r="V1281" s="15"/>
    </row>
    <row r="1282">
      <c r="A1282" s="2">
        <v>23344.0</v>
      </c>
      <c r="B1282" s="1" t="s">
        <v>28</v>
      </c>
      <c r="C1282" s="2">
        <v>0.1</v>
      </c>
      <c r="D1282" s="2">
        <v>12.53</v>
      </c>
      <c r="E1282" s="2">
        <v>2302.0</v>
      </c>
      <c r="F1282" s="1" t="s">
        <v>1570</v>
      </c>
      <c r="G1282" s="1" t="s">
        <v>32</v>
      </c>
      <c r="H1282" s="1" t="s">
        <v>23</v>
      </c>
      <c r="I1282" s="1" t="s">
        <v>130</v>
      </c>
      <c r="J1282" s="1" t="s">
        <v>802</v>
      </c>
      <c r="K1282" s="19" t="s">
        <v>229</v>
      </c>
      <c r="L1282" s="20" t="s">
        <v>53</v>
      </c>
      <c r="M1282" s="21">
        <f t="shared" si="1"/>
        <v>6</v>
      </c>
      <c r="N1282" s="2">
        <v>244.464</v>
      </c>
      <c r="O1282" s="2">
        <v>8.0</v>
      </c>
      <c r="P1282" s="2">
        <v>92.02</v>
      </c>
      <c r="Q1282" s="2">
        <v>87696.0</v>
      </c>
      <c r="R1282" s="15" t="b">
        <f>ISNUMBER(MATCH(Q1282,'Returned order'!A:A,0))</f>
        <v>0</v>
      </c>
      <c r="S1282" s="22">
        <v>42007.0</v>
      </c>
      <c r="T1282" s="15"/>
      <c r="U1282" s="15"/>
      <c r="V1282" s="15"/>
    </row>
    <row r="1283">
      <c r="A1283" s="2">
        <v>23345.0</v>
      </c>
      <c r="B1283" s="1" t="s">
        <v>28</v>
      </c>
      <c r="C1283" s="2">
        <v>0.1</v>
      </c>
      <c r="D1283" s="2">
        <v>146.34</v>
      </c>
      <c r="E1283" s="2">
        <v>2302.0</v>
      </c>
      <c r="F1283" s="1" t="s">
        <v>1570</v>
      </c>
      <c r="G1283" s="1" t="s">
        <v>32</v>
      </c>
      <c r="H1283" s="1" t="s">
        <v>37</v>
      </c>
      <c r="I1283" s="1" t="s">
        <v>73</v>
      </c>
      <c r="J1283" s="1" t="s">
        <v>1572</v>
      </c>
      <c r="K1283" s="19" t="s">
        <v>229</v>
      </c>
      <c r="L1283" s="20" t="s">
        <v>53</v>
      </c>
      <c r="M1283" s="21">
        <f t="shared" si="1"/>
        <v>6</v>
      </c>
      <c r="N1283" s="2">
        <v>-473.578</v>
      </c>
      <c r="O1283" s="2">
        <v>2.0</v>
      </c>
      <c r="P1283" s="2">
        <v>283.55</v>
      </c>
      <c r="Q1283" s="2">
        <v>87696.0</v>
      </c>
      <c r="R1283" s="15" t="b">
        <f>ISNUMBER(MATCH(Q1283,'Returned order'!A:A,0))</f>
        <v>0</v>
      </c>
      <c r="S1283" s="22">
        <v>42007.0</v>
      </c>
      <c r="T1283" s="15"/>
      <c r="U1283" s="15"/>
      <c r="V1283" s="15"/>
    </row>
    <row r="1284">
      <c r="A1284" s="2">
        <v>6673.0</v>
      </c>
      <c r="B1284" s="1" t="s">
        <v>58</v>
      </c>
      <c r="C1284" s="2">
        <v>0.07</v>
      </c>
      <c r="D1284" s="2">
        <v>270.98</v>
      </c>
      <c r="E1284" s="2">
        <v>2303.0</v>
      </c>
      <c r="F1284" s="1" t="s">
        <v>1573</v>
      </c>
      <c r="G1284" s="1" t="s">
        <v>32</v>
      </c>
      <c r="H1284" s="1" t="s">
        <v>37</v>
      </c>
      <c r="I1284" s="1" t="s">
        <v>38</v>
      </c>
      <c r="J1284" s="1" t="s">
        <v>1571</v>
      </c>
      <c r="K1284" s="19" t="s">
        <v>26</v>
      </c>
      <c r="L1284" s="20" t="s">
        <v>35</v>
      </c>
      <c r="M1284" s="21">
        <f t="shared" si="1"/>
        <v>3</v>
      </c>
      <c r="N1284" s="2">
        <v>-96.05</v>
      </c>
      <c r="O1284" s="2">
        <v>36.0</v>
      </c>
      <c r="P1284" s="2">
        <v>9757.48</v>
      </c>
      <c r="Q1284" s="2">
        <v>47493.0</v>
      </c>
      <c r="R1284" s="15" t="b">
        <f>ISNUMBER(MATCH(Q1284,'Returned order'!A:A,0))</f>
        <v>0</v>
      </c>
      <c r="S1284" s="22">
        <v>42046.0</v>
      </c>
      <c r="T1284" s="15"/>
      <c r="U1284" s="15"/>
      <c r="V1284" s="15"/>
    </row>
    <row r="1285">
      <c r="A1285" s="2">
        <v>5345.0</v>
      </c>
      <c r="B1285" s="1" t="s">
        <v>28</v>
      </c>
      <c r="C1285" s="2">
        <v>0.1</v>
      </c>
      <c r="D1285" s="2">
        <v>146.34</v>
      </c>
      <c r="E1285" s="2">
        <v>2303.0</v>
      </c>
      <c r="F1285" s="1" t="s">
        <v>1573</v>
      </c>
      <c r="G1285" s="1" t="s">
        <v>32</v>
      </c>
      <c r="H1285" s="1" t="s">
        <v>37</v>
      </c>
      <c r="I1285" s="1" t="s">
        <v>73</v>
      </c>
      <c r="J1285" s="1" t="s">
        <v>1572</v>
      </c>
      <c r="K1285" s="19" t="s">
        <v>26</v>
      </c>
      <c r="L1285" s="20" t="s">
        <v>53</v>
      </c>
      <c r="M1285" s="21">
        <f t="shared" si="1"/>
        <v>6</v>
      </c>
      <c r="N1285" s="2">
        <v>-270.85</v>
      </c>
      <c r="O1285" s="2">
        <v>6.0</v>
      </c>
      <c r="P1285" s="2">
        <v>850.64</v>
      </c>
      <c r="Q1285" s="2">
        <v>37987.0</v>
      </c>
      <c r="R1285" s="15" t="b">
        <f>ISNUMBER(MATCH(Q1285,'Returned order'!A:A,0))</f>
        <v>0</v>
      </c>
      <c r="S1285" s="22">
        <v>42007.0</v>
      </c>
      <c r="T1285" s="15"/>
      <c r="U1285" s="15"/>
      <c r="V1285" s="15"/>
    </row>
    <row r="1286">
      <c r="A1286" s="2">
        <v>19934.0</v>
      </c>
      <c r="B1286" s="1" t="s">
        <v>28</v>
      </c>
      <c r="C1286" s="2">
        <v>0.0</v>
      </c>
      <c r="D1286" s="2">
        <v>90.48</v>
      </c>
      <c r="E1286" s="2">
        <v>2305.0</v>
      </c>
      <c r="F1286" s="1" t="s">
        <v>1574</v>
      </c>
      <c r="G1286" s="1" t="s">
        <v>66</v>
      </c>
      <c r="H1286" s="1" t="s">
        <v>23</v>
      </c>
      <c r="I1286" s="1" t="s">
        <v>88</v>
      </c>
      <c r="J1286" s="1" t="s">
        <v>1344</v>
      </c>
      <c r="K1286" s="19" t="s">
        <v>68</v>
      </c>
      <c r="L1286" s="20" t="s">
        <v>61</v>
      </c>
      <c r="M1286" s="21">
        <f t="shared" si="1"/>
        <v>7</v>
      </c>
      <c r="N1286" s="2">
        <v>800.2551</v>
      </c>
      <c r="O1286" s="2">
        <v>12.0</v>
      </c>
      <c r="P1286" s="2">
        <v>1159.79</v>
      </c>
      <c r="Q1286" s="2">
        <v>89869.0</v>
      </c>
      <c r="R1286" s="15" t="b">
        <f>ISNUMBER(MATCH(Q1286,'Returned order'!A:A,0))</f>
        <v>0</v>
      </c>
      <c r="S1286" s="22">
        <v>42176.0</v>
      </c>
      <c r="T1286" s="15"/>
      <c r="U1286" s="15"/>
      <c r="V1286" s="15"/>
    </row>
    <row r="1287">
      <c r="A1287" s="2">
        <v>23313.0</v>
      </c>
      <c r="B1287" s="1" t="s">
        <v>170</v>
      </c>
      <c r="C1287" s="2">
        <v>0.08</v>
      </c>
      <c r="D1287" s="2">
        <v>9.48</v>
      </c>
      <c r="E1287" s="2">
        <v>2308.0</v>
      </c>
      <c r="F1287" s="1" t="s">
        <v>1575</v>
      </c>
      <c r="G1287" s="1" t="s">
        <v>66</v>
      </c>
      <c r="H1287" s="1" t="s">
        <v>37</v>
      </c>
      <c r="I1287" s="1" t="s">
        <v>42</v>
      </c>
      <c r="J1287" s="1" t="s">
        <v>60</v>
      </c>
      <c r="K1287" s="19" t="s">
        <v>229</v>
      </c>
      <c r="L1287" s="20" t="s">
        <v>57</v>
      </c>
      <c r="M1287" s="21">
        <f t="shared" si="1"/>
        <v>2</v>
      </c>
      <c r="N1287" s="2">
        <v>-50.4</v>
      </c>
      <c r="O1287" s="2">
        <v>2.0</v>
      </c>
      <c r="P1287" s="2">
        <v>20.22</v>
      </c>
      <c r="Q1287" s="2">
        <v>90557.0</v>
      </c>
      <c r="R1287" s="15" t="b">
        <f>ISNUMBER(MATCH(Q1287,'Returned order'!A:A,0))</f>
        <v>0</v>
      </c>
      <c r="S1287" s="22">
        <v>42087.0</v>
      </c>
      <c r="T1287" s="15"/>
      <c r="U1287" s="15"/>
      <c r="V1287" s="15"/>
    </row>
    <row r="1288">
      <c r="A1288" s="2">
        <v>23314.0</v>
      </c>
      <c r="B1288" s="1" t="s">
        <v>170</v>
      </c>
      <c r="C1288" s="2">
        <v>0.03</v>
      </c>
      <c r="D1288" s="2">
        <v>193.17</v>
      </c>
      <c r="E1288" s="2">
        <v>2308.0</v>
      </c>
      <c r="F1288" s="1" t="s">
        <v>1575</v>
      </c>
      <c r="G1288" s="1" t="s">
        <v>66</v>
      </c>
      <c r="H1288" s="1" t="s">
        <v>23</v>
      </c>
      <c r="I1288" s="1" t="s">
        <v>120</v>
      </c>
      <c r="J1288" s="1" t="s">
        <v>1139</v>
      </c>
      <c r="K1288" s="19" t="s">
        <v>229</v>
      </c>
      <c r="L1288" s="20" t="s">
        <v>57</v>
      </c>
      <c r="M1288" s="21">
        <f t="shared" si="1"/>
        <v>2</v>
      </c>
      <c r="N1288" s="2">
        <v>-348.754</v>
      </c>
      <c r="O1288" s="2">
        <v>8.0</v>
      </c>
      <c r="P1288" s="2">
        <v>1548.97</v>
      </c>
      <c r="Q1288" s="2">
        <v>90557.0</v>
      </c>
      <c r="R1288" s="15" t="b">
        <f>ISNUMBER(MATCH(Q1288,'Returned order'!A:A,0))</f>
        <v>0</v>
      </c>
      <c r="S1288" s="22">
        <v>42087.0</v>
      </c>
      <c r="T1288" s="15"/>
      <c r="U1288" s="15"/>
      <c r="V1288" s="15"/>
    </row>
    <row r="1289">
      <c r="A1289" s="2">
        <v>26048.0</v>
      </c>
      <c r="B1289" s="1" t="s">
        <v>28</v>
      </c>
      <c r="C1289" s="2">
        <v>0.08</v>
      </c>
      <c r="D1289" s="2">
        <v>68.81</v>
      </c>
      <c r="E1289" s="2">
        <v>2323.0</v>
      </c>
      <c r="F1289" s="1" t="s">
        <v>1576</v>
      </c>
      <c r="G1289" s="1" t="s">
        <v>66</v>
      </c>
      <c r="H1289" s="1" t="s">
        <v>23</v>
      </c>
      <c r="I1289" s="1" t="s">
        <v>151</v>
      </c>
      <c r="J1289" s="1" t="s">
        <v>1577</v>
      </c>
      <c r="K1289" s="19" t="s">
        <v>34</v>
      </c>
      <c r="L1289" s="20" t="s">
        <v>27</v>
      </c>
      <c r="M1289" s="21">
        <f t="shared" si="1"/>
        <v>1</v>
      </c>
      <c r="N1289" s="2">
        <v>-550.43</v>
      </c>
      <c r="O1289" s="2">
        <v>5.0</v>
      </c>
      <c r="P1289" s="2">
        <v>337.86</v>
      </c>
      <c r="Q1289" s="2">
        <v>88721.0</v>
      </c>
      <c r="R1289" s="15" t="b">
        <f>ISNUMBER(MATCH(Q1289,'Returned order'!A:A,0))</f>
        <v>0</v>
      </c>
      <c r="S1289" s="22">
        <v>42079.0</v>
      </c>
      <c r="T1289" s="15"/>
      <c r="U1289" s="15"/>
      <c r="V1289" s="15"/>
    </row>
    <row r="1290">
      <c r="A1290" s="2">
        <v>26049.0</v>
      </c>
      <c r="B1290" s="1" t="s">
        <v>28</v>
      </c>
      <c r="C1290" s="2">
        <v>0.04</v>
      </c>
      <c r="D1290" s="2">
        <v>21.38</v>
      </c>
      <c r="E1290" s="2">
        <v>2323.0</v>
      </c>
      <c r="F1290" s="1" t="s">
        <v>1576</v>
      </c>
      <c r="G1290" s="1" t="s">
        <v>66</v>
      </c>
      <c r="H1290" s="1" t="s">
        <v>23</v>
      </c>
      <c r="I1290" s="1" t="s">
        <v>29</v>
      </c>
      <c r="J1290" s="1" t="s">
        <v>1578</v>
      </c>
      <c r="K1290" s="19" t="s">
        <v>34</v>
      </c>
      <c r="L1290" s="20" t="s">
        <v>27</v>
      </c>
      <c r="M1290" s="21">
        <f t="shared" si="1"/>
        <v>1</v>
      </c>
      <c r="N1290" s="2">
        <v>-52.12</v>
      </c>
      <c r="O1290" s="2">
        <v>4.0</v>
      </c>
      <c r="P1290" s="2">
        <v>84.21</v>
      </c>
      <c r="Q1290" s="2">
        <v>88721.0</v>
      </c>
      <c r="R1290" s="15" t="b">
        <f>ISNUMBER(MATCH(Q1290,'Returned order'!A:A,0))</f>
        <v>0</v>
      </c>
      <c r="S1290" s="22">
        <v>42079.0</v>
      </c>
      <c r="T1290" s="15"/>
      <c r="U1290" s="15"/>
      <c r="V1290" s="15"/>
    </row>
    <row r="1291">
      <c r="A1291" s="2">
        <v>23053.0</v>
      </c>
      <c r="B1291" s="1" t="s">
        <v>49</v>
      </c>
      <c r="C1291" s="2">
        <v>0.06</v>
      </c>
      <c r="D1291" s="2">
        <v>4.98</v>
      </c>
      <c r="E1291" s="2">
        <v>2323.0</v>
      </c>
      <c r="F1291" s="1" t="s">
        <v>1576</v>
      </c>
      <c r="G1291" s="1" t="s">
        <v>66</v>
      </c>
      <c r="H1291" s="1" t="s">
        <v>46</v>
      </c>
      <c r="I1291" s="1" t="s">
        <v>47</v>
      </c>
      <c r="J1291" s="1" t="s">
        <v>144</v>
      </c>
      <c r="K1291" s="19" t="s">
        <v>34</v>
      </c>
      <c r="L1291" s="20" t="s">
        <v>76</v>
      </c>
      <c r="M1291" s="21">
        <f t="shared" si="1"/>
        <v>5</v>
      </c>
      <c r="N1291" s="2">
        <v>-27.005</v>
      </c>
      <c r="O1291" s="2">
        <v>7.0</v>
      </c>
      <c r="P1291" s="2">
        <v>38.74</v>
      </c>
      <c r="Q1291" s="2">
        <v>88722.0</v>
      </c>
      <c r="R1291" s="15" t="b">
        <f>ISNUMBER(MATCH(Q1291,'Returned order'!A:A,0))</f>
        <v>0</v>
      </c>
      <c r="S1291" s="22">
        <v>42174.0</v>
      </c>
      <c r="T1291" s="15"/>
      <c r="U1291" s="15"/>
      <c r="V1291" s="15"/>
    </row>
    <row r="1292">
      <c r="A1292" s="2">
        <v>25456.0</v>
      </c>
      <c r="B1292" s="1" t="s">
        <v>63</v>
      </c>
      <c r="C1292" s="2">
        <v>0.06</v>
      </c>
      <c r="D1292" s="2">
        <v>28.53</v>
      </c>
      <c r="E1292" s="2">
        <v>2330.0</v>
      </c>
      <c r="F1292" s="1" t="s">
        <v>1579</v>
      </c>
      <c r="G1292" s="1" t="s">
        <v>51</v>
      </c>
      <c r="H1292" s="1" t="s">
        <v>23</v>
      </c>
      <c r="I1292" s="1" t="s">
        <v>24</v>
      </c>
      <c r="J1292" s="1" t="s">
        <v>341</v>
      </c>
      <c r="K1292" s="19" t="s">
        <v>68</v>
      </c>
      <c r="L1292" s="20" t="s">
        <v>57</v>
      </c>
      <c r="M1292" s="21">
        <f t="shared" si="1"/>
        <v>2</v>
      </c>
      <c r="N1292" s="2">
        <v>74.6385</v>
      </c>
      <c r="O1292" s="2">
        <v>5.0</v>
      </c>
      <c r="P1292" s="2">
        <v>134.09</v>
      </c>
      <c r="Q1292" s="2">
        <v>90964.0</v>
      </c>
      <c r="R1292" s="15" t="b">
        <f>ISNUMBER(MATCH(Q1292,'Returned order'!A:A,0))</f>
        <v>0</v>
      </c>
      <c r="S1292" s="22">
        <v>42087.0</v>
      </c>
      <c r="T1292" s="15"/>
      <c r="U1292" s="15"/>
      <c r="V1292" s="15"/>
    </row>
    <row r="1293">
      <c r="A1293" s="2">
        <v>19441.0</v>
      </c>
      <c r="B1293" s="1" t="s">
        <v>28</v>
      </c>
      <c r="C1293" s="2">
        <v>0.06</v>
      </c>
      <c r="D1293" s="2">
        <v>180.98</v>
      </c>
      <c r="E1293" s="2">
        <v>2333.0</v>
      </c>
      <c r="F1293" s="1" t="s">
        <v>1580</v>
      </c>
      <c r="G1293" s="1" t="s">
        <v>66</v>
      </c>
      <c r="H1293" s="1" t="s">
        <v>37</v>
      </c>
      <c r="I1293" s="1" t="s">
        <v>38</v>
      </c>
      <c r="J1293" s="1" t="s">
        <v>285</v>
      </c>
      <c r="K1293" s="19" t="s">
        <v>68</v>
      </c>
      <c r="L1293" s="20" t="s">
        <v>57</v>
      </c>
      <c r="M1293" s="21">
        <f t="shared" si="1"/>
        <v>2</v>
      </c>
      <c r="N1293" s="2">
        <v>-122.235</v>
      </c>
      <c r="O1293" s="2">
        <v>1.0</v>
      </c>
      <c r="P1293" s="2">
        <v>191.73</v>
      </c>
      <c r="Q1293" s="2">
        <v>89611.0</v>
      </c>
      <c r="R1293" s="15" t="b">
        <f>ISNUMBER(MATCH(Q1293,'Returned order'!A:A,0))</f>
        <v>0</v>
      </c>
      <c r="S1293" s="22">
        <v>42178.0</v>
      </c>
      <c r="T1293" s="15"/>
      <c r="U1293" s="15"/>
      <c r="V1293" s="15"/>
    </row>
    <row r="1294">
      <c r="A1294" s="2">
        <v>23721.0</v>
      </c>
      <c r="B1294" s="1" t="s">
        <v>170</v>
      </c>
      <c r="C1294" s="2">
        <v>0.06</v>
      </c>
      <c r="D1294" s="2">
        <v>60.65</v>
      </c>
      <c r="E1294" s="2">
        <v>2334.0</v>
      </c>
      <c r="F1294" s="1" t="s">
        <v>1581</v>
      </c>
      <c r="G1294" s="1" t="s">
        <v>22</v>
      </c>
      <c r="H1294" s="1" t="s">
        <v>37</v>
      </c>
      <c r="I1294" s="1" t="s">
        <v>42</v>
      </c>
      <c r="J1294" s="1" t="s">
        <v>1292</v>
      </c>
      <c r="K1294" s="19" t="s">
        <v>68</v>
      </c>
      <c r="L1294" s="20" t="s">
        <v>27</v>
      </c>
      <c r="M1294" s="21">
        <f t="shared" si="1"/>
        <v>1</v>
      </c>
      <c r="N1294" s="2">
        <v>427.0065</v>
      </c>
      <c r="O1294" s="2">
        <v>10.0</v>
      </c>
      <c r="P1294" s="2">
        <v>618.85</v>
      </c>
      <c r="Q1294" s="2">
        <v>89608.0</v>
      </c>
      <c r="R1294" s="15" t="b">
        <f>ISNUMBER(MATCH(Q1294,'Returned order'!A:A,0))</f>
        <v>0</v>
      </c>
      <c r="S1294" s="22">
        <v>42100.0</v>
      </c>
      <c r="T1294" s="15"/>
      <c r="U1294" s="15"/>
      <c r="V1294" s="15"/>
    </row>
    <row r="1295">
      <c r="A1295" s="2">
        <v>23693.0</v>
      </c>
      <c r="B1295" s="1" t="s">
        <v>49</v>
      </c>
      <c r="C1295" s="2">
        <v>0.05</v>
      </c>
      <c r="D1295" s="2">
        <v>14.81</v>
      </c>
      <c r="E1295" s="2">
        <v>2334.0</v>
      </c>
      <c r="F1295" s="1" t="s">
        <v>1581</v>
      </c>
      <c r="G1295" s="1" t="s">
        <v>66</v>
      </c>
      <c r="H1295" s="1" t="s">
        <v>23</v>
      </c>
      <c r="I1295" s="1" t="s">
        <v>151</v>
      </c>
      <c r="J1295" s="1" t="s">
        <v>678</v>
      </c>
      <c r="K1295" s="19" t="s">
        <v>68</v>
      </c>
      <c r="L1295" s="20" t="s">
        <v>70</v>
      </c>
      <c r="M1295" s="21">
        <f t="shared" si="1"/>
        <v>4</v>
      </c>
      <c r="N1295" s="2">
        <v>-190.49</v>
      </c>
      <c r="O1295" s="2">
        <v>8.0</v>
      </c>
      <c r="P1295" s="2">
        <v>115.99</v>
      </c>
      <c r="Q1295" s="2">
        <v>89609.0</v>
      </c>
      <c r="R1295" s="15" t="b">
        <f>ISNUMBER(MATCH(Q1295,'Returned order'!A:A,0))</f>
        <v>0</v>
      </c>
      <c r="S1295" s="22">
        <v>42103.0</v>
      </c>
      <c r="T1295" s="15"/>
      <c r="U1295" s="15"/>
      <c r="V1295" s="15"/>
    </row>
    <row r="1296">
      <c r="A1296" s="2">
        <v>23694.0</v>
      </c>
      <c r="B1296" s="1" t="s">
        <v>49</v>
      </c>
      <c r="C1296" s="2">
        <v>0.08</v>
      </c>
      <c r="D1296" s="2">
        <v>2.78</v>
      </c>
      <c r="E1296" s="2">
        <v>2334.0</v>
      </c>
      <c r="F1296" s="1" t="s">
        <v>1581</v>
      </c>
      <c r="G1296" s="1" t="s">
        <v>66</v>
      </c>
      <c r="H1296" s="1" t="s">
        <v>23</v>
      </c>
      <c r="I1296" s="1" t="s">
        <v>29</v>
      </c>
      <c r="J1296" s="1" t="s">
        <v>1582</v>
      </c>
      <c r="K1296" s="19" t="s">
        <v>68</v>
      </c>
      <c r="L1296" s="20" t="s">
        <v>70</v>
      </c>
      <c r="M1296" s="21">
        <f t="shared" si="1"/>
        <v>4</v>
      </c>
      <c r="N1296" s="2">
        <v>-8.77</v>
      </c>
      <c r="O1296" s="2">
        <v>7.0</v>
      </c>
      <c r="P1296" s="2">
        <v>19.46</v>
      </c>
      <c r="Q1296" s="2">
        <v>89609.0</v>
      </c>
      <c r="R1296" s="15" t="b">
        <f>ISNUMBER(MATCH(Q1296,'Returned order'!A:A,0))</f>
        <v>0</v>
      </c>
      <c r="S1296" s="22">
        <v>42103.0</v>
      </c>
      <c r="T1296" s="15"/>
      <c r="U1296" s="15"/>
      <c r="V1296" s="15"/>
    </row>
    <row r="1297">
      <c r="A1297" s="2">
        <v>24952.0</v>
      </c>
      <c r="B1297" s="1" t="s">
        <v>170</v>
      </c>
      <c r="C1297" s="2">
        <v>0.06</v>
      </c>
      <c r="D1297" s="2">
        <v>3.74</v>
      </c>
      <c r="E1297" s="2">
        <v>2334.0</v>
      </c>
      <c r="F1297" s="1" t="s">
        <v>1581</v>
      </c>
      <c r="G1297" s="1" t="s">
        <v>51</v>
      </c>
      <c r="H1297" s="1" t="s">
        <v>23</v>
      </c>
      <c r="I1297" s="1" t="s">
        <v>81</v>
      </c>
      <c r="J1297" s="1" t="s">
        <v>1583</v>
      </c>
      <c r="K1297" s="19" t="s">
        <v>68</v>
      </c>
      <c r="L1297" s="20" t="s">
        <v>57</v>
      </c>
      <c r="M1297" s="21">
        <f t="shared" si="1"/>
        <v>2</v>
      </c>
      <c r="N1297" s="2">
        <v>-7.685</v>
      </c>
      <c r="O1297" s="2">
        <v>12.0</v>
      </c>
      <c r="P1297" s="2">
        <v>44.75</v>
      </c>
      <c r="Q1297" s="2">
        <v>89610.0</v>
      </c>
      <c r="R1297" s="15" t="b">
        <f>ISNUMBER(MATCH(Q1297,'Returned order'!A:A,0))</f>
        <v>0</v>
      </c>
      <c r="S1297" s="22">
        <v>42157.0</v>
      </c>
      <c r="T1297" s="15"/>
      <c r="U1297" s="15"/>
      <c r="V1297" s="15"/>
    </row>
    <row r="1298">
      <c r="A1298" s="2">
        <v>25241.0</v>
      </c>
      <c r="B1298" s="1" t="s">
        <v>58</v>
      </c>
      <c r="C1298" s="2">
        <v>0.06</v>
      </c>
      <c r="D1298" s="2">
        <v>2.08</v>
      </c>
      <c r="E1298" s="2">
        <v>2338.0</v>
      </c>
      <c r="F1298" s="1" t="s">
        <v>1584</v>
      </c>
      <c r="G1298" s="1" t="s">
        <v>51</v>
      </c>
      <c r="H1298" s="1" t="s">
        <v>37</v>
      </c>
      <c r="I1298" s="1" t="s">
        <v>42</v>
      </c>
      <c r="J1298" s="1" t="s">
        <v>180</v>
      </c>
      <c r="K1298" s="19" t="s">
        <v>26</v>
      </c>
      <c r="L1298" s="20" t="s">
        <v>57</v>
      </c>
      <c r="M1298" s="21">
        <f t="shared" si="1"/>
        <v>2</v>
      </c>
      <c r="N1298" s="2">
        <v>-82.5592</v>
      </c>
      <c r="O1298" s="2">
        <v>4.0</v>
      </c>
      <c r="P1298" s="2">
        <v>9.23</v>
      </c>
      <c r="Q1298" s="2">
        <v>91480.0</v>
      </c>
      <c r="R1298" s="15" t="b">
        <f>ISNUMBER(MATCH(Q1298,'Returned order'!A:A,0))</f>
        <v>0</v>
      </c>
      <c r="S1298" s="22">
        <v>42017.0</v>
      </c>
      <c r="T1298" s="15"/>
      <c r="U1298" s="15"/>
      <c r="V1298" s="15"/>
    </row>
    <row r="1299">
      <c r="A1299" s="2">
        <v>26137.0</v>
      </c>
      <c r="B1299" s="1" t="s">
        <v>28</v>
      </c>
      <c r="C1299" s="2">
        <v>0.1</v>
      </c>
      <c r="D1299" s="2">
        <v>6.75</v>
      </c>
      <c r="E1299" s="2">
        <v>2338.0</v>
      </c>
      <c r="F1299" s="1" t="s">
        <v>1584</v>
      </c>
      <c r="G1299" s="1" t="s">
        <v>51</v>
      </c>
      <c r="H1299" s="1" t="s">
        <v>23</v>
      </c>
      <c r="I1299" s="1" t="s">
        <v>24</v>
      </c>
      <c r="J1299" s="1" t="s">
        <v>1585</v>
      </c>
      <c r="K1299" s="19" t="s">
        <v>26</v>
      </c>
      <c r="L1299" s="20" t="s">
        <v>61</v>
      </c>
      <c r="M1299" s="21">
        <f t="shared" si="1"/>
        <v>7</v>
      </c>
      <c r="N1299" s="2">
        <v>18.1475</v>
      </c>
      <c r="O1299" s="2">
        <v>15.0</v>
      </c>
      <c r="P1299" s="2">
        <v>96.13</v>
      </c>
      <c r="Q1299" s="2">
        <v>91481.0</v>
      </c>
      <c r="R1299" s="15" t="b">
        <f>ISNUMBER(MATCH(Q1299,'Returned order'!A:A,0))</f>
        <v>0</v>
      </c>
      <c r="S1299" s="22">
        <v>42092.0</v>
      </c>
      <c r="T1299" s="15"/>
      <c r="U1299" s="15"/>
      <c r="V1299" s="15"/>
    </row>
    <row r="1300">
      <c r="A1300" s="2">
        <v>22526.0</v>
      </c>
      <c r="B1300" s="1" t="s">
        <v>63</v>
      </c>
      <c r="C1300" s="2">
        <v>0.05</v>
      </c>
      <c r="D1300" s="2">
        <v>11.58</v>
      </c>
      <c r="E1300" s="2">
        <v>2339.0</v>
      </c>
      <c r="F1300" s="1" t="s">
        <v>1586</v>
      </c>
      <c r="G1300" s="1" t="s">
        <v>51</v>
      </c>
      <c r="H1300" s="1" t="s">
        <v>23</v>
      </c>
      <c r="I1300" s="1" t="s">
        <v>88</v>
      </c>
      <c r="J1300" s="1" t="s">
        <v>154</v>
      </c>
      <c r="K1300" s="19" t="s">
        <v>68</v>
      </c>
      <c r="L1300" s="20" t="s">
        <v>27</v>
      </c>
      <c r="M1300" s="21">
        <f t="shared" si="1"/>
        <v>1</v>
      </c>
      <c r="N1300" s="2">
        <v>2.806</v>
      </c>
      <c r="O1300" s="2">
        <v>6.0</v>
      </c>
      <c r="P1300" s="2">
        <v>73.96</v>
      </c>
      <c r="Q1300" s="2">
        <v>91482.0</v>
      </c>
      <c r="R1300" s="15" t="b">
        <f>ISNUMBER(MATCH(Q1300,'Returned order'!A:A,0))</f>
        <v>0</v>
      </c>
      <c r="S1300" s="22">
        <v>42149.0</v>
      </c>
      <c r="T1300" s="15"/>
      <c r="U1300" s="15"/>
      <c r="V1300" s="15"/>
    </row>
    <row r="1301">
      <c r="A1301" s="2">
        <v>19052.0</v>
      </c>
      <c r="B1301" s="1" t="s">
        <v>63</v>
      </c>
      <c r="C1301" s="2">
        <v>0.07</v>
      </c>
      <c r="D1301" s="2">
        <v>200.98</v>
      </c>
      <c r="E1301" s="2">
        <v>2345.0</v>
      </c>
      <c r="F1301" s="1" t="s">
        <v>1587</v>
      </c>
      <c r="G1301" s="1" t="s">
        <v>32</v>
      </c>
      <c r="H1301" s="1" t="s">
        <v>37</v>
      </c>
      <c r="I1301" s="1" t="s">
        <v>38</v>
      </c>
      <c r="J1301" s="1" t="s">
        <v>1588</v>
      </c>
      <c r="K1301" s="19" t="s">
        <v>229</v>
      </c>
      <c r="L1301" s="20" t="s">
        <v>53</v>
      </c>
      <c r="M1301" s="21">
        <f t="shared" si="1"/>
        <v>6</v>
      </c>
      <c r="N1301" s="2">
        <v>-132.426</v>
      </c>
      <c r="O1301" s="2">
        <v>9.0</v>
      </c>
      <c r="P1301" s="2">
        <v>1805.9</v>
      </c>
      <c r="Q1301" s="2">
        <v>89504.0</v>
      </c>
      <c r="R1301" s="15" t="b">
        <f>ISNUMBER(MATCH(Q1301,'Returned order'!A:A,0))</f>
        <v>0</v>
      </c>
      <c r="S1301" s="22">
        <v>42077.0</v>
      </c>
      <c r="T1301" s="15"/>
      <c r="U1301" s="15"/>
      <c r="V1301" s="15"/>
    </row>
    <row r="1302">
      <c r="A1302" s="2">
        <v>19053.0</v>
      </c>
      <c r="B1302" s="1" t="s">
        <v>63</v>
      </c>
      <c r="C1302" s="2">
        <v>0.02</v>
      </c>
      <c r="D1302" s="2">
        <v>179.29</v>
      </c>
      <c r="E1302" s="2">
        <v>2345.0</v>
      </c>
      <c r="F1302" s="1" t="s">
        <v>1587</v>
      </c>
      <c r="G1302" s="1" t="s">
        <v>32</v>
      </c>
      <c r="H1302" s="1" t="s">
        <v>37</v>
      </c>
      <c r="I1302" s="1" t="s">
        <v>73</v>
      </c>
      <c r="J1302" s="1" t="s">
        <v>539</v>
      </c>
      <c r="K1302" s="19" t="s">
        <v>229</v>
      </c>
      <c r="L1302" s="20" t="s">
        <v>53</v>
      </c>
      <c r="M1302" s="21">
        <f t="shared" si="1"/>
        <v>6</v>
      </c>
      <c r="N1302" s="2">
        <v>-411.236</v>
      </c>
      <c r="O1302" s="2">
        <v>2.0</v>
      </c>
      <c r="P1302" s="2">
        <v>311.41</v>
      </c>
      <c r="Q1302" s="2">
        <v>89504.0</v>
      </c>
      <c r="R1302" s="15" t="b">
        <f>ISNUMBER(MATCH(Q1302,'Returned order'!A:A,0))</f>
        <v>0</v>
      </c>
      <c r="S1302" s="22">
        <v>42077.0</v>
      </c>
      <c r="T1302" s="15"/>
      <c r="U1302" s="15"/>
      <c r="V1302" s="15"/>
    </row>
    <row r="1303">
      <c r="A1303" s="2">
        <v>20776.0</v>
      </c>
      <c r="B1303" s="1" t="s">
        <v>170</v>
      </c>
      <c r="C1303" s="2">
        <v>0.03</v>
      </c>
      <c r="D1303" s="2">
        <v>297.64</v>
      </c>
      <c r="E1303" s="2">
        <v>2346.0</v>
      </c>
      <c r="F1303" s="1" t="s">
        <v>1589</v>
      </c>
      <c r="G1303" s="1" t="s">
        <v>32</v>
      </c>
      <c r="H1303" s="1" t="s">
        <v>46</v>
      </c>
      <c r="I1303" s="1" t="s">
        <v>103</v>
      </c>
      <c r="J1303" s="1" t="s">
        <v>499</v>
      </c>
      <c r="K1303" s="19" t="s">
        <v>229</v>
      </c>
      <c r="L1303" s="20" t="s">
        <v>53</v>
      </c>
      <c r="M1303" s="21">
        <f t="shared" si="1"/>
        <v>6</v>
      </c>
      <c r="N1303" s="2">
        <v>-48.972</v>
      </c>
      <c r="O1303" s="2">
        <v>12.0</v>
      </c>
      <c r="P1303" s="2">
        <v>3707.05</v>
      </c>
      <c r="Q1303" s="2">
        <v>89503.0</v>
      </c>
      <c r="R1303" s="15" t="b">
        <f>ISNUMBER(MATCH(Q1303,'Returned order'!A:A,0))</f>
        <v>0</v>
      </c>
      <c r="S1303" s="22">
        <v>42014.0</v>
      </c>
      <c r="T1303" s="15"/>
      <c r="U1303" s="15"/>
      <c r="V1303" s="15"/>
    </row>
    <row r="1304">
      <c r="A1304" s="2">
        <v>21627.0</v>
      </c>
      <c r="B1304" s="1" t="s">
        <v>28</v>
      </c>
      <c r="C1304" s="2">
        <v>0.1</v>
      </c>
      <c r="D1304" s="2">
        <v>218.75</v>
      </c>
      <c r="E1304" s="2">
        <v>2346.0</v>
      </c>
      <c r="F1304" s="1" t="s">
        <v>1589</v>
      </c>
      <c r="G1304" s="1" t="s">
        <v>32</v>
      </c>
      <c r="H1304" s="1" t="s">
        <v>37</v>
      </c>
      <c r="I1304" s="1" t="s">
        <v>73</v>
      </c>
      <c r="J1304" s="1" t="s">
        <v>556</v>
      </c>
      <c r="K1304" s="19" t="s">
        <v>229</v>
      </c>
      <c r="L1304" s="20" t="s">
        <v>35</v>
      </c>
      <c r="M1304" s="21">
        <f t="shared" si="1"/>
        <v>3</v>
      </c>
      <c r="N1304" s="2">
        <v>62.298</v>
      </c>
      <c r="O1304" s="2">
        <v>17.0</v>
      </c>
      <c r="P1304" s="2">
        <v>2805.18</v>
      </c>
      <c r="Q1304" s="2">
        <v>89505.0</v>
      </c>
      <c r="R1304" s="15" t="b">
        <f>ISNUMBER(MATCH(Q1304,'Returned order'!A:A,0))</f>
        <v>0</v>
      </c>
      <c r="S1304" s="22">
        <v>42144.0</v>
      </c>
      <c r="T1304" s="15"/>
      <c r="U1304" s="15"/>
      <c r="V1304" s="15"/>
    </row>
    <row r="1305">
      <c r="A1305" s="2">
        <v>18675.0</v>
      </c>
      <c r="B1305" s="1" t="s">
        <v>58</v>
      </c>
      <c r="C1305" s="2">
        <v>0.08</v>
      </c>
      <c r="D1305" s="2">
        <v>6.48</v>
      </c>
      <c r="E1305" s="2">
        <v>2351.0</v>
      </c>
      <c r="F1305" s="1" t="s">
        <v>183</v>
      </c>
      <c r="G1305" s="1" t="s">
        <v>32</v>
      </c>
      <c r="H1305" s="1" t="s">
        <v>23</v>
      </c>
      <c r="I1305" s="1" t="s">
        <v>93</v>
      </c>
      <c r="J1305" s="1" t="s">
        <v>185</v>
      </c>
      <c r="K1305" s="19" t="s">
        <v>26</v>
      </c>
      <c r="L1305" s="20" t="s">
        <v>27</v>
      </c>
      <c r="M1305" s="21">
        <f t="shared" si="1"/>
        <v>1</v>
      </c>
      <c r="N1305" s="2">
        <v>-119.32</v>
      </c>
      <c r="O1305" s="2">
        <v>13.0</v>
      </c>
      <c r="P1305" s="2">
        <v>80.86</v>
      </c>
      <c r="Q1305" s="2">
        <v>86163.0</v>
      </c>
      <c r="R1305" s="15" t="b">
        <f>ISNUMBER(MATCH(Q1305,'Returned order'!A:A,0))</f>
        <v>0</v>
      </c>
      <c r="S1305" s="22">
        <v>42093.0</v>
      </c>
      <c r="T1305" s="15"/>
      <c r="U1305" s="15"/>
      <c r="V1305" s="15"/>
    </row>
    <row r="1306">
      <c r="A1306" s="2">
        <v>20904.0</v>
      </c>
      <c r="B1306" s="1" t="s">
        <v>58</v>
      </c>
      <c r="C1306" s="2">
        <v>0.06</v>
      </c>
      <c r="D1306" s="2">
        <v>59.76</v>
      </c>
      <c r="E1306" s="2">
        <v>2352.0</v>
      </c>
      <c r="F1306" s="1" t="s">
        <v>1590</v>
      </c>
      <c r="G1306" s="1" t="s">
        <v>22</v>
      </c>
      <c r="H1306" s="1" t="s">
        <v>23</v>
      </c>
      <c r="I1306" s="1" t="s">
        <v>120</v>
      </c>
      <c r="J1306" s="1" t="s">
        <v>809</v>
      </c>
      <c r="K1306" s="19" t="s">
        <v>26</v>
      </c>
      <c r="L1306" s="20" t="s">
        <v>53</v>
      </c>
      <c r="M1306" s="21">
        <f t="shared" si="1"/>
        <v>6</v>
      </c>
      <c r="N1306" s="2">
        <v>756.6747</v>
      </c>
      <c r="O1306" s="2">
        <v>18.0</v>
      </c>
      <c r="P1306" s="2">
        <v>1096.63</v>
      </c>
      <c r="Q1306" s="2">
        <v>86165.0</v>
      </c>
      <c r="R1306" s="15" t="b">
        <f>ISNUMBER(MATCH(Q1306,'Returned order'!A:A,0))</f>
        <v>0</v>
      </c>
      <c r="S1306" s="22">
        <v>42175.0</v>
      </c>
      <c r="T1306" s="15"/>
      <c r="U1306" s="15"/>
      <c r="V1306" s="15"/>
    </row>
    <row r="1307">
      <c r="A1307" s="2">
        <v>20905.0</v>
      </c>
      <c r="B1307" s="1" t="s">
        <v>58</v>
      </c>
      <c r="C1307" s="2">
        <v>0.07</v>
      </c>
      <c r="D1307" s="2">
        <v>195.99</v>
      </c>
      <c r="E1307" s="2">
        <v>2352.0</v>
      </c>
      <c r="F1307" s="1" t="s">
        <v>1590</v>
      </c>
      <c r="G1307" s="1" t="s">
        <v>22</v>
      </c>
      <c r="H1307" s="1" t="s">
        <v>46</v>
      </c>
      <c r="I1307" s="1" t="s">
        <v>85</v>
      </c>
      <c r="J1307" s="1" t="s">
        <v>1591</v>
      </c>
      <c r="K1307" s="19" t="s">
        <v>26</v>
      </c>
      <c r="L1307" s="20" t="s">
        <v>53</v>
      </c>
      <c r="M1307" s="21">
        <f t="shared" si="1"/>
        <v>6</v>
      </c>
      <c r="N1307" s="2">
        <v>-222.343</v>
      </c>
      <c r="O1307" s="2">
        <v>4.0</v>
      </c>
      <c r="P1307" s="2">
        <v>632.12</v>
      </c>
      <c r="Q1307" s="2">
        <v>86165.0</v>
      </c>
      <c r="R1307" s="15" t="b">
        <f>ISNUMBER(MATCH(Q1307,'Returned order'!A:A,0))</f>
        <v>0</v>
      </c>
      <c r="S1307" s="22">
        <v>42175.0</v>
      </c>
      <c r="T1307" s="15"/>
      <c r="U1307" s="15"/>
      <c r="V1307" s="15"/>
    </row>
    <row r="1308">
      <c r="A1308" s="2">
        <v>19270.0</v>
      </c>
      <c r="B1308" s="1" t="s">
        <v>49</v>
      </c>
      <c r="C1308" s="2">
        <v>0.09</v>
      </c>
      <c r="D1308" s="2">
        <v>71.37</v>
      </c>
      <c r="E1308" s="2">
        <v>2352.0</v>
      </c>
      <c r="F1308" s="1" t="s">
        <v>1590</v>
      </c>
      <c r="G1308" s="1" t="s">
        <v>51</v>
      </c>
      <c r="H1308" s="1" t="s">
        <v>37</v>
      </c>
      <c r="I1308" s="1" t="s">
        <v>73</v>
      </c>
      <c r="J1308" s="1" t="s">
        <v>1592</v>
      </c>
      <c r="K1308" s="19" t="s">
        <v>26</v>
      </c>
      <c r="L1308" s="20" t="s">
        <v>57</v>
      </c>
      <c r="M1308" s="21">
        <f t="shared" si="1"/>
        <v>2</v>
      </c>
      <c r="N1308" s="2">
        <v>-1537.1356</v>
      </c>
      <c r="O1308" s="2">
        <v>19.0</v>
      </c>
      <c r="P1308" s="2">
        <v>1302.98</v>
      </c>
      <c r="Q1308" s="2">
        <v>86166.0</v>
      </c>
      <c r="R1308" s="15" t="b">
        <f>ISNUMBER(MATCH(Q1308,'Returned order'!A:A,0))</f>
        <v>0</v>
      </c>
      <c r="S1308" s="22">
        <v>42178.0</v>
      </c>
      <c r="T1308" s="15"/>
      <c r="U1308" s="15"/>
      <c r="V1308" s="15"/>
    </row>
    <row r="1309">
      <c r="A1309" s="2">
        <v>25338.0</v>
      </c>
      <c r="B1309" s="1" t="s">
        <v>58</v>
      </c>
      <c r="C1309" s="2">
        <v>0.04</v>
      </c>
      <c r="D1309" s="2">
        <v>5.98</v>
      </c>
      <c r="E1309" s="2">
        <v>2353.0</v>
      </c>
      <c r="F1309" s="1" t="s">
        <v>1593</v>
      </c>
      <c r="G1309" s="1" t="s">
        <v>32</v>
      </c>
      <c r="H1309" s="1" t="s">
        <v>23</v>
      </c>
      <c r="I1309" s="1" t="s">
        <v>29</v>
      </c>
      <c r="J1309" s="1" t="s">
        <v>1332</v>
      </c>
      <c r="K1309" s="19" t="s">
        <v>26</v>
      </c>
      <c r="L1309" s="20" t="s">
        <v>35</v>
      </c>
      <c r="M1309" s="21">
        <f t="shared" si="1"/>
        <v>3</v>
      </c>
      <c r="N1309" s="2">
        <v>52.6976</v>
      </c>
      <c r="O1309" s="2">
        <v>22.0</v>
      </c>
      <c r="P1309" s="2">
        <v>131.79</v>
      </c>
      <c r="Q1309" s="2">
        <v>86164.0</v>
      </c>
      <c r="R1309" s="15" t="b">
        <f>ISNUMBER(MATCH(Q1309,'Returned order'!A:A,0))</f>
        <v>0</v>
      </c>
      <c r="S1309" s="22">
        <v>42123.0</v>
      </c>
      <c r="T1309" s="15"/>
      <c r="U1309" s="15"/>
      <c r="V1309" s="15"/>
    </row>
    <row r="1310">
      <c r="A1310" s="2">
        <v>25339.0</v>
      </c>
      <c r="B1310" s="1" t="s">
        <v>58</v>
      </c>
      <c r="C1310" s="2">
        <v>0.01</v>
      </c>
      <c r="D1310" s="2">
        <v>20.99</v>
      </c>
      <c r="E1310" s="2">
        <v>2353.0</v>
      </c>
      <c r="F1310" s="1" t="s">
        <v>1593</v>
      </c>
      <c r="G1310" s="1" t="s">
        <v>32</v>
      </c>
      <c r="H1310" s="1" t="s">
        <v>46</v>
      </c>
      <c r="I1310" s="1" t="s">
        <v>85</v>
      </c>
      <c r="J1310" s="1" t="s">
        <v>97</v>
      </c>
      <c r="K1310" s="19" t="s">
        <v>26</v>
      </c>
      <c r="L1310" s="20" t="s">
        <v>35</v>
      </c>
      <c r="M1310" s="21">
        <f t="shared" si="1"/>
        <v>3</v>
      </c>
      <c r="N1310" s="2">
        <v>-78.19416</v>
      </c>
      <c r="O1310" s="2">
        <v>2.0</v>
      </c>
      <c r="P1310" s="2">
        <v>35.33</v>
      </c>
      <c r="Q1310" s="2">
        <v>86164.0</v>
      </c>
      <c r="R1310" s="15" t="b">
        <f>ISNUMBER(MATCH(Q1310,'Returned order'!A:A,0))</f>
        <v>0</v>
      </c>
      <c r="S1310" s="22">
        <v>42123.0</v>
      </c>
      <c r="T1310" s="15"/>
      <c r="U1310" s="15"/>
      <c r="V1310" s="15"/>
    </row>
    <row r="1311">
      <c r="A1311" s="2">
        <v>22649.0</v>
      </c>
      <c r="B1311" s="1" t="s">
        <v>49</v>
      </c>
      <c r="C1311" s="2">
        <v>0.1</v>
      </c>
      <c r="D1311" s="2">
        <v>78.69</v>
      </c>
      <c r="E1311" s="2">
        <v>2355.0</v>
      </c>
      <c r="F1311" s="1" t="s">
        <v>1594</v>
      </c>
      <c r="G1311" s="1" t="s">
        <v>22</v>
      </c>
      <c r="H1311" s="1" t="s">
        <v>37</v>
      </c>
      <c r="I1311" s="1" t="s">
        <v>42</v>
      </c>
      <c r="J1311" s="1" t="s">
        <v>67</v>
      </c>
      <c r="K1311" s="19" t="s">
        <v>34</v>
      </c>
      <c r="L1311" s="20" t="s">
        <v>61</v>
      </c>
      <c r="M1311" s="21">
        <f t="shared" si="1"/>
        <v>7</v>
      </c>
      <c r="N1311" s="2">
        <v>465.4395</v>
      </c>
      <c r="O1311" s="2">
        <v>9.0</v>
      </c>
      <c r="P1311" s="2">
        <v>674.55</v>
      </c>
      <c r="Q1311" s="2">
        <v>91304.0</v>
      </c>
      <c r="R1311" s="15" t="b">
        <f>ISNUMBER(MATCH(Q1311,'Returned order'!A:A,0))</f>
        <v>0</v>
      </c>
      <c r="S1311" s="22">
        <v>42050.0</v>
      </c>
      <c r="T1311" s="15"/>
      <c r="U1311" s="15"/>
      <c r="V1311" s="15"/>
    </row>
    <row r="1312">
      <c r="A1312" s="2">
        <v>21511.0</v>
      </c>
      <c r="B1312" s="1" t="s">
        <v>63</v>
      </c>
      <c r="C1312" s="2">
        <v>0.06</v>
      </c>
      <c r="D1312" s="2">
        <v>146.34</v>
      </c>
      <c r="E1312" s="2">
        <v>2355.0</v>
      </c>
      <c r="F1312" s="1" t="s">
        <v>1594</v>
      </c>
      <c r="G1312" s="1" t="s">
        <v>22</v>
      </c>
      <c r="H1312" s="1" t="s">
        <v>37</v>
      </c>
      <c r="I1312" s="1" t="s">
        <v>73</v>
      </c>
      <c r="J1312" s="1" t="s">
        <v>1572</v>
      </c>
      <c r="K1312" s="19" t="s">
        <v>34</v>
      </c>
      <c r="L1312" s="20" t="s">
        <v>57</v>
      </c>
      <c r="M1312" s="21">
        <f t="shared" si="1"/>
        <v>2</v>
      </c>
      <c r="N1312" s="2">
        <v>-89.27</v>
      </c>
      <c r="O1312" s="2">
        <v>12.0</v>
      </c>
      <c r="P1312" s="2">
        <v>1721.24</v>
      </c>
      <c r="Q1312" s="2">
        <v>91306.0</v>
      </c>
      <c r="R1312" s="15" t="b">
        <f>ISNUMBER(MATCH(Q1312,'Returned order'!A:A,0))</f>
        <v>0</v>
      </c>
      <c r="S1312" s="22">
        <v>42171.0</v>
      </c>
      <c r="T1312" s="15"/>
      <c r="U1312" s="15"/>
      <c r="V1312" s="15"/>
    </row>
    <row r="1313">
      <c r="A1313" s="2">
        <v>24526.0</v>
      </c>
      <c r="B1313" s="1" t="s">
        <v>63</v>
      </c>
      <c r="C1313" s="2">
        <v>0.0</v>
      </c>
      <c r="D1313" s="2">
        <v>29.34</v>
      </c>
      <c r="E1313" s="2">
        <v>2356.0</v>
      </c>
      <c r="F1313" s="1" t="s">
        <v>1595</v>
      </c>
      <c r="G1313" s="1" t="s">
        <v>22</v>
      </c>
      <c r="H1313" s="1" t="s">
        <v>37</v>
      </c>
      <c r="I1313" s="1" t="s">
        <v>42</v>
      </c>
      <c r="J1313" s="1" t="s">
        <v>493</v>
      </c>
      <c r="K1313" s="19" t="s">
        <v>34</v>
      </c>
      <c r="L1313" s="20" t="s">
        <v>61</v>
      </c>
      <c r="M1313" s="21">
        <f t="shared" si="1"/>
        <v>7</v>
      </c>
      <c r="N1313" s="2">
        <v>385.37</v>
      </c>
      <c r="O1313" s="2">
        <v>22.0</v>
      </c>
      <c r="P1313" s="2">
        <v>668.38</v>
      </c>
      <c r="Q1313" s="2">
        <v>91305.0</v>
      </c>
      <c r="R1313" s="15" t="b">
        <f>ISNUMBER(MATCH(Q1313,'Returned order'!A:A,0))</f>
        <v>0</v>
      </c>
      <c r="S1313" s="22">
        <v>42078.0</v>
      </c>
      <c r="T1313" s="15"/>
      <c r="U1313" s="15"/>
      <c r="V1313" s="15"/>
    </row>
    <row r="1314">
      <c r="A1314" s="2">
        <v>20798.0</v>
      </c>
      <c r="B1314" s="1" t="s">
        <v>170</v>
      </c>
      <c r="C1314" s="2">
        <v>0.1</v>
      </c>
      <c r="D1314" s="2">
        <v>205.99</v>
      </c>
      <c r="E1314" s="2">
        <v>2358.0</v>
      </c>
      <c r="F1314" s="1" t="s">
        <v>1596</v>
      </c>
      <c r="G1314" s="1" t="s">
        <v>32</v>
      </c>
      <c r="H1314" s="1" t="s">
        <v>46</v>
      </c>
      <c r="I1314" s="1" t="s">
        <v>85</v>
      </c>
      <c r="J1314" s="1" t="s">
        <v>172</v>
      </c>
      <c r="K1314" s="19" t="s">
        <v>229</v>
      </c>
      <c r="L1314" s="20" t="s">
        <v>35</v>
      </c>
      <c r="M1314" s="21">
        <f t="shared" si="1"/>
        <v>3</v>
      </c>
      <c r="N1314" s="2">
        <v>147.0</v>
      </c>
      <c r="O1314" s="2">
        <v>2.0</v>
      </c>
      <c r="P1314" s="2">
        <v>324.62</v>
      </c>
      <c r="Q1314" s="2">
        <v>88267.0</v>
      </c>
      <c r="R1314" s="15" t="b">
        <f>ISNUMBER(MATCH(Q1314,'Returned order'!A:A,0))</f>
        <v>0</v>
      </c>
      <c r="S1314" s="22">
        <v>42067.0</v>
      </c>
      <c r="T1314" s="15"/>
      <c r="U1314" s="15"/>
      <c r="V1314" s="15"/>
    </row>
    <row r="1315">
      <c r="A1315" s="2">
        <v>18892.0</v>
      </c>
      <c r="B1315" s="1" t="s">
        <v>58</v>
      </c>
      <c r="C1315" s="2">
        <v>0.05</v>
      </c>
      <c r="D1315" s="2">
        <v>2.08</v>
      </c>
      <c r="E1315" s="2">
        <v>2358.0</v>
      </c>
      <c r="F1315" s="1" t="s">
        <v>1596</v>
      </c>
      <c r="G1315" s="1" t="s">
        <v>51</v>
      </c>
      <c r="H1315" s="1" t="s">
        <v>23</v>
      </c>
      <c r="I1315" s="1" t="s">
        <v>257</v>
      </c>
      <c r="J1315" s="1" t="s">
        <v>332</v>
      </c>
      <c r="K1315" s="19" t="s">
        <v>229</v>
      </c>
      <c r="L1315" s="20" t="s">
        <v>53</v>
      </c>
      <c r="M1315" s="21">
        <f t="shared" si="1"/>
        <v>6</v>
      </c>
      <c r="N1315" s="2">
        <v>-1045.016</v>
      </c>
      <c r="O1315" s="2">
        <v>19.0</v>
      </c>
      <c r="P1315" s="2">
        <v>40.93</v>
      </c>
      <c r="Q1315" s="2">
        <v>88268.0</v>
      </c>
      <c r="R1315" s="15" t="b">
        <f>ISNUMBER(MATCH(Q1315,'Returned order'!A:A,0))</f>
        <v>0</v>
      </c>
      <c r="S1315" s="22">
        <v>42049.0</v>
      </c>
      <c r="T1315" s="15"/>
      <c r="U1315" s="15"/>
      <c r="V1315" s="15"/>
    </row>
    <row r="1316">
      <c r="A1316" s="2">
        <v>21772.0</v>
      </c>
      <c r="B1316" s="1" t="s">
        <v>58</v>
      </c>
      <c r="C1316" s="2">
        <v>0.0</v>
      </c>
      <c r="D1316" s="2">
        <v>7.28</v>
      </c>
      <c r="E1316" s="2">
        <v>2359.0</v>
      </c>
      <c r="F1316" s="1" t="s">
        <v>1597</v>
      </c>
      <c r="G1316" s="1" t="s">
        <v>51</v>
      </c>
      <c r="H1316" s="1" t="s">
        <v>23</v>
      </c>
      <c r="I1316" s="1" t="s">
        <v>93</v>
      </c>
      <c r="J1316" s="1" t="s">
        <v>1598</v>
      </c>
      <c r="K1316" s="19" t="s">
        <v>229</v>
      </c>
      <c r="L1316" s="20" t="s">
        <v>70</v>
      </c>
      <c r="M1316" s="21">
        <f t="shared" si="1"/>
        <v>4</v>
      </c>
      <c r="N1316" s="2">
        <v>167.16</v>
      </c>
      <c r="O1316" s="2">
        <v>7.0</v>
      </c>
      <c r="P1316" s="2">
        <v>53.42</v>
      </c>
      <c r="Q1316" s="2">
        <v>88265.0</v>
      </c>
      <c r="R1316" s="15" t="b">
        <f>ISNUMBER(MATCH(Q1316,'Returned order'!A:A,0))</f>
        <v>0</v>
      </c>
      <c r="S1316" s="22">
        <v>42040.0</v>
      </c>
      <c r="T1316" s="15"/>
      <c r="U1316" s="15"/>
      <c r="V1316" s="15"/>
    </row>
    <row r="1317">
      <c r="A1317" s="2">
        <v>24890.0</v>
      </c>
      <c r="B1317" s="1" t="s">
        <v>28</v>
      </c>
      <c r="C1317" s="2">
        <v>0.06</v>
      </c>
      <c r="D1317" s="2">
        <v>8.33</v>
      </c>
      <c r="E1317" s="2">
        <v>2361.0</v>
      </c>
      <c r="F1317" s="1" t="s">
        <v>1599</v>
      </c>
      <c r="G1317" s="1" t="s">
        <v>32</v>
      </c>
      <c r="H1317" s="1" t="s">
        <v>46</v>
      </c>
      <c r="I1317" s="1" t="s">
        <v>47</v>
      </c>
      <c r="J1317" s="1" t="s">
        <v>218</v>
      </c>
      <c r="K1317" s="19" t="s">
        <v>229</v>
      </c>
      <c r="L1317" s="20" t="s">
        <v>35</v>
      </c>
      <c r="M1317" s="21">
        <f t="shared" si="1"/>
        <v>3</v>
      </c>
      <c r="N1317" s="2">
        <v>-344.82</v>
      </c>
      <c r="O1317" s="2">
        <v>1.0</v>
      </c>
      <c r="P1317" s="2">
        <v>8.49</v>
      </c>
      <c r="Q1317" s="2">
        <v>88266.0</v>
      </c>
      <c r="R1317" s="15" t="b">
        <f>ISNUMBER(MATCH(Q1317,'Returned order'!A:A,0))</f>
        <v>0</v>
      </c>
      <c r="S1317" s="22">
        <v>42060.0</v>
      </c>
      <c r="T1317" s="15"/>
      <c r="U1317" s="15"/>
      <c r="V1317" s="15"/>
    </row>
    <row r="1318">
      <c r="A1318" s="2">
        <v>19369.0</v>
      </c>
      <c r="B1318" s="1" t="s">
        <v>28</v>
      </c>
      <c r="C1318" s="2">
        <v>0.0</v>
      </c>
      <c r="D1318" s="2">
        <v>5.77</v>
      </c>
      <c r="E1318" s="2">
        <v>2363.0</v>
      </c>
      <c r="F1318" s="1" t="s">
        <v>1600</v>
      </c>
      <c r="G1318" s="1" t="s">
        <v>51</v>
      </c>
      <c r="H1318" s="1" t="s">
        <v>37</v>
      </c>
      <c r="I1318" s="1" t="s">
        <v>42</v>
      </c>
      <c r="J1318" s="1" t="s">
        <v>1601</v>
      </c>
      <c r="K1318" s="19" t="s">
        <v>26</v>
      </c>
      <c r="L1318" s="20" t="s">
        <v>53</v>
      </c>
      <c r="M1318" s="21">
        <f t="shared" si="1"/>
        <v>6</v>
      </c>
      <c r="N1318" s="2">
        <v>-61.5276</v>
      </c>
      <c r="O1318" s="2">
        <v>11.0</v>
      </c>
      <c r="P1318" s="2">
        <v>69.89</v>
      </c>
      <c r="Q1318" s="2">
        <v>90040.0</v>
      </c>
      <c r="R1318" s="15" t="b">
        <f>ISNUMBER(MATCH(Q1318,'Returned order'!A:A,0))</f>
        <v>0</v>
      </c>
      <c r="S1318" s="22">
        <v>42105.0</v>
      </c>
      <c r="T1318" s="15"/>
      <c r="U1318" s="15"/>
      <c r="V1318" s="15"/>
    </row>
    <row r="1319">
      <c r="A1319" s="2">
        <v>21582.0</v>
      </c>
      <c r="B1319" s="1" t="s">
        <v>170</v>
      </c>
      <c r="C1319" s="2">
        <v>0.07</v>
      </c>
      <c r="D1319" s="2">
        <v>5.98</v>
      </c>
      <c r="E1319" s="2">
        <v>2369.0</v>
      </c>
      <c r="F1319" s="1" t="s">
        <v>1602</v>
      </c>
      <c r="G1319" s="1" t="s">
        <v>22</v>
      </c>
      <c r="H1319" s="1" t="s">
        <v>23</v>
      </c>
      <c r="I1319" s="1" t="s">
        <v>93</v>
      </c>
      <c r="J1319" s="1" t="s">
        <v>204</v>
      </c>
      <c r="K1319" s="19" t="s">
        <v>229</v>
      </c>
      <c r="L1319" s="20" t="s">
        <v>57</v>
      </c>
      <c r="M1319" s="21">
        <f t="shared" si="1"/>
        <v>2</v>
      </c>
      <c r="N1319" s="2">
        <v>-41.9727</v>
      </c>
      <c r="O1319" s="2">
        <v>13.0</v>
      </c>
      <c r="P1319" s="2">
        <v>77.42</v>
      </c>
      <c r="Q1319" s="2">
        <v>90408.0</v>
      </c>
      <c r="R1319" s="15" t="b">
        <f>ISNUMBER(MATCH(Q1319,'Returned order'!A:A,0))</f>
        <v>0</v>
      </c>
      <c r="S1319" s="22">
        <v>42017.0</v>
      </c>
      <c r="T1319" s="15"/>
      <c r="U1319" s="15"/>
      <c r="V1319" s="15"/>
    </row>
    <row r="1320">
      <c r="A1320" s="2">
        <v>21988.0</v>
      </c>
      <c r="B1320" s="1" t="s">
        <v>63</v>
      </c>
      <c r="C1320" s="2">
        <v>0.01</v>
      </c>
      <c r="D1320" s="2">
        <v>1.76</v>
      </c>
      <c r="E1320" s="2">
        <v>2372.0</v>
      </c>
      <c r="F1320" s="1" t="s">
        <v>1603</v>
      </c>
      <c r="G1320" s="1" t="s">
        <v>32</v>
      </c>
      <c r="H1320" s="1" t="s">
        <v>23</v>
      </c>
      <c r="I1320" s="1" t="s">
        <v>29</v>
      </c>
      <c r="J1320" s="1" t="s">
        <v>30</v>
      </c>
      <c r="K1320" s="19" t="s">
        <v>68</v>
      </c>
      <c r="L1320" s="20" t="s">
        <v>61</v>
      </c>
      <c r="M1320" s="21">
        <f t="shared" si="1"/>
        <v>7</v>
      </c>
      <c r="N1320" s="2">
        <v>-1.56</v>
      </c>
      <c r="O1320" s="2">
        <v>4.0</v>
      </c>
      <c r="P1320" s="2">
        <v>7.2</v>
      </c>
      <c r="Q1320" s="2">
        <v>90714.0</v>
      </c>
      <c r="R1320" s="15" t="b">
        <f>ISNUMBER(MATCH(Q1320,'Returned order'!A:A,0))</f>
        <v>0</v>
      </c>
      <c r="S1320" s="22">
        <v>42078.0</v>
      </c>
      <c r="T1320" s="15"/>
      <c r="U1320" s="15"/>
      <c r="V1320" s="15"/>
    </row>
    <row r="1321">
      <c r="A1321" s="2">
        <v>22827.0</v>
      </c>
      <c r="B1321" s="1" t="s">
        <v>28</v>
      </c>
      <c r="C1321" s="2">
        <v>0.05</v>
      </c>
      <c r="D1321" s="2">
        <v>3.28</v>
      </c>
      <c r="E1321" s="2">
        <v>2376.0</v>
      </c>
      <c r="F1321" s="1" t="s">
        <v>1604</v>
      </c>
      <c r="G1321" s="1" t="s">
        <v>32</v>
      </c>
      <c r="H1321" s="1" t="s">
        <v>23</v>
      </c>
      <c r="I1321" s="1" t="s">
        <v>29</v>
      </c>
      <c r="J1321" s="1" t="s">
        <v>1313</v>
      </c>
      <c r="K1321" s="19" t="s">
        <v>34</v>
      </c>
      <c r="L1321" s="20" t="s">
        <v>70</v>
      </c>
      <c r="M1321" s="21">
        <f t="shared" si="1"/>
        <v>4</v>
      </c>
      <c r="N1321" s="2">
        <v>-100.24</v>
      </c>
      <c r="O1321" s="2">
        <v>18.0</v>
      </c>
      <c r="P1321" s="2">
        <v>61.29</v>
      </c>
      <c r="Q1321" s="2">
        <v>91321.0</v>
      </c>
      <c r="R1321" s="15" t="b">
        <f>ISNUMBER(MATCH(Q1321,'Returned order'!A:A,0))</f>
        <v>0</v>
      </c>
      <c r="S1321" s="22">
        <v>42068.0</v>
      </c>
      <c r="T1321" s="15"/>
      <c r="U1321" s="15"/>
      <c r="V1321" s="15"/>
    </row>
    <row r="1322">
      <c r="A1322" s="2">
        <v>22828.0</v>
      </c>
      <c r="B1322" s="1" t="s">
        <v>28</v>
      </c>
      <c r="C1322" s="2">
        <v>0.03</v>
      </c>
      <c r="D1322" s="2">
        <v>6.98</v>
      </c>
      <c r="E1322" s="2">
        <v>2376.0</v>
      </c>
      <c r="F1322" s="1" t="s">
        <v>1604</v>
      </c>
      <c r="G1322" s="1" t="s">
        <v>32</v>
      </c>
      <c r="H1322" s="1" t="s">
        <v>23</v>
      </c>
      <c r="I1322" s="1" t="s">
        <v>120</v>
      </c>
      <c r="J1322" s="1" t="s">
        <v>1605</v>
      </c>
      <c r="K1322" s="19" t="s">
        <v>34</v>
      </c>
      <c r="L1322" s="20" t="s">
        <v>70</v>
      </c>
      <c r="M1322" s="21">
        <f t="shared" si="1"/>
        <v>4</v>
      </c>
      <c r="N1322" s="2">
        <v>-262.62</v>
      </c>
      <c r="O1322" s="2">
        <v>15.0</v>
      </c>
      <c r="P1322" s="2">
        <v>109.15</v>
      </c>
      <c r="Q1322" s="2">
        <v>91321.0</v>
      </c>
      <c r="R1322" s="15" t="b">
        <f>ISNUMBER(MATCH(Q1322,'Returned order'!A:A,0))</f>
        <v>0</v>
      </c>
      <c r="S1322" s="22">
        <v>42068.0</v>
      </c>
      <c r="T1322" s="15"/>
      <c r="U1322" s="15"/>
      <c r="V1322" s="15"/>
    </row>
    <row r="1323">
      <c r="A1323" s="2">
        <v>18151.0</v>
      </c>
      <c r="B1323" s="1" t="s">
        <v>170</v>
      </c>
      <c r="C1323" s="2">
        <v>0.06</v>
      </c>
      <c r="D1323" s="2">
        <v>122.99</v>
      </c>
      <c r="E1323" s="2">
        <v>2379.0</v>
      </c>
      <c r="F1323" s="1" t="s">
        <v>1606</v>
      </c>
      <c r="G1323" s="1" t="s">
        <v>66</v>
      </c>
      <c r="H1323" s="1" t="s">
        <v>23</v>
      </c>
      <c r="I1323" s="1" t="s">
        <v>24</v>
      </c>
      <c r="J1323" s="1" t="s">
        <v>1607</v>
      </c>
      <c r="K1323" s="19" t="s">
        <v>68</v>
      </c>
      <c r="L1323" s="20" t="s">
        <v>57</v>
      </c>
      <c r="M1323" s="21">
        <f t="shared" si="1"/>
        <v>2</v>
      </c>
      <c r="N1323" s="2">
        <v>1019.7096</v>
      </c>
      <c r="O1323" s="2">
        <v>12.0</v>
      </c>
      <c r="P1323" s="2">
        <v>1477.84</v>
      </c>
      <c r="Q1323" s="2">
        <v>86655.0</v>
      </c>
      <c r="R1323" s="15" t="b">
        <f>ISNUMBER(MATCH(Q1323,'Returned order'!A:A,0))</f>
        <v>0</v>
      </c>
      <c r="S1323" s="22">
        <v>42129.0</v>
      </c>
      <c r="T1323" s="15"/>
      <c r="U1323" s="15"/>
      <c r="V1323" s="15"/>
    </row>
    <row r="1324">
      <c r="A1324" s="2">
        <v>19898.0</v>
      </c>
      <c r="B1324" s="1" t="s">
        <v>49</v>
      </c>
      <c r="C1324" s="2">
        <v>0.07</v>
      </c>
      <c r="D1324" s="2">
        <v>3.38</v>
      </c>
      <c r="E1324" s="2">
        <v>2380.0</v>
      </c>
      <c r="F1324" s="1" t="s">
        <v>1608</v>
      </c>
      <c r="G1324" s="1" t="s">
        <v>66</v>
      </c>
      <c r="H1324" s="1" t="s">
        <v>23</v>
      </c>
      <c r="I1324" s="1" t="s">
        <v>29</v>
      </c>
      <c r="J1324" s="1" t="s">
        <v>1106</v>
      </c>
      <c r="K1324" s="19" t="s">
        <v>68</v>
      </c>
      <c r="L1324" s="20" t="s">
        <v>61</v>
      </c>
      <c r="M1324" s="21">
        <f t="shared" si="1"/>
        <v>7</v>
      </c>
      <c r="N1324" s="2">
        <v>19.04</v>
      </c>
      <c r="O1324" s="2">
        <v>9.0</v>
      </c>
      <c r="P1324" s="2">
        <v>29.08</v>
      </c>
      <c r="Q1324" s="2">
        <v>86654.0</v>
      </c>
      <c r="R1324" s="15" t="b">
        <f>ISNUMBER(MATCH(Q1324,'Returned order'!A:A,0))</f>
        <v>0</v>
      </c>
      <c r="S1324" s="22">
        <v>42120.0</v>
      </c>
      <c r="T1324" s="15"/>
      <c r="U1324" s="15"/>
      <c r="V1324" s="15"/>
    </row>
    <row r="1325">
      <c r="A1325" s="2">
        <v>18152.0</v>
      </c>
      <c r="B1325" s="1" t="s">
        <v>170</v>
      </c>
      <c r="C1325" s="2">
        <v>0.08</v>
      </c>
      <c r="D1325" s="2">
        <v>68.81</v>
      </c>
      <c r="E1325" s="2">
        <v>2380.0</v>
      </c>
      <c r="F1325" s="1" t="s">
        <v>1608</v>
      </c>
      <c r="G1325" s="1" t="s">
        <v>66</v>
      </c>
      <c r="H1325" s="1" t="s">
        <v>23</v>
      </c>
      <c r="I1325" s="1" t="s">
        <v>151</v>
      </c>
      <c r="J1325" s="1" t="s">
        <v>1577</v>
      </c>
      <c r="K1325" s="19" t="s">
        <v>68</v>
      </c>
      <c r="L1325" s="20" t="s">
        <v>57</v>
      </c>
      <c r="M1325" s="21">
        <f t="shared" si="1"/>
        <v>2</v>
      </c>
      <c r="N1325" s="2">
        <v>-1069.72</v>
      </c>
      <c r="O1325" s="2">
        <v>17.0</v>
      </c>
      <c r="P1325" s="2">
        <v>1162.46</v>
      </c>
      <c r="Q1325" s="2">
        <v>86655.0</v>
      </c>
      <c r="R1325" s="15" t="b">
        <f>ISNUMBER(MATCH(Q1325,'Returned order'!A:A,0))</f>
        <v>0</v>
      </c>
      <c r="S1325" s="22">
        <v>42129.0</v>
      </c>
      <c r="T1325" s="15"/>
      <c r="U1325" s="15"/>
      <c r="V1325" s="15"/>
    </row>
    <row r="1326">
      <c r="A1326" s="2">
        <v>1898.0</v>
      </c>
      <c r="B1326" s="1" t="s">
        <v>49</v>
      </c>
      <c r="C1326" s="2">
        <v>0.07</v>
      </c>
      <c r="D1326" s="2">
        <v>3.38</v>
      </c>
      <c r="E1326" s="2">
        <v>2382.0</v>
      </c>
      <c r="F1326" s="1" t="s">
        <v>1609</v>
      </c>
      <c r="G1326" s="1" t="s">
        <v>66</v>
      </c>
      <c r="H1326" s="1" t="s">
        <v>23</v>
      </c>
      <c r="I1326" s="1" t="s">
        <v>29</v>
      </c>
      <c r="J1326" s="1" t="s">
        <v>1106</v>
      </c>
      <c r="K1326" s="19" t="s">
        <v>26</v>
      </c>
      <c r="L1326" s="20" t="s">
        <v>61</v>
      </c>
      <c r="M1326" s="21">
        <f t="shared" si="1"/>
        <v>7</v>
      </c>
      <c r="N1326" s="2">
        <v>19.04</v>
      </c>
      <c r="O1326" s="2">
        <v>34.0</v>
      </c>
      <c r="P1326" s="2">
        <v>109.86</v>
      </c>
      <c r="Q1326" s="2">
        <v>13606.0</v>
      </c>
      <c r="R1326" s="15" t="b">
        <f>ISNUMBER(MATCH(Q1326,'Returned order'!A:A,0))</f>
        <v>0</v>
      </c>
      <c r="S1326" s="22">
        <v>42120.0</v>
      </c>
      <c r="T1326" s="15"/>
      <c r="U1326" s="15"/>
      <c r="V1326" s="15"/>
    </row>
    <row r="1327">
      <c r="A1327" s="2">
        <v>151.0</v>
      </c>
      <c r="B1327" s="1" t="s">
        <v>170</v>
      </c>
      <c r="C1327" s="2">
        <v>0.06</v>
      </c>
      <c r="D1327" s="2">
        <v>122.99</v>
      </c>
      <c r="E1327" s="2">
        <v>2382.0</v>
      </c>
      <c r="F1327" s="1" t="s">
        <v>1609</v>
      </c>
      <c r="G1327" s="1" t="s">
        <v>66</v>
      </c>
      <c r="H1327" s="1" t="s">
        <v>23</v>
      </c>
      <c r="I1327" s="1" t="s">
        <v>24</v>
      </c>
      <c r="J1327" s="1" t="s">
        <v>1607</v>
      </c>
      <c r="K1327" s="19" t="s">
        <v>26</v>
      </c>
      <c r="L1327" s="20" t="s">
        <v>57</v>
      </c>
      <c r="M1327" s="21">
        <f t="shared" si="1"/>
        <v>2</v>
      </c>
      <c r="N1327" s="2">
        <v>1408.1865</v>
      </c>
      <c r="O1327" s="2">
        <v>48.0</v>
      </c>
      <c r="P1327" s="2">
        <v>5911.35</v>
      </c>
      <c r="Q1327" s="2">
        <v>962.0</v>
      </c>
      <c r="R1327" s="15" t="b">
        <f>ISNUMBER(MATCH(Q1327,'Returned order'!A:A,0))</f>
        <v>0</v>
      </c>
      <c r="S1327" s="22">
        <v>42129.0</v>
      </c>
      <c r="T1327" s="15"/>
      <c r="U1327" s="15"/>
      <c r="V1327" s="15"/>
    </row>
    <row r="1328">
      <c r="A1328" s="2">
        <v>152.0</v>
      </c>
      <c r="B1328" s="1" t="s">
        <v>170</v>
      </c>
      <c r="C1328" s="2">
        <v>0.08</v>
      </c>
      <c r="D1328" s="2">
        <v>68.81</v>
      </c>
      <c r="E1328" s="2">
        <v>2382.0</v>
      </c>
      <c r="F1328" s="1" t="s">
        <v>1609</v>
      </c>
      <c r="G1328" s="1" t="s">
        <v>66</v>
      </c>
      <c r="H1328" s="1" t="s">
        <v>23</v>
      </c>
      <c r="I1328" s="1" t="s">
        <v>151</v>
      </c>
      <c r="J1328" s="1" t="s">
        <v>1577</v>
      </c>
      <c r="K1328" s="19" t="s">
        <v>26</v>
      </c>
      <c r="L1328" s="20" t="s">
        <v>57</v>
      </c>
      <c r="M1328" s="21">
        <f t="shared" si="1"/>
        <v>2</v>
      </c>
      <c r="N1328" s="2">
        <v>-1069.72</v>
      </c>
      <c r="O1328" s="2">
        <v>68.0</v>
      </c>
      <c r="P1328" s="2">
        <v>4649.85</v>
      </c>
      <c r="Q1328" s="2">
        <v>962.0</v>
      </c>
      <c r="R1328" s="15" t="b">
        <f>ISNUMBER(MATCH(Q1328,'Returned order'!A:A,0))</f>
        <v>0</v>
      </c>
      <c r="S1328" s="22">
        <v>42129.0</v>
      </c>
      <c r="T1328" s="15"/>
      <c r="U1328" s="15"/>
      <c r="V1328" s="15"/>
    </row>
    <row r="1329">
      <c r="A1329" s="2">
        <v>21171.0</v>
      </c>
      <c r="B1329" s="1" t="s">
        <v>58</v>
      </c>
      <c r="C1329" s="2">
        <v>0.1</v>
      </c>
      <c r="D1329" s="2">
        <v>130.98</v>
      </c>
      <c r="E1329" s="2">
        <v>2385.0</v>
      </c>
      <c r="F1329" s="1" t="s">
        <v>1610</v>
      </c>
      <c r="G1329" s="1" t="s">
        <v>66</v>
      </c>
      <c r="H1329" s="1" t="s">
        <v>37</v>
      </c>
      <c r="I1329" s="1" t="s">
        <v>38</v>
      </c>
      <c r="J1329" s="1" t="s">
        <v>485</v>
      </c>
      <c r="K1329" s="19" t="s">
        <v>34</v>
      </c>
      <c r="L1329" s="20" t="s">
        <v>76</v>
      </c>
      <c r="M1329" s="21">
        <f t="shared" si="1"/>
        <v>5</v>
      </c>
      <c r="N1329" s="2">
        <v>2000.11</v>
      </c>
      <c r="O1329" s="2">
        <v>18.0</v>
      </c>
      <c r="P1329" s="2">
        <v>2259.99</v>
      </c>
      <c r="Q1329" s="2">
        <v>89184.0</v>
      </c>
      <c r="R1329" s="15" t="b">
        <f>ISNUMBER(MATCH(Q1329,'Returned order'!A:A,0))</f>
        <v>0</v>
      </c>
      <c r="S1329" s="22">
        <v>42146.0</v>
      </c>
      <c r="T1329" s="15"/>
      <c r="U1329" s="15"/>
      <c r="V1329" s="15"/>
    </row>
    <row r="1330">
      <c r="A1330" s="2">
        <v>23557.0</v>
      </c>
      <c r="B1330" s="1" t="s">
        <v>49</v>
      </c>
      <c r="C1330" s="2">
        <v>0.06</v>
      </c>
      <c r="D1330" s="2">
        <v>4.77</v>
      </c>
      <c r="E1330" s="2">
        <v>2391.0</v>
      </c>
      <c r="F1330" s="1" t="s">
        <v>186</v>
      </c>
      <c r="G1330" s="1" t="s">
        <v>32</v>
      </c>
      <c r="H1330" s="1" t="s">
        <v>46</v>
      </c>
      <c r="I1330" s="1" t="s">
        <v>47</v>
      </c>
      <c r="J1330" s="1" t="s">
        <v>187</v>
      </c>
      <c r="K1330" s="19" t="s">
        <v>26</v>
      </c>
      <c r="L1330" s="20" t="s">
        <v>27</v>
      </c>
      <c r="M1330" s="21">
        <f t="shared" si="1"/>
        <v>1</v>
      </c>
      <c r="N1330" s="2">
        <v>-45.64</v>
      </c>
      <c r="O1330" s="2">
        <v>9.0</v>
      </c>
      <c r="P1330" s="2">
        <v>42.46</v>
      </c>
      <c r="Q1330" s="2">
        <v>91122.0</v>
      </c>
      <c r="R1330" s="15" t="b">
        <f>ISNUMBER(MATCH(Q1330,'Returned order'!A:A,0))</f>
        <v>0</v>
      </c>
      <c r="S1330" s="22">
        <v>42149.0</v>
      </c>
      <c r="T1330" s="15"/>
      <c r="U1330" s="15"/>
      <c r="V1330" s="15"/>
    </row>
    <row r="1331">
      <c r="A1331" s="2">
        <v>23558.0</v>
      </c>
      <c r="B1331" s="1" t="s">
        <v>49</v>
      </c>
      <c r="C1331" s="2">
        <v>0.1</v>
      </c>
      <c r="D1331" s="2">
        <v>27.18</v>
      </c>
      <c r="E1331" s="2">
        <v>2391.0</v>
      </c>
      <c r="F1331" s="1" t="s">
        <v>186</v>
      </c>
      <c r="G1331" s="1" t="s">
        <v>32</v>
      </c>
      <c r="H1331" s="1" t="s">
        <v>23</v>
      </c>
      <c r="I1331" s="1" t="s">
        <v>88</v>
      </c>
      <c r="J1331" s="1" t="s">
        <v>188</v>
      </c>
      <c r="K1331" s="19" t="s">
        <v>26</v>
      </c>
      <c r="L1331" s="20" t="s">
        <v>27</v>
      </c>
      <c r="M1331" s="21">
        <f t="shared" si="1"/>
        <v>1</v>
      </c>
      <c r="N1331" s="2">
        <v>204.49</v>
      </c>
      <c r="O1331" s="2">
        <v>12.0</v>
      </c>
      <c r="P1331" s="2">
        <v>314.06</v>
      </c>
      <c r="Q1331" s="2">
        <v>91122.0</v>
      </c>
      <c r="R1331" s="15" t="b">
        <f>ISNUMBER(MATCH(Q1331,'Returned order'!A:A,0))</f>
        <v>0</v>
      </c>
      <c r="S1331" s="22">
        <v>42149.0</v>
      </c>
      <c r="T1331" s="15"/>
      <c r="U1331" s="15"/>
      <c r="V1331" s="15"/>
    </row>
    <row r="1332">
      <c r="A1332" s="2">
        <v>21462.0</v>
      </c>
      <c r="B1332" s="1" t="s">
        <v>49</v>
      </c>
      <c r="C1332" s="2">
        <v>0.0</v>
      </c>
      <c r="D1332" s="2">
        <v>999.99</v>
      </c>
      <c r="E1332" s="2">
        <v>2391.0</v>
      </c>
      <c r="F1332" s="1" t="s">
        <v>186</v>
      </c>
      <c r="G1332" s="1" t="s">
        <v>32</v>
      </c>
      <c r="H1332" s="1" t="s">
        <v>46</v>
      </c>
      <c r="I1332" s="1" t="s">
        <v>103</v>
      </c>
      <c r="J1332" s="1" t="s">
        <v>476</v>
      </c>
      <c r="K1332" s="19" t="s">
        <v>26</v>
      </c>
      <c r="L1332" s="20" t="s">
        <v>70</v>
      </c>
      <c r="M1332" s="21">
        <f t="shared" si="1"/>
        <v>4</v>
      </c>
      <c r="N1332" s="2">
        <v>-1455.9972</v>
      </c>
      <c r="O1332" s="2">
        <v>1.0</v>
      </c>
      <c r="P1332" s="2">
        <v>1009.99</v>
      </c>
      <c r="Q1332" s="2">
        <v>91123.0</v>
      </c>
      <c r="R1332" s="15" t="b">
        <f>ISNUMBER(MATCH(Q1332,'Returned order'!A:A,0))</f>
        <v>0</v>
      </c>
      <c r="S1332" s="22">
        <v>42159.0</v>
      </c>
      <c r="T1332" s="15"/>
      <c r="U1332" s="15"/>
      <c r="V1332" s="15"/>
    </row>
    <row r="1333">
      <c r="A1333" s="2">
        <v>21463.0</v>
      </c>
      <c r="B1333" s="1" t="s">
        <v>49</v>
      </c>
      <c r="C1333" s="2">
        <v>0.05</v>
      </c>
      <c r="D1333" s="2">
        <v>6.48</v>
      </c>
      <c r="E1333" s="2">
        <v>2391.0</v>
      </c>
      <c r="F1333" s="1" t="s">
        <v>186</v>
      </c>
      <c r="G1333" s="1" t="s">
        <v>32</v>
      </c>
      <c r="H1333" s="1" t="s">
        <v>23</v>
      </c>
      <c r="I1333" s="1" t="s">
        <v>93</v>
      </c>
      <c r="J1333" s="1" t="s">
        <v>753</v>
      </c>
      <c r="K1333" s="19" t="s">
        <v>26</v>
      </c>
      <c r="L1333" s="20" t="s">
        <v>70</v>
      </c>
      <c r="M1333" s="21">
        <f t="shared" si="1"/>
        <v>4</v>
      </c>
      <c r="N1333" s="2">
        <v>-22.56</v>
      </c>
      <c r="O1333" s="2">
        <v>13.0</v>
      </c>
      <c r="P1333" s="2">
        <v>92.16</v>
      </c>
      <c r="Q1333" s="2">
        <v>91123.0</v>
      </c>
      <c r="R1333" s="15" t="b">
        <f>ISNUMBER(MATCH(Q1333,'Returned order'!A:A,0))</f>
        <v>0</v>
      </c>
      <c r="S1333" s="22">
        <v>42159.0</v>
      </c>
      <c r="T1333" s="15"/>
      <c r="U1333" s="15"/>
      <c r="V1333" s="15"/>
    </row>
    <row r="1334">
      <c r="A1334" s="2">
        <v>18277.0</v>
      </c>
      <c r="B1334" s="1" t="s">
        <v>63</v>
      </c>
      <c r="C1334" s="2">
        <v>0.02</v>
      </c>
      <c r="D1334" s="2">
        <v>6.48</v>
      </c>
      <c r="E1334" s="2">
        <v>2393.0</v>
      </c>
      <c r="F1334" s="1" t="s">
        <v>1611</v>
      </c>
      <c r="G1334" s="1" t="s">
        <v>32</v>
      </c>
      <c r="H1334" s="1" t="s">
        <v>23</v>
      </c>
      <c r="I1334" s="1" t="s">
        <v>93</v>
      </c>
      <c r="J1334" s="1" t="s">
        <v>1612</v>
      </c>
      <c r="K1334" s="19" t="s">
        <v>229</v>
      </c>
      <c r="L1334" s="20" t="s">
        <v>76</v>
      </c>
      <c r="M1334" s="21">
        <f t="shared" si="1"/>
        <v>5</v>
      </c>
      <c r="N1334" s="2">
        <v>-1191.526</v>
      </c>
      <c r="O1334" s="2">
        <v>2.0</v>
      </c>
      <c r="P1334" s="2">
        <v>16.5</v>
      </c>
      <c r="Q1334" s="2">
        <v>86950.0</v>
      </c>
      <c r="R1334" s="15" t="b">
        <f>ISNUMBER(MATCH(Q1334,'Returned order'!A:A,0))</f>
        <v>0</v>
      </c>
      <c r="S1334" s="22">
        <v>42153.0</v>
      </c>
      <c r="T1334" s="15"/>
      <c r="U1334" s="15"/>
      <c r="V1334" s="15"/>
    </row>
    <row r="1335">
      <c r="A1335" s="2">
        <v>18197.0</v>
      </c>
      <c r="B1335" s="1" t="s">
        <v>28</v>
      </c>
      <c r="C1335" s="2">
        <v>0.06</v>
      </c>
      <c r="D1335" s="2">
        <v>105.29</v>
      </c>
      <c r="E1335" s="2">
        <v>2393.0</v>
      </c>
      <c r="F1335" s="1" t="s">
        <v>1611</v>
      </c>
      <c r="G1335" s="1" t="s">
        <v>32</v>
      </c>
      <c r="H1335" s="1" t="s">
        <v>37</v>
      </c>
      <c r="I1335" s="1" t="s">
        <v>42</v>
      </c>
      <c r="J1335" s="1" t="s">
        <v>1130</v>
      </c>
      <c r="K1335" s="19" t="s">
        <v>229</v>
      </c>
      <c r="L1335" s="20" t="s">
        <v>61</v>
      </c>
      <c r="M1335" s="21">
        <f t="shared" si="1"/>
        <v>7</v>
      </c>
      <c r="N1335" s="2">
        <v>-45.01</v>
      </c>
      <c r="O1335" s="2">
        <v>12.0</v>
      </c>
      <c r="P1335" s="2">
        <v>1202.66</v>
      </c>
      <c r="Q1335" s="2">
        <v>86951.0</v>
      </c>
      <c r="R1335" s="15" t="b">
        <f>ISNUMBER(MATCH(Q1335,'Returned order'!A:A,0))</f>
        <v>0</v>
      </c>
      <c r="S1335" s="22">
        <v>42008.0</v>
      </c>
      <c r="T1335" s="15"/>
      <c r="U1335" s="15"/>
      <c r="V1335" s="15"/>
    </row>
    <row r="1336">
      <c r="A1336" s="2">
        <v>20197.0</v>
      </c>
      <c r="B1336" s="1" t="s">
        <v>58</v>
      </c>
      <c r="C1336" s="2">
        <v>0.01</v>
      </c>
      <c r="D1336" s="2">
        <v>11.7</v>
      </c>
      <c r="E1336" s="2">
        <v>2394.0</v>
      </c>
      <c r="F1336" s="1" t="s">
        <v>1613</v>
      </c>
      <c r="G1336" s="1" t="s">
        <v>32</v>
      </c>
      <c r="H1336" s="1" t="s">
        <v>23</v>
      </c>
      <c r="I1336" s="1" t="s">
        <v>24</v>
      </c>
      <c r="J1336" s="1" t="s">
        <v>1614</v>
      </c>
      <c r="K1336" s="19" t="s">
        <v>229</v>
      </c>
      <c r="L1336" s="20" t="s">
        <v>76</v>
      </c>
      <c r="M1336" s="21">
        <f t="shared" si="1"/>
        <v>5</v>
      </c>
      <c r="N1336" s="2">
        <v>39.21</v>
      </c>
      <c r="O1336" s="2">
        <v>16.0</v>
      </c>
      <c r="P1336" s="2">
        <v>196.69</v>
      </c>
      <c r="Q1336" s="2">
        <v>86949.0</v>
      </c>
      <c r="R1336" s="15" t="b">
        <f>ISNUMBER(MATCH(Q1336,'Returned order'!A:A,0))</f>
        <v>0</v>
      </c>
      <c r="S1336" s="22">
        <v>42125.0</v>
      </c>
      <c r="T1336" s="15"/>
      <c r="U1336" s="15"/>
      <c r="V1336" s="15"/>
    </row>
    <row r="1337">
      <c r="A1337" s="2">
        <v>20198.0</v>
      </c>
      <c r="B1337" s="1" t="s">
        <v>58</v>
      </c>
      <c r="C1337" s="2">
        <v>0.03</v>
      </c>
      <c r="D1337" s="2">
        <v>4.55</v>
      </c>
      <c r="E1337" s="2">
        <v>2394.0</v>
      </c>
      <c r="F1337" s="1" t="s">
        <v>1613</v>
      </c>
      <c r="G1337" s="1" t="s">
        <v>32</v>
      </c>
      <c r="H1337" s="1" t="s">
        <v>23</v>
      </c>
      <c r="I1337" s="1" t="s">
        <v>24</v>
      </c>
      <c r="J1337" s="1" t="s">
        <v>1087</v>
      </c>
      <c r="K1337" s="19" t="s">
        <v>229</v>
      </c>
      <c r="L1337" s="20" t="s">
        <v>76</v>
      </c>
      <c r="M1337" s="21">
        <f t="shared" si="1"/>
        <v>5</v>
      </c>
      <c r="N1337" s="2">
        <v>100.38</v>
      </c>
      <c r="O1337" s="2">
        <v>9.0</v>
      </c>
      <c r="P1337" s="2">
        <v>40.28</v>
      </c>
      <c r="Q1337" s="2">
        <v>86949.0</v>
      </c>
      <c r="R1337" s="15" t="b">
        <f>ISNUMBER(MATCH(Q1337,'Returned order'!A:A,0))</f>
        <v>0</v>
      </c>
      <c r="S1337" s="22">
        <v>42125.0</v>
      </c>
      <c r="T1337" s="15"/>
      <c r="U1337" s="15"/>
      <c r="V1337" s="15"/>
    </row>
    <row r="1338">
      <c r="A1338" s="2">
        <v>24954.0</v>
      </c>
      <c r="B1338" s="1" t="s">
        <v>49</v>
      </c>
      <c r="C1338" s="2">
        <v>0.04</v>
      </c>
      <c r="D1338" s="2">
        <v>60.97</v>
      </c>
      <c r="E1338" s="2">
        <v>2395.0</v>
      </c>
      <c r="F1338" s="1" t="s">
        <v>1615</v>
      </c>
      <c r="G1338" s="1" t="s">
        <v>32</v>
      </c>
      <c r="H1338" s="1" t="s">
        <v>23</v>
      </c>
      <c r="I1338" s="1" t="s">
        <v>151</v>
      </c>
      <c r="J1338" s="1" t="s">
        <v>1537</v>
      </c>
      <c r="K1338" s="19" t="s">
        <v>229</v>
      </c>
      <c r="L1338" s="20" t="s">
        <v>27</v>
      </c>
      <c r="M1338" s="21">
        <f t="shared" si="1"/>
        <v>1</v>
      </c>
      <c r="N1338" s="2">
        <v>79.4232</v>
      </c>
      <c r="O1338" s="2">
        <v>15.0</v>
      </c>
      <c r="P1338" s="2">
        <v>904.31</v>
      </c>
      <c r="Q1338" s="2">
        <v>86952.0</v>
      </c>
      <c r="R1338" s="15" t="b">
        <f>ISNUMBER(MATCH(Q1338,'Returned order'!A:A,0))</f>
        <v>0</v>
      </c>
      <c r="S1338" s="22">
        <v>42086.0</v>
      </c>
      <c r="T1338" s="15"/>
      <c r="U1338" s="15"/>
      <c r="V1338" s="15"/>
    </row>
    <row r="1339">
      <c r="A1339" s="2">
        <v>22369.0</v>
      </c>
      <c r="B1339" s="1" t="s">
        <v>49</v>
      </c>
      <c r="C1339" s="2">
        <v>0.03</v>
      </c>
      <c r="D1339" s="2">
        <v>7.64</v>
      </c>
      <c r="E1339" s="2">
        <v>2398.0</v>
      </c>
      <c r="F1339" s="1" t="s">
        <v>1616</v>
      </c>
      <c r="G1339" s="1" t="s">
        <v>32</v>
      </c>
      <c r="H1339" s="1" t="s">
        <v>23</v>
      </c>
      <c r="I1339" s="1" t="s">
        <v>93</v>
      </c>
      <c r="J1339" s="1" t="s">
        <v>133</v>
      </c>
      <c r="K1339" s="19" t="s">
        <v>68</v>
      </c>
      <c r="L1339" s="20" t="s">
        <v>57</v>
      </c>
      <c r="M1339" s="21">
        <f t="shared" si="1"/>
        <v>2</v>
      </c>
      <c r="N1339" s="2">
        <v>-15.0904</v>
      </c>
      <c r="O1339" s="2">
        <v>12.0</v>
      </c>
      <c r="P1339" s="2">
        <v>96.86</v>
      </c>
      <c r="Q1339" s="2">
        <v>86373.0</v>
      </c>
      <c r="R1339" s="15" t="b">
        <f>ISNUMBER(MATCH(Q1339,'Returned order'!A:A,0))</f>
        <v>0</v>
      </c>
      <c r="S1339" s="22">
        <v>42059.0</v>
      </c>
      <c r="T1339" s="15"/>
      <c r="U1339" s="15"/>
      <c r="V1339" s="15"/>
    </row>
    <row r="1340">
      <c r="A1340" s="2">
        <v>19001.0</v>
      </c>
      <c r="B1340" s="1" t="s">
        <v>63</v>
      </c>
      <c r="C1340" s="2">
        <v>0.0</v>
      </c>
      <c r="D1340" s="2">
        <v>65.99</v>
      </c>
      <c r="E1340" s="2">
        <v>2417.0</v>
      </c>
      <c r="F1340" s="1" t="s">
        <v>1617</v>
      </c>
      <c r="G1340" s="1" t="s">
        <v>22</v>
      </c>
      <c r="H1340" s="1" t="s">
        <v>46</v>
      </c>
      <c r="I1340" s="1" t="s">
        <v>85</v>
      </c>
      <c r="J1340" s="1" t="s">
        <v>823</v>
      </c>
      <c r="K1340" s="19" t="s">
        <v>229</v>
      </c>
      <c r="L1340" s="20" t="s">
        <v>53</v>
      </c>
      <c r="M1340" s="21">
        <f t="shared" si="1"/>
        <v>6</v>
      </c>
      <c r="N1340" s="2">
        <v>-60.564</v>
      </c>
      <c r="O1340" s="2">
        <v>13.0</v>
      </c>
      <c r="P1340" s="2">
        <v>765.65</v>
      </c>
      <c r="Q1340" s="2">
        <v>86754.0</v>
      </c>
      <c r="R1340" s="15" t="b">
        <f>ISNUMBER(MATCH(Q1340,'Returned order'!A:A,0))</f>
        <v>0</v>
      </c>
      <c r="S1340" s="22">
        <v>42077.0</v>
      </c>
      <c r="T1340" s="15"/>
      <c r="U1340" s="15"/>
      <c r="V1340" s="15"/>
    </row>
    <row r="1341">
      <c r="A1341" s="2">
        <v>20325.0</v>
      </c>
      <c r="B1341" s="1" t="s">
        <v>58</v>
      </c>
      <c r="C1341" s="2">
        <v>0.03</v>
      </c>
      <c r="D1341" s="2">
        <v>2.1</v>
      </c>
      <c r="E1341" s="2">
        <v>2418.0</v>
      </c>
      <c r="F1341" s="1" t="s">
        <v>1618</v>
      </c>
      <c r="G1341" s="1" t="s">
        <v>22</v>
      </c>
      <c r="H1341" s="1" t="s">
        <v>23</v>
      </c>
      <c r="I1341" s="1" t="s">
        <v>29</v>
      </c>
      <c r="J1341" s="1" t="s">
        <v>1619</v>
      </c>
      <c r="K1341" s="19" t="s">
        <v>229</v>
      </c>
      <c r="L1341" s="20" t="s">
        <v>57</v>
      </c>
      <c r="M1341" s="21">
        <f t="shared" si="1"/>
        <v>2</v>
      </c>
      <c r="N1341" s="2">
        <v>-1473.906</v>
      </c>
      <c r="O1341" s="2">
        <v>4.0</v>
      </c>
      <c r="P1341" s="2">
        <v>8.72</v>
      </c>
      <c r="Q1341" s="2">
        <v>86750.0</v>
      </c>
      <c r="R1341" s="15" t="b">
        <f>ISNUMBER(MATCH(Q1341,'Returned order'!A:A,0))</f>
        <v>0</v>
      </c>
      <c r="S1341" s="22">
        <v>42010.0</v>
      </c>
      <c r="T1341" s="15"/>
      <c r="U1341" s="15"/>
      <c r="V1341" s="15"/>
    </row>
    <row r="1342">
      <c r="A1342" s="2">
        <v>21724.0</v>
      </c>
      <c r="B1342" s="1" t="s">
        <v>28</v>
      </c>
      <c r="C1342" s="2">
        <v>0.1</v>
      </c>
      <c r="D1342" s="2">
        <v>599.99</v>
      </c>
      <c r="E1342" s="2">
        <v>2418.0</v>
      </c>
      <c r="F1342" s="1" t="s">
        <v>1618</v>
      </c>
      <c r="G1342" s="1" t="s">
        <v>22</v>
      </c>
      <c r="H1342" s="1" t="s">
        <v>46</v>
      </c>
      <c r="I1342" s="1" t="s">
        <v>138</v>
      </c>
      <c r="J1342" s="1" t="s">
        <v>1620</v>
      </c>
      <c r="K1342" s="19" t="s">
        <v>229</v>
      </c>
      <c r="L1342" s="20" t="s">
        <v>53</v>
      </c>
      <c r="M1342" s="21">
        <f t="shared" si="1"/>
        <v>6</v>
      </c>
      <c r="N1342" s="2">
        <v>-343.126</v>
      </c>
      <c r="O1342" s="2">
        <v>11.0</v>
      </c>
      <c r="P1342" s="2">
        <v>6355.69</v>
      </c>
      <c r="Q1342" s="2">
        <v>86753.0</v>
      </c>
      <c r="R1342" s="15" t="b">
        <f>ISNUMBER(MATCH(Q1342,'Returned order'!A:A,0))</f>
        <v>0</v>
      </c>
      <c r="S1342" s="22">
        <v>42014.0</v>
      </c>
      <c r="T1342" s="15"/>
      <c r="U1342" s="15"/>
      <c r="V1342" s="15"/>
    </row>
    <row r="1343">
      <c r="A1343" s="2">
        <v>21725.0</v>
      </c>
      <c r="B1343" s="1" t="s">
        <v>28</v>
      </c>
      <c r="C1343" s="2">
        <v>0.06</v>
      </c>
      <c r="D1343" s="2">
        <v>2.78</v>
      </c>
      <c r="E1343" s="2">
        <v>2418.0</v>
      </c>
      <c r="F1343" s="1" t="s">
        <v>1618</v>
      </c>
      <c r="G1343" s="1" t="s">
        <v>22</v>
      </c>
      <c r="H1343" s="1" t="s">
        <v>23</v>
      </c>
      <c r="I1343" s="1" t="s">
        <v>29</v>
      </c>
      <c r="J1343" s="1" t="s">
        <v>1582</v>
      </c>
      <c r="K1343" s="19" t="s">
        <v>229</v>
      </c>
      <c r="L1343" s="20" t="s">
        <v>53</v>
      </c>
      <c r="M1343" s="21">
        <f t="shared" si="1"/>
        <v>6</v>
      </c>
      <c r="N1343" s="2">
        <v>66.36</v>
      </c>
      <c r="O1343" s="2">
        <v>10.0</v>
      </c>
      <c r="P1343" s="2">
        <v>28.09</v>
      </c>
      <c r="Q1343" s="2">
        <v>86753.0</v>
      </c>
      <c r="R1343" s="15" t="b">
        <f>ISNUMBER(MATCH(Q1343,'Returned order'!A:A,0))</f>
        <v>0</v>
      </c>
      <c r="S1343" s="22">
        <v>42014.0</v>
      </c>
      <c r="T1343" s="15"/>
      <c r="U1343" s="15"/>
      <c r="V1343" s="15"/>
    </row>
    <row r="1344">
      <c r="A1344" s="2">
        <v>22376.0</v>
      </c>
      <c r="B1344" s="1" t="s">
        <v>49</v>
      </c>
      <c r="C1344" s="2">
        <v>0.07</v>
      </c>
      <c r="D1344" s="2">
        <v>225.04</v>
      </c>
      <c r="E1344" s="2">
        <v>2419.0</v>
      </c>
      <c r="F1344" s="1" t="s">
        <v>1621</v>
      </c>
      <c r="G1344" s="1" t="s">
        <v>22</v>
      </c>
      <c r="H1344" s="1" t="s">
        <v>23</v>
      </c>
      <c r="I1344" s="1" t="s">
        <v>151</v>
      </c>
      <c r="J1344" s="1" t="s">
        <v>1622</v>
      </c>
      <c r="K1344" s="19" t="s">
        <v>229</v>
      </c>
      <c r="L1344" s="20" t="s">
        <v>70</v>
      </c>
      <c r="M1344" s="21">
        <f t="shared" si="1"/>
        <v>4</v>
      </c>
      <c r="N1344" s="2">
        <v>-162.918</v>
      </c>
      <c r="O1344" s="2">
        <v>5.0</v>
      </c>
      <c r="P1344" s="2">
        <v>1130.15</v>
      </c>
      <c r="Q1344" s="2">
        <v>86751.0</v>
      </c>
      <c r="R1344" s="15" t="b">
        <f>ISNUMBER(MATCH(Q1344,'Returned order'!A:A,0))</f>
        <v>0</v>
      </c>
      <c r="S1344" s="22">
        <v>42089.0</v>
      </c>
      <c r="T1344" s="15"/>
      <c r="U1344" s="15"/>
      <c r="V1344" s="15"/>
    </row>
    <row r="1345">
      <c r="A1345" s="2">
        <v>22377.0</v>
      </c>
      <c r="B1345" s="1" t="s">
        <v>49</v>
      </c>
      <c r="C1345" s="2">
        <v>0.03</v>
      </c>
      <c r="D1345" s="2">
        <v>7.84</v>
      </c>
      <c r="E1345" s="2">
        <v>2419.0</v>
      </c>
      <c r="F1345" s="1" t="s">
        <v>1621</v>
      </c>
      <c r="G1345" s="1" t="s">
        <v>22</v>
      </c>
      <c r="H1345" s="1" t="s">
        <v>23</v>
      </c>
      <c r="I1345" s="1" t="s">
        <v>24</v>
      </c>
      <c r="J1345" s="1" t="s">
        <v>1623</v>
      </c>
      <c r="K1345" s="19" t="s">
        <v>229</v>
      </c>
      <c r="L1345" s="20" t="s">
        <v>70</v>
      </c>
      <c r="M1345" s="21">
        <f t="shared" si="1"/>
        <v>4</v>
      </c>
      <c r="N1345" s="2">
        <v>859.7178</v>
      </c>
      <c r="O1345" s="2">
        <v>7.0</v>
      </c>
      <c r="P1345" s="2">
        <v>54.37</v>
      </c>
      <c r="Q1345" s="2">
        <v>86751.0</v>
      </c>
      <c r="R1345" s="15" t="b">
        <f>ISNUMBER(MATCH(Q1345,'Returned order'!A:A,0))</f>
        <v>0</v>
      </c>
      <c r="S1345" s="22">
        <v>42089.0</v>
      </c>
      <c r="T1345" s="15"/>
      <c r="U1345" s="15"/>
      <c r="V1345" s="15"/>
    </row>
    <row r="1346">
      <c r="A1346" s="2">
        <v>25271.0</v>
      </c>
      <c r="B1346" s="1" t="s">
        <v>28</v>
      </c>
      <c r="C1346" s="2">
        <v>0.04</v>
      </c>
      <c r="D1346" s="2">
        <v>9.11</v>
      </c>
      <c r="E1346" s="2">
        <v>2420.0</v>
      </c>
      <c r="F1346" s="1" t="s">
        <v>1624</v>
      </c>
      <c r="G1346" s="1" t="s">
        <v>22</v>
      </c>
      <c r="H1346" s="1" t="s">
        <v>23</v>
      </c>
      <c r="I1346" s="1" t="s">
        <v>93</v>
      </c>
      <c r="J1346" s="1" t="s">
        <v>961</v>
      </c>
      <c r="K1346" s="19" t="s">
        <v>229</v>
      </c>
      <c r="L1346" s="20" t="s">
        <v>35</v>
      </c>
      <c r="M1346" s="21">
        <f t="shared" si="1"/>
        <v>3</v>
      </c>
      <c r="N1346" s="2">
        <v>-23.072</v>
      </c>
      <c r="O1346" s="2">
        <v>11.0</v>
      </c>
      <c r="P1346" s="2">
        <v>100.87</v>
      </c>
      <c r="Q1346" s="2">
        <v>86752.0</v>
      </c>
      <c r="R1346" s="15" t="b">
        <f>ISNUMBER(MATCH(Q1346,'Returned order'!A:A,0))</f>
        <v>0</v>
      </c>
      <c r="S1346" s="22">
        <v>42130.0</v>
      </c>
      <c r="T1346" s="15"/>
      <c r="U1346" s="15"/>
      <c r="V1346" s="15"/>
    </row>
    <row r="1347">
      <c r="A1347" s="2">
        <v>18802.0</v>
      </c>
      <c r="B1347" s="1" t="s">
        <v>49</v>
      </c>
      <c r="C1347" s="2">
        <v>0.05</v>
      </c>
      <c r="D1347" s="2">
        <v>150.98</v>
      </c>
      <c r="E1347" s="2">
        <v>2422.0</v>
      </c>
      <c r="F1347" s="1" t="s">
        <v>1625</v>
      </c>
      <c r="G1347" s="1" t="s">
        <v>51</v>
      </c>
      <c r="H1347" s="1" t="s">
        <v>37</v>
      </c>
      <c r="I1347" s="1" t="s">
        <v>38</v>
      </c>
      <c r="J1347" s="1" t="s">
        <v>1626</v>
      </c>
      <c r="K1347" s="19" t="s">
        <v>68</v>
      </c>
      <c r="L1347" s="20" t="s">
        <v>61</v>
      </c>
      <c r="M1347" s="21">
        <f t="shared" si="1"/>
        <v>7</v>
      </c>
      <c r="N1347" s="2">
        <v>650.3</v>
      </c>
      <c r="O1347" s="2">
        <v>12.0</v>
      </c>
      <c r="P1347" s="2">
        <v>1857.08</v>
      </c>
      <c r="Q1347" s="2">
        <v>89053.0</v>
      </c>
      <c r="R1347" s="15" t="b">
        <f>ISNUMBER(MATCH(Q1347,'Returned order'!A:A,0))</f>
        <v>0</v>
      </c>
      <c r="S1347" s="22">
        <v>42148.0</v>
      </c>
      <c r="T1347" s="15"/>
      <c r="U1347" s="15"/>
      <c r="V1347" s="15"/>
    </row>
    <row r="1348">
      <c r="A1348" s="2">
        <v>19817.0</v>
      </c>
      <c r="B1348" s="1" t="s">
        <v>63</v>
      </c>
      <c r="C1348" s="2">
        <v>0.09</v>
      </c>
      <c r="D1348" s="2">
        <v>3.89</v>
      </c>
      <c r="E1348" s="2">
        <v>2422.0</v>
      </c>
      <c r="F1348" s="1" t="s">
        <v>1625</v>
      </c>
      <c r="G1348" s="1" t="s">
        <v>51</v>
      </c>
      <c r="H1348" s="1" t="s">
        <v>23</v>
      </c>
      <c r="I1348" s="1" t="s">
        <v>24</v>
      </c>
      <c r="J1348" s="1" t="s">
        <v>1015</v>
      </c>
      <c r="K1348" s="19" t="s">
        <v>68</v>
      </c>
      <c r="L1348" s="20" t="s">
        <v>70</v>
      </c>
      <c r="M1348" s="21">
        <f t="shared" si="1"/>
        <v>4</v>
      </c>
      <c r="N1348" s="2">
        <v>-154.307</v>
      </c>
      <c r="O1348" s="2">
        <v>10.0</v>
      </c>
      <c r="P1348" s="2">
        <v>42.56</v>
      </c>
      <c r="Q1348" s="2">
        <v>89055.0</v>
      </c>
      <c r="R1348" s="15" t="b">
        <f>ISNUMBER(MATCH(Q1348,'Returned order'!A:A,0))</f>
        <v>0</v>
      </c>
      <c r="S1348" s="22">
        <v>42026.0</v>
      </c>
      <c r="T1348" s="15"/>
      <c r="U1348" s="15"/>
      <c r="V1348" s="15"/>
    </row>
    <row r="1349">
      <c r="A1349" s="2">
        <v>25126.0</v>
      </c>
      <c r="B1349" s="1" t="s">
        <v>170</v>
      </c>
      <c r="C1349" s="2">
        <v>0.04</v>
      </c>
      <c r="D1349" s="2">
        <v>100.98</v>
      </c>
      <c r="E1349" s="2">
        <v>2423.0</v>
      </c>
      <c r="F1349" s="1" t="s">
        <v>1627</v>
      </c>
      <c r="G1349" s="1" t="s">
        <v>51</v>
      </c>
      <c r="H1349" s="1" t="s">
        <v>46</v>
      </c>
      <c r="I1349" s="1" t="s">
        <v>47</v>
      </c>
      <c r="J1349" s="1" t="s">
        <v>1628</v>
      </c>
      <c r="K1349" s="19" t="s">
        <v>68</v>
      </c>
      <c r="L1349" s="20" t="s">
        <v>35</v>
      </c>
      <c r="M1349" s="21">
        <f t="shared" si="1"/>
        <v>3</v>
      </c>
      <c r="N1349" s="2">
        <v>269.94</v>
      </c>
      <c r="O1349" s="2">
        <v>4.0</v>
      </c>
      <c r="P1349" s="2">
        <v>414.91</v>
      </c>
      <c r="Q1349" s="2">
        <v>89054.0</v>
      </c>
      <c r="R1349" s="15" t="b">
        <f>ISNUMBER(MATCH(Q1349,'Returned order'!A:A,0))</f>
        <v>0</v>
      </c>
      <c r="S1349" s="22">
        <v>42025.0</v>
      </c>
      <c r="T1349" s="15"/>
      <c r="U1349" s="15"/>
      <c r="V1349" s="15"/>
    </row>
    <row r="1350">
      <c r="A1350" s="2">
        <v>21761.0</v>
      </c>
      <c r="B1350" s="1" t="s">
        <v>28</v>
      </c>
      <c r="C1350" s="2">
        <v>0.08</v>
      </c>
      <c r="D1350" s="2">
        <v>30.93</v>
      </c>
      <c r="E1350" s="2">
        <v>2426.0</v>
      </c>
      <c r="F1350" s="1" t="s">
        <v>1629</v>
      </c>
      <c r="G1350" s="1" t="s">
        <v>66</v>
      </c>
      <c r="H1350" s="1" t="s">
        <v>37</v>
      </c>
      <c r="I1350" s="1" t="s">
        <v>42</v>
      </c>
      <c r="J1350" s="1" t="s">
        <v>1283</v>
      </c>
      <c r="K1350" s="19" t="s">
        <v>68</v>
      </c>
      <c r="L1350" s="20" t="s">
        <v>61</v>
      </c>
      <c r="M1350" s="21">
        <f t="shared" si="1"/>
        <v>7</v>
      </c>
      <c r="N1350" s="2">
        <v>63.0591</v>
      </c>
      <c r="O1350" s="2">
        <v>3.0</v>
      </c>
      <c r="P1350" s="2">
        <v>91.39</v>
      </c>
      <c r="Q1350" s="2">
        <v>90859.0</v>
      </c>
      <c r="R1350" s="15" t="b">
        <f>ISNUMBER(MATCH(Q1350,'Returned order'!A:A,0))</f>
        <v>0</v>
      </c>
      <c r="S1350" s="22">
        <v>42078.0</v>
      </c>
      <c r="T1350" s="15"/>
      <c r="U1350" s="15"/>
      <c r="V1350" s="15"/>
    </row>
    <row r="1351">
      <c r="A1351" s="2">
        <v>20496.0</v>
      </c>
      <c r="B1351" s="1" t="s">
        <v>170</v>
      </c>
      <c r="C1351" s="2">
        <v>0.08</v>
      </c>
      <c r="D1351" s="2">
        <v>4.48</v>
      </c>
      <c r="E1351" s="2">
        <v>2426.0</v>
      </c>
      <c r="F1351" s="1" t="s">
        <v>1629</v>
      </c>
      <c r="G1351" s="1" t="s">
        <v>66</v>
      </c>
      <c r="H1351" s="1" t="s">
        <v>23</v>
      </c>
      <c r="I1351" s="1" t="s">
        <v>151</v>
      </c>
      <c r="J1351" s="1" t="s">
        <v>573</v>
      </c>
      <c r="K1351" s="19" t="s">
        <v>68</v>
      </c>
      <c r="L1351" s="20" t="s">
        <v>53</v>
      </c>
      <c r="M1351" s="21">
        <f t="shared" si="1"/>
        <v>6</v>
      </c>
      <c r="N1351" s="2">
        <v>139.5801</v>
      </c>
      <c r="O1351" s="2">
        <v>37.0</v>
      </c>
      <c r="P1351" s="2">
        <v>202.29</v>
      </c>
      <c r="Q1351" s="2">
        <v>90861.0</v>
      </c>
      <c r="R1351" s="15" t="b">
        <f>ISNUMBER(MATCH(Q1351,'Returned order'!A:A,0))</f>
        <v>0</v>
      </c>
      <c r="S1351" s="22">
        <v>42126.0</v>
      </c>
      <c r="T1351" s="15"/>
      <c r="U1351" s="15"/>
      <c r="V1351" s="15"/>
    </row>
    <row r="1352">
      <c r="A1352" s="2">
        <v>20497.0</v>
      </c>
      <c r="B1352" s="1" t="s">
        <v>170</v>
      </c>
      <c r="C1352" s="2">
        <v>0.0</v>
      </c>
      <c r="D1352" s="2">
        <v>17.67</v>
      </c>
      <c r="E1352" s="2">
        <v>2426.0</v>
      </c>
      <c r="F1352" s="1" t="s">
        <v>1629</v>
      </c>
      <c r="G1352" s="1" t="s">
        <v>66</v>
      </c>
      <c r="H1352" s="1" t="s">
        <v>37</v>
      </c>
      <c r="I1352" s="1" t="s">
        <v>42</v>
      </c>
      <c r="J1352" s="1" t="s">
        <v>659</v>
      </c>
      <c r="K1352" s="19" t="s">
        <v>68</v>
      </c>
      <c r="L1352" s="20" t="s">
        <v>53</v>
      </c>
      <c r="M1352" s="21">
        <f t="shared" si="1"/>
        <v>6</v>
      </c>
      <c r="N1352" s="2">
        <v>109.67</v>
      </c>
      <c r="O1352" s="2">
        <v>9.0</v>
      </c>
      <c r="P1352" s="2">
        <v>168.71</v>
      </c>
      <c r="Q1352" s="2">
        <v>90861.0</v>
      </c>
      <c r="R1352" s="15" t="b">
        <f>ISNUMBER(MATCH(Q1352,'Returned order'!A:A,0))</f>
        <v>0</v>
      </c>
      <c r="S1352" s="22">
        <v>42126.0</v>
      </c>
      <c r="T1352" s="15"/>
      <c r="U1352" s="15"/>
      <c r="V1352" s="15"/>
    </row>
    <row r="1353">
      <c r="A1353" s="2">
        <v>23729.0</v>
      </c>
      <c r="B1353" s="1" t="s">
        <v>28</v>
      </c>
      <c r="C1353" s="2">
        <v>0.03</v>
      </c>
      <c r="D1353" s="2">
        <v>40.99</v>
      </c>
      <c r="E1353" s="2">
        <v>2427.0</v>
      </c>
      <c r="F1353" s="1" t="s">
        <v>1630</v>
      </c>
      <c r="G1353" s="1" t="s">
        <v>32</v>
      </c>
      <c r="H1353" s="1" t="s">
        <v>23</v>
      </c>
      <c r="I1353" s="1" t="s">
        <v>93</v>
      </c>
      <c r="J1353" s="1" t="s">
        <v>1406</v>
      </c>
      <c r="K1353" s="19" t="s">
        <v>68</v>
      </c>
      <c r="L1353" s="20" t="s">
        <v>57</v>
      </c>
      <c r="M1353" s="21">
        <f t="shared" si="1"/>
        <v>2</v>
      </c>
      <c r="N1353" s="2">
        <v>395.308</v>
      </c>
      <c r="O1353" s="2">
        <v>21.0</v>
      </c>
      <c r="P1353" s="2">
        <v>885.65</v>
      </c>
      <c r="Q1353" s="2">
        <v>90860.0</v>
      </c>
      <c r="R1353" s="15" t="b">
        <f>ISNUMBER(MATCH(Q1353,'Returned order'!A:A,0))</f>
        <v>0</v>
      </c>
      <c r="S1353" s="22">
        <v>42052.0</v>
      </c>
      <c r="T1353" s="15"/>
      <c r="U1353" s="15"/>
      <c r="V1353" s="15"/>
    </row>
    <row r="1354">
      <c r="A1354" s="2">
        <v>22562.0</v>
      </c>
      <c r="B1354" s="1" t="s">
        <v>49</v>
      </c>
      <c r="C1354" s="2">
        <v>0.1</v>
      </c>
      <c r="D1354" s="2">
        <v>14.28</v>
      </c>
      <c r="E1354" s="2">
        <v>2430.0</v>
      </c>
      <c r="F1354" s="1" t="s">
        <v>1631</v>
      </c>
      <c r="G1354" s="1" t="s">
        <v>51</v>
      </c>
      <c r="H1354" s="1" t="s">
        <v>23</v>
      </c>
      <c r="I1354" s="1" t="s">
        <v>24</v>
      </c>
      <c r="J1354" s="1" t="s">
        <v>1262</v>
      </c>
      <c r="K1354" s="19" t="s">
        <v>68</v>
      </c>
      <c r="L1354" s="20" t="s">
        <v>57</v>
      </c>
      <c r="M1354" s="21">
        <f t="shared" si="1"/>
        <v>2</v>
      </c>
      <c r="N1354" s="2">
        <v>104.9145</v>
      </c>
      <c r="O1354" s="2">
        <v>11.0</v>
      </c>
      <c r="P1354" s="2">
        <v>152.05</v>
      </c>
      <c r="Q1354" s="2">
        <v>91108.0</v>
      </c>
      <c r="R1354" s="15" t="b">
        <f>ISNUMBER(MATCH(Q1354,'Returned order'!A:A,0))</f>
        <v>0</v>
      </c>
      <c r="S1354" s="22">
        <v>42087.0</v>
      </c>
      <c r="T1354" s="15"/>
      <c r="U1354" s="15"/>
      <c r="V1354" s="15"/>
    </row>
    <row r="1355">
      <c r="A1355" s="2">
        <v>22105.0</v>
      </c>
      <c r="B1355" s="1" t="s">
        <v>49</v>
      </c>
      <c r="C1355" s="2">
        <v>0.04</v>
      </c>
      <c r="D1355" s="2">
        <v>7.08</v>
      </c>
      <c r="E1355" s="2">
        <v>2430.0</v>
      </c>
      <c r="F1355" s="1" t="s">
        <v>1631</v>
      </c>
      <c r="G1355" s="1" t="s">
        <v>51</v>
      </c>
      <c r="H1355" s="1" t="s">
        <v>23</v>
      </c>
      <c r="I1355" s="1" t="s">
        <v>29</v>
      </c>
      <c r="J1355" s="1" t="s">
        <v>886</v>
      </c>
      <c r="K1355" s="19" t="s">
        <v>68</v>
      </c>
      <c r="L1355" s="20" t="s">
        <v>76</v>
      </c>
      <c r="M1355" s="21">
        <f t="shared" si="1"/>
        <v>5</v>
      </c>
      <c r="N1355" s="2">
        <v>24.59</v>
      </c>
      <c r="O1355" s="2">
        <v>7.0</v>
      </c>
      <c r="P1355" s="2">
        <v>49.1</v>
      </c>
      <c r="Q1355" s="2">
        <v>91109.0</v>
      </c>
      <c r="R1355" s="15" t="b">
        <f>ISNUMBER(MATCH(Q1355,'Returned order'!A:A,0))</f>
        <v>0</v>
      </c>
      <c r="S1355" s="22">
        <v>42104.0</v>
      </c>
      <c r="T1355" s="15"/>
      <c r="U1355" s="15"/>
      <c r="V1355" s="15"/>
    </row>
    <row r="1356">
      <c r="A1356" s="2">
        <v>20731.0</v>
      </c>
      <c r="B1356" s="1" t="s">
        <v>170</v>
      </c>
      <c r="C1356" s="2">
        <v>0.03</v>
      </c>
      <c r="D1356" s="2">
        <v>140.99</v>
      </c>
      <c r="E1356" s="2">
        <v>2430.0</v>
      </c>
      <c r="F1356" s="1" t="s">
        <v>1631</v>
      </c>
      <c r="G1356" s="1" t="s">
        <v>51</v>
      </c>
      <c r="H1356" s="1" t="s">
        <v>46</v>
      </c>
      <c r="I1356" s="1" t="s">
        <v>85</v>
      </c>
      <c r="J1356" s="1">
        <v>7160.0</v>
      </c>
      <c r="K1356" s="19" t="s">
        <v>68</v>
      </c>
      <c r="L1356" s="20" t="s">
        <v>61</v>
      </c>
      <c r="M1356" s="21">
        <f t="shared" si="1"/>
        <v>7</v>
      </c>
      <c r="N1356" s="2">
        <v>-458.744</v>
      </c>
      <c r="O1356" s="2">
        <v>2.0</v>
      </c>
      <c r="P1356" s="2">
        <v>246.44</v>
      </c>
      <c r="Q1356" s="2">
        <v>91110.0</v>
      </c>
      <c r="R1356" s="15" t="b">
        <f>ISNUMBER(MATCH(Q1356,'Returned order'!A:A,0))</f>
        <v>0</v>
      </c>
      <c r="S1356" s="22">
        <v>42092.0</v>
      </c>
      <c r="T1356" s="15"/>
      <c r="U1356" s="15"/>
      <c r="V1356" s="15"/>
    </row>
    <row r="1357">
      <c r="A1357" s="2">
        <v>3490.0</v>
      </c>
      <c r="B1357" s="1" t="s">
        <v>49</v>
      </c>
      <c r="C1357" s="2">
        <v>0.05</v>
      </c>
      <c r="D1357" s="2">
        <v>8.85</v>
      </c>
      <c r="E1357" s="2">
        <v>2431.0</v>
      </c>
      <c r="F1357" s="1" t="s">
        <v>1632</v>
      </c>
      <c r="G1357" s="1" t="s">
        <v>22</v>
      </c>
      <c r="H1357" s="1" t="s">
        <v>23</v>
      </c>
      <c r="I1357" s="1" t="s">
        <v>24</v>
      </c>
      <c r="J1357" s="1" t="s">
        <v>1633</v>
      </c>
      <c r="K1357" s="19" t="s">
        <v>34</v>
      </c>
      <c r="L1357" s="20" t="s">
        <v>35</v>
      </c>
      <c r="M1357" s="21">
        <f t="shared" si="1"/>
        <v>3</v>
      </c>
      <c r="N1357" s="2">
        <v>-9.177</v>
      </c>
      <c r="O1357" s="2">
        <v>21.0</v>
      </c>
      <c r="P1357" s="2">
        <v>199.08</v>
      </c>
      <c r="Q1357" s="2">
        <v>24869.0</v>
      </c>
      <c r="R1357" s="15" t="b">
        <f>ISNUMBER(MATCH(Q1357,'Returned order'!A:A,0))</f>
        <v>0</v>
      </c>
      <c r="S1357" s="22">
        <v>42165.0</v>
      </c>
      <c r="T1357" s="15"/>
      <c r="U1357" s="15"/>
      <c r="V1357" s="15"/>
    </row>
    <row r="1358">
      <c r="A1358" s="2">
        <v>819.0</v>
      </c>
      <c r="B1358" s="1" t="s">
        <v>28</v>
      </c>
      <c r="C1358" s="2">
        <v>0.07</v>
      </c>
      <c r="D1358" s="2">
        <v>155.06</v>
      </c>
      <c r="E1358" s="2">
        <v>2431.0</v>
      </c>
      <c r="F1358" s="1" t="s">
        <v>1632</v>
      </c>
      <c r="G1358" s="1" t="s">
        <v>22</v>
      </c>
      <c r="H1358" s="1" t="s">
        <v>23</v>
      </c>
      <c r="I1358" s="1" t="s">
        <v>120</v>
      </c>
      <c r="J1358" s="1" t="s">
        <v>240</v>
      </c>
      <c r="K1358" s="19" t="s">
        <v>34</v>
      </c>
      <c r="L1358" s="20" t="s">
        <v>57</v>
      </c>
      <c r="M1358" s="21">
        <f t="shared" si="1"/>
        <v>2</v>
      </c>
      <c r="N1358" s="2">
        <v>-121.75</v>
      </c>
      <c r="O1358" s="2">
        <v>14.0</v>
      </c>
      <c r="P1358" s="2">
        <v>2039.07</v>
      </c>
      <c r="Q1358" s="2">
        <v>5920.0</v>
      </c>
      <c r="R1358" s="15" t="b">
        <f>ISNUMBER(MATCH(Q1358,'Returned order'!A:A,0))</f>
        <v>0</v>
      </c>
      <c r="S1358" s="22">
        <v>42143.0</v>
      </c>
      <c r="T1358" s="15"/>
      <c r="U1358" s="15"/>
      <c r="V1358" s="15"/>
    </row>
    <row r="1359">
      <c r="A1359" s="2">
        <v>18819.0</v>
      </c>
      <c r="B1359" s="1" t="s">
        <v>28</v>
      </c>
      <c r="C1359" s="2">
        <v>0.07</v>
      </c>
      <c r="D1359" s="2">
        <v>155.06</v>
      </c>
      <c r="E1359" s="2">
        <v>2432.0</v>
      </c>
      <c r="F1359" s="1" t="s">
        <v>1634</v>
      </c>
      <c r="G1359" s="1" t="s">
        <v>22</v>
      </c>
      <c r="H1359" s="1" t="s">
        <v>23</v>
      </c>
      <c r="I1359" s="1" t="s">
        <v>120</v>
      </c>
      <c r="J1359" s="1" t="s">
        <v>240</v>
      </c>
      <c r="K1359" s="19" t="s">
        <v>68</v>
      </c>
      <c r="L1359" s="20" t="s">
        <v>57</v>
      </c>
      <c r="M1359" s="21">
        <f t="shared" si="1"/>
        <v>2</v>
      </c>
      <c r="N1359" s="2">
        <v>24.35</v>
      </c>
      <c r="O1359" s="2">
        <v>3.0</v>
      </c>
      <c r="P1359" s="2">
        <v>436.94</v>
      </c>
      <c r="Q1359" s="2">
        <v>89096.0</v>
      </c>
      <c r="R1359" s="15" t="b">
        <f>ISNUMBER(MATCH(Q1359,'Returned order'!A:A,0))</f>
        <v>0</v>
      </c>
      <c r="S1359" s="22">
        <v>42143.0</v>
      </c>
      <c r="T1359" s="15"/>
      <c r="U1359" s="15"/>
      <c r="V1359" s="15"/>
    </row>
    <row r="1360">
      <c r="A1360" s="2">
        <v>20286.0</v>
      </c>
      <c r="B1360" s="1" t="s">
        <v>49</v>
      </c>
      <c r="C1360" s="2">
        <v>0.09</v>
      </c>
      <c r="D1360" s="2">
        <v>5.4</v>
      </c>
      <c r="E1360" s="2">
        <v>2432.0</v>
      </c>
      <c r="F1360" s="1" t="s">
        <v>1634</v>
      </c>
      <c r="G1360" s="1" t="s">
        <v>22</v>
      </c>
      <c r="H1360" s="1" t="s">
        <v>23</v>
      </c>
      <c r="I1360" s="1" t="s">
        <v>24</v>
      </c>
      <c r="J1360" s="1" t="s">
        <v>328</v>
      </c>
      <c r="K1360" s="19" t="s">
        <v>68</v>
      </c>
      <c r="L1360" s="20" t="s">
        <v>53</v>
      </c>
      <c r="M1360" s="21">
        <f t="shared" si="1"/>
        <v>6</v>
      </c>
      <c r="N1360" s="2">
        <v>-34.7645</v>
      </c>
      <c r="O1360" s="2">
        <v>6.0</v>
      </c>
      <c r="P1360" s="2">
        <v>37.38</v>
      </c>
      <c r="Q1360" s="2">
        <v>89097.0</v>
      </c>
      <c r="R1360" s="15" t="b">
        <f>ISNUMBER(MATCH(Q1360,'Returned order'!A:A,0))</f>
        <v>0</v>
      </c>
      <c r="S1360" s="22">
        <v>42161.0</v>
      </c>
      <c r="T1360" s="15"/>
      <c r="U1360" s="15"/>
      <c r="V1360" s="15"/>
    </row>
    <row r="1361">
      <c r="A1361" s="2">
        <v>21490.0</v>
      </c>
      <c r="B1361" s="1" t="s">
        <v>49</v>
      </c>
      <c r="C1361" s="2">
        <v>0.05</v>
      </c>
      <c r="D1361" s="2">
        <v>8.85</v>
      </c>
      <c r="E1361" s="2">
        <v>2433.0</v>
      </c>
      <c r="F1361" s="1" t="s">
        <v>1635</v>
      </c>
      <c r="G1361" s="1" t="s">
        <v>22</v>
      </c>
      <c r="H1361" s="1" t="s">
        <v>23</v>
      </c>
      <c r="I1361" s="1" t="s">
        <v>24</v>
      </c>
      <c r="J1361" s="1" t="s">
        <v>1633</v>
      </c>
      <c r="K1361" s="19" t="s">
        <v>68</v>
      </c>
      <c r="L1361" s="20" t="s">
        <v>35</v>
      </c>
      <c r="M1361" s="21">
        <f t="shared" si="1"/>
        <v>3</v>
      </c>
      <c r="N1361" s="2">
        <v>-7.3416</v>
      </c>
      <c r="O1361" s="2">
        <v>5.0</v>
      </c>
      <c r="P1361" s="2">
        <v>47.4</v>
      </c>
      <c r="Q1361" s="2">
        <v>89095.0</v>
      </c>
      <c r="R1361" s="15" t="b">
        <f>ISNUMBER(MATCH(Q1361,'Returned order'!A:A,0))</f>
        <v>0</v>
      </c>
      <c r="S1361" s="22">
        <v>42165.0</v>
      </c>
      <c r="T1361" s="15"/>
      <c r="U1361" s="15"/>
      <c r="V1361" s="15"/>
    </row>
    <row r="1362">
      <c r="A1362" s="2">
        <v>19566.0</v>
      </c>
      <c r="B1362" s="1" t="s">
        <v>170</v>
      </c>
      <c r="C1362" s="2">
        <v>0.09</v>
      </c>
      <c r="D1362" s="2">
        <v>90.97</v>
      </c>
      <c r="E1362" s="2">
        <v>2437.0</v>
      </c>
      <c r="F1362" s="1" t="s">
        <v>1636</v>
      </c>
      <c r="G1362" s="1" t="s">
        <v>51</v>
      </c>
      <c r="H1362" s="1" t="s">
        <v>46</v>
      </c>
      <c r="I1362" s="1" t="s">
        <v>103</v>
      </c>
      <c r="J1362" s="1" t="s">
        <v>1321</v>
      </c>
      <c r="K1362" s="19" t="s">
        <v>68</v>
      </c>
      <c r="L1362" s="20" t="s">
        <v>61</v>
      </c>
      <c r="M1362" s="21">
        <f t="shared" si="1"/>
        <v>7</v>
      </c>
      <c r="N1362" s="2">
        <v>35.29</v>
      </c>
      <c r="O1362" s="2">
        <v>3.0</v>
      </c>
      <c r="P1362" s="2">
        <v>260.0</v>
      </c>
      <c r="Q1362" s="2">
        <v>90301.0</v>
      </c>
      <c r="R1362" s="15" t="b">
        <f>ISNUMBER(MATCH(Q1362,'Returned order'!A:A,0))</f>
        <v>0</v>
      </c>
      <c r="S1362" s="22">
        <v>42064.0</v>
      </c>
      <c r="T1362" s="15"/>
      <c r="U1362" s="15"/>
      <c r="V1362" s="15"/>
    </row>
    <row r="1363">
      <c r="A1363" s="2">
        <v>20157.0</v>
      </c>
      <c r="B1363" s="1" t="s">
        <v>63</v>
      </c>
      <c r="C1363" s="2">
        <v>0.02</v>
      </c>
      <c r="D1363" s="2">
        <v>63.94</v>
      </c>
      <c r="E1363" s="2">
        <v>2441.0</v>
      </c>
      <c r="F1363" s="1" t="s">
        <v>1637</v>
      </c>
      <c r="G1363" s="1" t="s">
        <v>22</v>
      </c>
      <c r="H1363" s="1" t="s">
        <v>37</v>
      </c>
      <c r="I1363" s="1" t="s">
        <v>42</v>
      </c>
      <c r="J1363" s="1" t="s">
        <v>468</v>
      </c>
      <c r="K1363" s="19" t="s">
        <v>229</v>
      </c>
      <c r="L1363" s="20" t="s">
        <v>53</v>
      </c>
      <c r="M1363" s="21">
        <f t="shared" si="1"/>
        <v>6</v>
      </c>
      <c r="N1363" s="2">
        <v>-100.17</v>
      </c>
      <c r="O1363" s="2">
        <v>11.0</v>
      </c>
      <c r="P1363" s="2">
        <v>709.7</v>
      </c>
      <c r="Q1363" s="2">
        <v>89300.0</v>
      </c>
      <c r="R1363" s="15" t="b">
        <f>ISNUMBER(MATCH(Q1363,'Returned order'!A:A,0))</f>
        <v>0</v>
      </c>
      <c r="S1363" s="22">
        <v>42098.0</v>
      </c>
      <c r="T1363" s="15"/>
      <c r="U1363" s="15"/>
      <c r="V1363" s="15"/>
    </row>
    <row r="1364">
      <c r="A1364" s="2">
        <v>20158.0</v>
      </c>
      <c r="B1364" s="1" t="s">
        <v>63</v>
      </c>
      <c r="C1364" s="2">
        <v>0.01</v>
      </c>
      <c r="D1364" s="2">
        <v>5.02</v>
      </c>
      <c r="E1364" s="2">
        <v>2442.0</v>
      </c>
      <c r="F1364" s="1" t="s">
        <v>1638</v>
      </c>
      <c r="G1364" s="1" t="s">
        <v>22</v>
      </c>
      <c r="H1364" s="1" t="s">
        <v>46</v>
      </c>
      <c r="I1364" s="1" t="s">
        <v>47</v>
      </c>
      <c r="J1364" s="1" t="s">
        <v>685</v>
      </c>
      <c r="K1364" s="19" t="s">
        <v>229</v>
      </c>
      <c r="L1364" s="20" t="s">
        <v>53</v>
      </c>
      <c r="M1364" s="21">
        <f t="shared" si="1"/>
        <v>6</v>
      </c>
      <c r="N1364" s="2">
        <v>-3.948</v>
      </c>
      <c r="O1364" s="2">
        <v>5.0</v>
      </c>
      <c r="P1364" s="2">
        <v>27.42</v>
      </c>
      <c r="Q1364" s="2">
        <v>89300.0</v>
      </c>
      <c r="R1364" s="15" t="b">
        <f>ISNUMBER(MATCH(Q1364,'Returned order'!A:A,0))</f>
        <v>0</v>
      </c>
      <c r="S1364" s="22">
        <v>42098.0</v>
      </c>
      <c r="T1364" s="15"/>
      <c r="U1364" s="15"/>
      <c r="V1364" s="15"/>
    </row>
    <row r="1365">
      <c r="A1365" s="2">
        <v>21084.0</v>
      </c>
      <c r="B1365" s="1" t="s">
        <v>28</v>
      </c>
      <c r="C1365" s="2">
        <v>0.05</v>
      </c>
      <c r="D1365" s="2">
        <v>58.1</v>
      </c>
      <c r="E1365" s="2">
        <v>2443.0</v>
      </c>
      <c r="F1365" s="1" t="s">
        <v>1639</v>
      </c>
      <c r="G1365" s="1" t="s">
        <v>32</v>
      </c>
      <c r="H1365" s="1" t="s">
        <v>23</v>
      </c>
      <c r="I1365" s="1" t="s">
        <v>24</v>
      </c>
      <c r="J1365" s="1" t="s">
        <v>312</v>
      </c>
      <c r="K1365" s="19" t="s">
        <v>229</v>
      </c>
      <c r="L1365" s="20" t="s">
        <v>61</v>
      </c>
      <c r="M1365" s="21">
        <f t="shared" si="1"/>
        <v>7</v>
      </c>
      <c r="N1365" s="2">
        <v>1633.986</v>
      </c>
      <c r="O1365" s="2">
        <v>13.0</v>
      </c>
      <c r="P1365" s="2">
        <v>739.06</v>
      </c>
      <c r="Q1365" s="2">
        <v>89299.0</v>
      </c>
      <c r="R1365" s="15" t="b">
        <f>ISNUMBER(MATCH(Q1365,'Returned order'!A:A,0))</f>
        <v>0</v>
      </c>
      <c r="S1365" s="22">
        <v>42022.0</v>
      </c>
      <c r="T1365" s="15"/>
      <c r="U1365" s="15"/>
      <c r="V1365" s="15"/>
    </row>
    <row r="1366">
      <c r="A1366" s="2">
        <v>25304.0</v>
      </c>
      <c r="B1366" s="1" t="s">
        <v>49</v>
      </c>
      <c r="C1366" s="2">
        <v>0.06</v>
      </c>
      <c r="D1366" s="2">
        <v>2.28</v>
      </c>
      <c r="E1366" s="2">
        <v>2443.0</v>
      </c>
      <c r="F1366" s="1" t="s">
        <v>1639</v>
      </c>
      <c r="G1366" s="1" t="s">
        <v>32</v>
      </c>
      <c r="H1366" s="1" t="s">
        <v>23</v>
      </c>
      <c r="I1366" s="1" t="s">
        <v>29</v>
      </c>
      <c r="J1366" s="1" t="s">
        <v>1640</v>
      </c>
      <c r="K1366" s="19" t="s">
        <v>229</v>
      </c>
      <c r="L1366" s="20" t="s">
        <v>27</v>
      </c>
      <c r="M1366" s="21">
        <f t="shared" si="1"/>
        <v>1</v>
      </c>
      <c r="N1366" s="2">
        <v>-2002.6314</v>
      </c>
      <c r="O1366" s="2">
        <v>13.0</v>
      </c>
      <c r="P1366" s="2">
        <v>30.47</v>
      </c>
      <c r="Q1366" s="2">
        <v>89301.0</v>
      </c>
      <c r="R1366" s="15" t="b">
        <f>ISNUMBER(MATCH(Q1366,'Returned order'!A:A,0))</f>
        <v>0</v>
      </c>
      <c r="S1366" s="22">
        <v>42156.0</v>
      </c>
      <c r="T1366" s="15"/>
      <c r="U1366" s="15"/>
      <c r="V1366" s="15"/>
    </row>
    <row r="1367">
      <c r="A1367" s="2">
        <v>25742.0</v>
      </c>
      <c r="B1367" s="1" t="s">
        <v>28</v>
      </c>
      <c r="C1367" s="2">
        <v>0.09</v>
      </c>
      <c r="D1367" s="2">
        <v>6.48</v>
      </c>
      <c r="E1367" s="2">
        <v>2448.0</v>
      </c>
      <c r="F1367" s="1" t="s">
        <v>1641</v>
      </c>
      <c r="G1367" s="1" t="s">
        <v>22</v>
      </c>
      <c r="H1367" s="1" t="s">
        <v>23</v>
      </c>
      <c r="I1367" s="1" t="s">
        <v>93</v>
      </c>
      <c r="J1367" s="1" t="s">
        <v>369</v>
      </c>
      <c r="K1367" s="19" t="s">
        <v>68</v>
      </c>
      <c r="L1367" s="20" t="s">
        <v>27</v>
      </c>
      <c r="M1367" s="21">
        <f t="shared" si="1"/>
        <v>1</v>
      </c>
      <c r="N1367" s="2">
        <v>-126.208</v>
      </c>
      <c r="O1367" s="2">
        <v>16.0</v>
      </c>
      <c r="P1367" s="2">
        <v>96.96</v>
      </c>
      <c r="Q1367" s="2">
        <v>87790.0</v>
      </c>
      <c r="R1367" s="15" t="b">
        <f>ISNUMBER(MATCH(Q1367,'Returned order'!A:A,0))</f>
        <v>0</v>
      </c>
      <c r="S1367" s="22">
        <v>42184.0</v>
      </c>
      <c r="T1367" s="15"/>
      <c r="U1367" s="15"/>
      <c r="V1367" s="15"/>
    </row>
    <row r="1368">
      <c r="A1368" s="2">
        <v>20687.0</v>
      </c>
      <c r="B1368" s="1" t="s">
        <v>49</v>
      </c>
      <c r="C1368" s="2">
        <v>0.08</v>
      </c>
      <c r="D1368" s="2">
        <v>4.13</v>
      </c>
      <c r="E1368" s="2">
        <v>2450.0</v>
      </c>
      <c r="F1368" s="1" t="s">
        <v>1642</v>
      </c>
      <c r="G1368" s="1" t="s">
        <v>51</v>
      </c>
      <c r="H1368" s="1" t="s">
        <v>23</v>
      </c>
      <c r="I1368" s="1" t="s">
        <v>29</v>
      </c>
      <c r="J1368" s="1" t="s">
        <v>1643</v>
      </c>
      <c r="K1368" s="19" t="s">
        <v>68</v>
      </c>
      <c r="L1368" s="20" t="s">
        <v>53</v>
      </c>
      <c r="M1368" s="21">
        <f t="shared" si="1"/>
        <v>6</v>
      </c>
      <c r="N1368" s="2">
        <v>-5.54</v>
      </c>
      <c r="O1368" s="2">
        <v>1.0</v>
      </c>
      <c r="P1368" s="2">
        <v>4.21</v>
      </c>
      <c r="Q1368" s="2">
        <v>90322.0</v>
      </c>
      <c r="R1368" s="15" t="b">
        <f>ISNUMBER(MATCH(Q1368,'Returned order'!A:A,0))</f>
        <v>0</v>
      </c>
      <c r="S1368" s="22">
        <v>42147.0</v>
      </c>
      <c r="T1368" s="15"/>
      <c r="U1368" s="15"/>
      <c r="V1368" s="15"/>
    </row>
    <row r="1369">
      <c r="A1369" s="2">
        <v>21198.0</v>
      </c>
      <c r="B1369" s="1" t="s">
        <v>63</v>
      </c>
      <c r="C1369" s="2">
        <v>0.06</v>
      </c>
      <c r="D1369" s="2">
        <v>3499.99</v>
      </c>
      <c r="E1369" s="2">
        <v>2454.0</v>
      </c>
      <c r="F1369" s="1" t="s">
        <v>1644</v>
      </c>
      <c r="G1369" s="1" t="s">
        <v>32</v>
      </c>
      <c r="H1369" s="1" t="s">
        <v>46</v>
      </c>
      <c r="I1369" s="1" t="s">
        <v>138</v>
      </c>
      <c r="J1369" s="1" t="s">
        <v>993</v>
      </c>
      <c r="K1369" s="19" t="s">
        <v>229</v>
      </c>
      <c r="L1369" s="20" t="s">
        <v>61</v>
      </c>
      <c r="M1369" s="21">
        <f t="shared" si="1"/>
        <v>7</v>
      </c>
      <c r="N1369" s="2">
        <v>-68.432</v>
      </c>
      <c r="O1369" s="2">
        <v>1.0</v>
      </c>
      <c r="P1369" s="2">
        <v>3550.28</v>
      </c>
      <c r="Q1369" s="2">
        <v>89219.0</v>
      </c>
      <c r="R1369" s="15" t="b">
        <f>ISNUMBER(MATCH(Q1369,'Returned order'!A:A,0))</f>
        <v>0</v>
      </c>
      <c r="S1369" s="22">
        <v>42064.0</v>
      </c>
      <c r="T1369" s="15"/>
      <c r="U1369" s="15"/>
      <c r="V1369" s="15"/>
    </row>
    <row r="1370">
      <c r="A1370" s="2">
        <v>25536.0</v>
      </c>
      <c r="B1370" s="1" t="s">
        <v>28</v>
      </c>
      <c r="C1370" s="2">
        <v>0.07</v>
      </c>
      <c r="D1370" s="2">
        <v>179.99</v>
      </c>
      <c r="E1370" s="2">
        <v>2456.0</v>
      </c>
      <c r="F1370" s="1" t="s">
        <v>1645</v>
      </c>
      <c r="G1370" s="1" t="s">
        <v>51</v>
      </c>
      <c r="H1370" s="1" t="s">
        <v>46</v>
      </c>
      <c r="I1370" s="1" t="s">
        <v>47</v>
      </c>
      <c r="J1370" s="1" t="s">
        <v>507</v>
      </c>
      <c r="K1370" s="19" t="s">
        <v>229</v>
      </c>
      <c r="L1370" s="20" t="s">
        <v>70</v>
      </c>
      <c r="M1370" s="21">
        <f t="shared" si="1"/>
        <v>4</v>
      </c>
      <c r="N1370" s="2">
        <v>733.2822</v>
      </c>
      <c r="O1370" s="2">
        <v>7.0</v>
      </c>
      <c r="P1370" s="2">
        <v>1188.63</v>
      </c>
      <c r="Q1370" s="2">
        <v>89218.0</v>
      </c>
      <c r="R1370" s="15" t="b">
        <f>ISNUMBER(MATCH(Q1370,'Returned order'!A:A,0))</f>
        <v>0</v>
      </c>
      <c r="S1370" s="22">
        <v>42026.0</v>
      </c>
      <c r="T1370" s="15"/>
      <c r="U1370" s="15"/>
      <c r="V1370" s="15"/>
    </row>
    <row r="1371">
      <c r="A1371" s="2">
        <v>25537.0</v>
      </c>
      <c r="B1371" s="1" t="s">
        <v>28</v>
      </c>
      <c r="C1371" s="2">
        <v>0.02</v>
      </c>
      <c r="D1371" s="2">
        <v>92.23</v>
      </c>
      <c r="E1371" s="2">
        <v>2456.0</v>
      </c>
      <c r="F1371" s="1" t="s">
        <v>1645</v>
      </c>
      <c r="G1371" s="1" t="s">
        <v>51</v>
      </c>
      <c r="H1371" s="1" t="s">
        <v>37</v>
      </c>
      <c r="I1371" s="1" t="s">
        <v>42</v>
      </c>
      <c r="J1371" s="1" t="s">
        <v>1646</v>
      </c>
      <c r="K1371" s="19" t="s">
        <v>229</v>
      </c>
      <c r="L1371" s="20" t="s">
        <v>70</v>
      </c>
      <c r="M1371" s="21">
        <f t="shared" si="1"/>
        <v>4</v>
      </c>
      <c r="N1371" s="2">
        <v>-905.9904</v>
      </c>
      <c r="O1371" s="2">
        <v>11.0</v>
      </c>
      <c r="P1371" s="2">
        <v>1009.93</v>
      </c>
      <c r="Q1371" s="2">
        <v>89218.0</v>
      </c>
      <c r="R1371" s="15" t="b">
        <f>ISNUMBER(MATCH(Q1371,'Returned order'!A:A,0))</f>
        <v>0</v>
      </c>
      <c r="S1371" s="22">
        <v>42026.0</v>
      </c>
      <c r="T1371" s="15"/>
      <c r="U1371" s="15"/>
      <c r="V1371" s="15"/>
    </row>
    <row r="1372">
      <c r="A1372" s="2">
        <v>25535.0</v>
      </c>
      <c r="B1372" s="1" t="s">
        <v>28</v>
      </c>
      <c r="C1372" s="2">
        <v>0.02</v>
      </c>
      <c r="D1372" s="2">
        <v>15.22</v>
      </c>
      <c r="E1372" s="2">
        <v>2457.0</v>
      </c>
      <c r="F1372" s="1" t="s">
        <v>1647</v>
      </c>
      <c r="G1372" s="1" t="s">
        <v>51</v>
      </c>
      <c r="H1372" s="1" t="s">
        <v>23</v>
      </c>
      <c r="I1372" s="1" t="s">
        <v>24</v>
      </c>
      <c r="J1372" s="1" t="s">
        <v>1648</v>
      </c>
      <c r="K1372" s="19" t="s">
        <v>68</v>
      </c>
      <c r="L1372" s="20" t="s">
        <v>70</v>
      </c>
      <c r="M1372" s="21">
        <f t="shared" si="1"/>
        <v>4</v>
      </c>
      <c r="N1372" s="2">
        <v>-21.63242</v>
      </c>
      <c r="O1372" s="2">
        <v>9.0</v>
      </c>
      <c r="P1372" s="2">
        <v>140.7</v>
      </c>
      <c r="Q1372" s="2">
        <v>89218.0</v>
      </c>
      <c r="R1372" s="15" t="b">
        <f>ISNUMBER(MATCH(Q1372,'Returned order'!A:A,0))</f>
        <v>0</v>
      </c>
      <c r="S1372" s="22">
        <v>42026.0</v>
      </c>
      <c r="T1372" s="15"/>
      <c r="U1372" s="15"/>
      <c r="V1372" s="15"/>
    </row>
    <row r="1373">
      <c r="A1373" s="2">
        <v>22321.0</v>
      </c>
      <c r="B1373" s="1" t="s">
        <v>28</v>
      </c>
      <c r="C1373" s="2">
        <v>0.03</v>
      </c>
      <c r="D1373" s="2">
        <v>6.48</v>
      </c>
      <c r="E1373" s="2">
        <v>2458.0</v>
      </c>
      <c r="F1373" s="1" t="s">
        <v>1649</v>
      </c>
      <c r="G1373" s="1" t="s">
        <v>51</v>
      </c>
      <c r="H1373" s="1" t="s">
        <v>23</v>
      </c>
      <c r="I1373" s="1" t="s">
        <v>93</v>
      </c>
      <c r="J1373" s="1" t="s">
        <v>1650</v>
      </c>
      <c r="K1373" s="19" t="s">
        <v>68</v>
      </c>
      <c r="L1373" s="20" t="s">
        <v>53</v>
      </c>
      <c r="M1373" s="21">
        <f t="shared" si="1"/>
        <v>6</v>
      </c>
      <c r="N1373" s="2">
        <v>-35.04</v>
      </c>
      <c r="O1373" s="2">
        <v>2.0</v>
      </c>
      <c r="P1373" s="2">
        <v>15.95</v>
      </c>
      <c r="Q1373" s="2">
        <v>91285.0</v>
      </c>
      <c r="R1373" s="15" t="b">
        <f>ISNUMBER(MATCH(Q1373,'Returned order'!A:A,0))</f>
        <v>0</v>
      </c>
      <c r="S1373" s="22">
        <v>42007.0</v>
      </c>
      <c r="T1373" s="15"/>
      <c r="U1373" s="15"/>
      <c r="V1373" s="15"/>
    </row>
    <row r="1374">
      <c r="A1374" s="2">
        <v>21190.0</v>
      </c>
      <c r="B1374" s="1" t="s">
        <v>63</v>
      </c>
      <c r="C1374" s="2">
        <v>0.05</v>
      </c>
      <c r="D1374" s="2">
        <v>12.88</v>
      </c>
      <c r="E1374" s="2">
        <v>2458.0</v>
      </c>
      <c r="F1374" s="1" t="s">
        <v>1649</v>
      </c>
      <c r="G1374" s="1" t="s">
        <v>51</v>
      </c>
      <c r="H1374" s="1" t="s">
        <v>23</v>
      </c>
      <c r="I1374" s="1" t="s">
        <v>257</v>
      </c>
      <c r="J1374" s="1" t="s">
        <v>1203</v>
      </c>
      <c r="K1374" s="19" t="s">
        <v>68</v>
      </c>
      <c r="L1374" s="20" t="s">
        <v>53</v>
      </c>
      <c r="M1374" s="21">
        <f t="shared" si="1"/>
        <v>6</v>
      </c>
      <c r="N1374" s="2">
        <v>5.98</v>
      </c>
      <c r="O1374" s="2">
        <v>3.0</v>
      </c>
      <c r="P1374" s="2">
        <v>42.35</v>
      </c>
      <c r="Q1374" s="2">
        <v>91286.0</v>
      </c>
      <c r="R1374" s="15" t="b">
        <f>ISNUMBER(MATCH(Q1374,'Returned order'!A:A,0))</f>
        <v>0</v>
      </c>
      <c r="S1374" s="22">
        <v>42147.0</v>
      </c>
      <c r="T1374" s="15"/>
      <c r="U1374" s="15"/>
      <c r="V1374" s="15"/>
    </row>
    <row r="1375">
      <c r="A1375" s="2">
        <v>4321.0</v>
      </c>
      <c r="B1375" s="1" t="s">
        <v>28</v>
      </c>
      <c r="C1375" s="2">
        <v>0.03</v>
      </c>
      <c r="D1375" s="2">
        <v>6.48</v>
      </c>
      <c r="E1375" s="2">
        <v>2460.0</v>
      </c>
      <c r="F1375" s="1" t="s">
        <v>1651</v>
      </c>
      <c r="G1375" s="1" t="s">
        <v>51</v>
      </c>
      <c r="H1375" s="1" t="s">
        <v>23</v>
      </c>
      <c r="I1375" s="1" t="s">
        <v>93</v>
      </c>
      <c r="J1375" s="1" t="s">
        <v>1650</v>
      </c>
      <c r="K1375" s="19" t="s">
        <v>26</v>
      </c>
      <c r="L1375" s="20" t="s">
        <v>53</v>
      </c>
      <c r="M1375" s="21">
        <f t="shared" si="1"/>
        <v>6</v>
      </c>
      <c r="N1375" s="2">
        <v>-35.04</v>
      </c>
      <c r="O1375" s="2">
        <v>8.0</v>
      </c>
      <c r="P1375" s="2">
        <v>63.78</v>
      </c>
      <c r="Q1375" s="2">
        <v>30785.0</v>
      </c>
      <c r="R1375" s="15" t="b">
        <f>ISNUMBER(MATCH(Q1375,'Returned order'!A:A,0))</f>
        <v>0</v>
      </c>
      <c r="S1375" s="22">
        <v>42007.0</v>
      </c>
      <c r="T1375" s="15"/>
      <c r="U1375" s="15"/>
      <c r="V1375" s="15"/>
    </row>
    <row r="1376">
      <c r="A1376" s="2">
        <v>4322.0</v>
      </c>
      <c r="B1376" s="1" t="s">
        <v>28</v>
      </c>
      <c r="C1376" s="2">
        <v>0.07</v>
      </c>
      <c r="D1376" s="2">
        <v>9.93</v>
      </c>
      <c r="E1376" s="2">
        <v>2460.0</v>
      </c>
      <c r="F1376" s="1" t="s">
        <v>1651</v>
      </c>
      <c r="G1376" s="1" t="s">
        <v>51</v>
      </c>
      <c r="H1376" s="1" t="s">
        <v>23</v>
      </c>
      <c r="I1376" s="1" t="s">
        <v>29</v>
      </c>
      <c r="J1376" s="1" t="s">
        <v>1652</v>
      </c>
      <c r="K1376" s="19" t="s">
        <v>26</v>
      </c>
      <c r="L1376" s="20" t="s">
        <v>53</v>
      </c>
      <c r="M1376" s="21">
        <f t="shared" si="1"/>
        <v>6</v>
      </c>
      <c r="N1376" s="2">
        <v>149.53</v>
      </c>
      <c r="O1376" s="2">
        <v>46.0</v>
      </c>
      <c r="P1376" s="2">
        <v>451.61</v>
      </c>
      <c r="Q1376" s="2">
        <v>30785.0</v>
      </c>
      <c r="R1376" s="15" t="b">
        <f>ISNUMBER(MATCH(Q1376,'Returned order'!A:A,0))</f>
        <v>0</v>
      </c>
      <c r="S1376" s="22">
        <v>42007.0</v>
      </c>
      <c r="T1376" s="15"/>
      <c r="U1376" s="15"/>
      <c r="V1376" s="15"/>
    </row>
    <row r="1377">
      <c r="A1377" s="2">
        <v>25859.0</v>
      </c>
      <c r="B1377" s="1" t="s">
        <v>28</v>
      </c>
      <c r="C1377" s="2">
        <v>0.09</v>
      </c>
      <c r="D1377" s="2">
        <v>1.74</v>
      </c>
      <c r="E1377" s="2">
        <v>2464.0</v>
      </c>
      <c r="F1377" s="1" t="s">
        <v>1653</v>
      </c>
      <c r="G1377" s="1" t="s">
        <v>22</v>
      </c>
      <c r="H1377" s="1" t="s">
        <v>37</v>
      </c>
      <c r="I1377" s="1" t="s">
        <v>42</v>
      </c>
      <c r="J1377" s="1" t="s">
        <v>274</v>
      </c>
      <c r="K1377" s="19" t="s">
        <v>229</v>
      </c>
      <c r="L1377" s="20" t="s">
        <v>27</v>
      </c>
      <c r="M1377" s="21">
        <f t="shared" si="1"/>
        <v>1</v>
      </c>
      <c r="N1377" s="2">
        <v>608.262</v>
      </c>
      <c r="O1377" s="2">
        <v>4.0</v>
      </c>
      <c r="P1377" s="2">
        <v>10.41</v>
      </c>
      <c r="Q1377" s="2">
        <v>88713.0</v>
      </c>
      <c r="R1377" s="15" t="b">
        <f>ISNUMBER(MATCH(Q1377,'Returned order'!A:A,0))</f>
        <v>0</v>
      </c>
      <c r="S1377" s="22">
        <v>42135.0</v>
      </c>
      <c r="T1377" s="15"/>
      <c r="U1377" s="15"/>
      <c r="V1377" s="15"/>
    </row>
    <row r="1378">
      <c r="A1378" s="2">
        <v>25860.0</v>
      </c>
      <c r="B1378" s="1" t="s">
        <v>28</v>
      </c>
      <c r="C1378" s="2">
        <v>0.08</v>
      </c>
      <c r="D1378" s="2">
        <v>227.55</v>
      </c>
      <c r="E1378" s="2">
        <v>2464.0</v>
      </c>
      <c r="F1378" s="1" t="s">
        <v>1653</v>
      </c>
      <c r="G1378" s="1" t="s">
        <v>22</v>
      </c>
      <c r="H1378" s="1" t="s">
        <v>37</v>
      </c>
      <c r="I1378" s="1" t="s">
        <v>73</v>
      </c>
      <c r="J1378" s="1" t="s">
        <v>1654</v>
      </c>
      <c r="K1378" s="19" t="s">
        <v>229</v>
      </c>
      <c r="L1378" s="20" t="s">
        <v>27</v>
      </c>
      <c r="M1378" s="21">
        <f t="shared" si="1"/>
        <v>1</v>
      </c>
      <c r="N1378" s="2">
        <v>-570.1696</v>
      </c>
      <c r="O1378" s="2">
        <v>16.0</v>
      </c>
      <c r="P1378" s="2">
        <v>2849.64</v>
      </c>
      <c r="Q1378" s="2">
        <v>88713.0</v>
      </c>
      <c r="R1378" s="15" t="b">
        <f>ISNUMBER(MATCH(Q1378,'Returned order'!A:A,0))</f>
        <v>0</v>
      </c>
      <c r="S1378" s="22">
        <v>42135.0</v>
      </c>
      <c r="T1378" s="15"/>
      <c r="U1378" s="15"/>
      <c r="V1378" s="15"/>
    </row>
    <row r="1379">
      <c r="A1379" s="2">
        <v>25807.0</v>
      </c>
      <c r="B1379" s="1" t="s">
        <v>49</v>
      </c>
      <c r="C1379" s="2">
        <v>0.05</v>
      </c>
      <c r="D1379" s="2">
        <v>6.28</v>
      </c>
      <c r="E1379" s="2">
        <v>2464.0</v>
      </c>
      <c r="F1379" s="1" t="s">
        <v>1653</v>
      </c>
      <c r="G1379" s="1" t="s">
        <v>22</v>
      </c>
      <c r="H1379" s="1" t="s">
        <v>23</v>
      </c>
      <c r="I1379" s="1" t="s">
        <v>24</v>
      </c>
      <c r="J1379" s="1" t="s">
        <v>1655</v>
      </c>
      <c r="K1379" s="19" t="s">
        <v>229</v>
      </c>
      <c r="L1379" s="20" t="s">
        <v>57</v>
      </c>
      <c r="M1379" s="21">
        <f t="shared" si="1"/>
        <v>2</v>
      </c>
      <c r="N1379" s="2">
        <v>1.278</v>
      </c>
      <c r="O1379" s="2">
        <v>6.0</v>
      </c>
      <c r="P1379" s="2">
        <v>38.04</v>
      </c>
      <c r="Q1379" s="2">
        <v>88714.0</v>
      </c>
      <c r="R1379" s="15" t="b">
        <f>ISNUMBER(MATCH(Q1379,'Returned order'!A:A,0))</f>
        <v>0</v>
      </c>
      <c r="S1379" s="22">
        <v>42024.0</v>
      </c>
      <c r="T1379" s="15"/>
      <c r="U1379" s="15"/>
      <c r="V1379" s="15"/>
    </row>
    <row r="1380">
      <c r="A1380" s="2">
        <v>25808.0</v>
      </c>
      <c r="B1380" s="1" t="s">
        <v>49</v>
      </c>
      <c r="C1380" s="2">
        <v>0.04</v>
      </c>
      <c r="D1380" s="2">
        <v>3.08</v>
      </c>
      <c r="E1380" s="2">
        <v>2464.0</v>
      </c>
      <c r="F1380" s="1" t="s">
        <v>1653</v>
      </c>
      <c r="G1380" s="1" t="s">
        <v>22</v>
      </c>
      <c r="H1380" s="1" t="s">
        <v>23</v>
      </c>
      <c r="I1380" s="1" t="s">
        <v>130</v>
      </c>
      <c r="J1380" s="1" t="s">
        <v>1445</v>
      </c>
      <c r="K1380" s="19" t="s">
        <v>229</v>
      </c>
      <c r="L1380" s="20" t="s">
        <v>57</v>
      </c>
      <c r="M1380" s="21">
        <f t="shared" si="1"/>
        <v>2</v>
      </c>
      <c r="N1380" s="2">
        <v>424.29</v>
      </c>
      <c r="O1380" s="2">
        <v>14.0</v>
      </c>
      <c r="P1380" s="2">
        <v>42.53</v>
      </c>
      <c r="Q1380" s="2">
        <v>88714.0</v>
      </c>
      <c r="R1380" s="15" t="b">
        <f>ISNUMBER(MATCH(Q1380,'Returned order'!A:A,0))</f>
        <v>0</v>
      </c>
      <c r="S1380" s="22">
        <v>42024.0</v>
      </c>
      <c r="T1380" s="15"/>
      <c r="U1380" s="15"/>
      <c r="V1380" s="15"/>
    </row>
    <row r="1381">
      <c r="A1381" s="2">
        <v>22580.0</v>
      </c>
      <c r="B1381" s="1" t="s">
        <v>63</v>
      </c>
      <c r="C1381" s="2">
        <v>0.04</v>
      </c>
      <c r="D1381" s="2">
        <v>2.08</v>
      </c>
      <c r="E1381" s="2">
        <v>2466.0</v>
      </c>
      <c r="F1381" s="1" t="s">
        <v>1656</v>
      </c>
      <c r="G1381" s="1" t="s">
        <v>32</v>
      </c>
      <c r="H1381" s="1" t="s">
        <v>23</v>
      </c>
      <c r="I1381" s="1" t="s">
        <v>24</v>
      </c>
      <c r="J1381" s="1" t="s">
        <v>1023</v>
      </c>
      <c r="K1381" s="19" t="s">
        <v>68</v>
      </c>
      <c r="L1381" s="20" t="s">
        <v>76</v>
      </c>
      <c r="M1381" s="21">
        <f t="shared" si="1"/>
        <v>5</v>
      </c>
      <c r="N1381" s="2">
        <v>-3.71956</v>
      </c>
      <c r="O1381" s="2">
        <v>7.0</v>
      </c>
      <c r="P1381" s="2">
        <v>14.77</v>
      </c>
      <c r="Q1381" s="2">
        <v>88136.0</v>
      </c>
      <c r="R1381" s="15" t="b">
        <f>ISNUMBER(MATCH(Q1381,'Returned order'!A:A,0))</f>
        <v>0</v>
      </c>
      <c r="S1381" s="22">
        <v>42062.0</v>
      </c>
      <c r="T1381" s="15"/>
      <c r="U1381" s="15"/>
      <c r="V1381" s="15"/>
    </row>
    <row r="1382">
      <c r="A1382" s="2">
        <v>22582.0</v>
      </c>
      <c r="B1382" s="1" t="s">
        <v>63</v>
      </c>
      <c r="C1382" s="2">
        <v>0.02</v>
      </c>
      <c r="D1382" s="2">
        <v>53.98</v>
      </c>
      <c r="E1382" s="2">
        <v>2466.0</v>
      </c>
      <c r="F1382" s="1" t="s">
        <v>1656</v>
      </c>
      <c r="G1382" s="1" t="s">
        <v>32</v>
      </c>
      <c r="H1382" s="1" t="s">
        <v>46</v>
      </c>
      <c r="I1382" s="1" t="s">
        <v>47</v>
      </c>
      <c r="J1382" s="1" t="s">
        <v>1657</v>
      </c>
      <c r="K1382" s="19" t="s">
        <v>68</v>
      </c>
      <c r="L1382" s="20" t="s">
        <v>76</v>
      </c>
      <c r="M1382" s="21">
        <f t="shared" si="1"/>
        <v>5</v>
      </c>
      <c r="N1382" s="2">
        <v>101.972</v>
      </c>
      <c r="O1382" s="2">
        <v>8.0</v>
      </c>
      <c r="P1382" s="2">
        <v>438.33</v>
      </c>
      <c r="Q1382" s="2">
        <v>88136.0</v>
      </c>
      <c r="R1382" s="15" t="b">
        <f>ISNUMBER(MATCH(Q1382,'Returned order'!A:A,0))</f>
        <v>0</v>
      </c>
      <c r="S1382" s="22">
        <v>42062.0</v>
      </c>
      <c r="T1382" s="15"/>
      <c r="U1382" s="15"/>
      <c r="V1382" s="15"/>
    </row>
    <row r="1383">
      <c r="A1383" s="2">
        <v>22583.0</v>
      </c>
      <c r="B1383" s="1" t="s">
        <v>63</v>
      </c>
      <c r="C1383" s="2">
        <v>0.05</v>
      </c>
      <c r="D1383" s="2">
        <v>4.98</v>
      </c>
      <c r="E1383" s="2">
        <v>2466.0</v>
      </c>
      <c r="F1383" s="1" t="s">
        <v>1656</v>
      </c>
      <c r="G1383" s="1" t="s">
        <v>32</v>
      </c>
      <c r="H1383" s="1" t="s">
        <v>23</v>
      </c>
      <c r="I1383" s="1" t="s">
        <v>93</v>
      </c>
      <c r="J1383" s="1" t="s">
        <v>1658</v>
      </c>
      <c r="K1383" s="19" t="s">
        <v>68</v>
      </c>
      <c r="L1383" s="20" t="s">
        <v>76</v>
      </c>
      <c r="M1383" s="21">
        <f t="shared" si="1"/>
        <v>5</v>
      </c>
      <c r="N1383" s="2">
        <v>-16.6348</v>
      </c>
      <c r="O1383" s="2">
        <v>7.0</v>
      </c>
      <c r="P1383" s="2">
        <v>38.11</v>
      </c>
      <c r="Q1383" s="2">
        <v>88136.0</v>
      </c>
      <c r="R1383" s="15" t="b">
        <f>ISNUMBER(MATCH(Q1383,'Returned order'!A:A,0))</f>
        <v>0</v>
      </c>
      <c r="S1383" s="22">
        <v>42062.0</v>
      </c>
      <c r="T1383" s="15"/>
      <c r="U1383" s="15"/>
      <c r="V1383" s="15"/>
    </row>
    <row r="1384">
      <c r="A1384" s="2">
        <v>19766.0</v>
      </c>
      <c r="B1384" s="1" t="s">
        <v>58</v>
      </c>
      <c r="C1384" s="2">
        <v>0.09</v>
      </c>
      <c r="D1384" s="2">
        <v>58.1</v>
      </c>
      <c r="E1384" s="2">
        <v>2468.0</v>
      </c>
      <c r="F1384" s="1" t="s">
        <v>1659</v>
      </c>
      <c r="G1384" s="1" t="s">
        <v>51</v>
      </c>
      <c r="H1384" s="1" t="s">
        <v>23</v>
      </c>
      <c r="I1384" s="1" t="s">
        <v>24</v>
      </c>
      <c r="J1384" s="1" t="s">
        <v>312</v>
      </c>
      <c r="K1384" s="19" t="s">
        <v>229</v>
      </c>
      <c r="L1384" s="20" t="s">
        <v>27</v>
      </c>
      <c r="M1384" s="21">
        <f t="shared" si="1"/>
        <v>1</v>
      </c>
      <c r="N1384" s="2">
        <v>765.75</v>
      </c>
      <c r="O1384" s="2">
        <v>3.0</v>
      </c>
      <c r="P1384" s="2">
        <v>169.46</v>
      </c>
      <c r="Q1384" s="2">
        <v>88135.0</v>
      </c>
      <c r="R1384" s="15" t="b">
        <f>ISNUMBER(MATCH(Q1384,'Returned order'!A:A,0))</f>
        <v>0</v>
      </c>
      <c r="S1384" s="22">
        <v>42121.0</v>
      </c>
      <c r="T1384" s="15"/>
      <c r="U1384" s="15"/>
      <c r="V1384" s="15"/>
    </row>
    <row r="1385">
      <c r="A1385" s="2">
        <v>18684.0</v>
      </c>
      <c r="B1385" s="1" t="s">
        <v>58</v>
      </c>
      <c r="C1385" s="2">
        <v>0.04</v>
      </c>
      <c r="D1385" s="2">
        <v>65.99</v>
      </c>
      <c r="E1385" s="2">
        <v>2468.0</v>
      </c>
      <c r="F1385" s="1" t="s">
        <v>1659</v>
      </c>
      <c r="G1385" s="1" t="s">
        <v>32</v>
      </c>
      <c r="H1385" s="1" t="s">
        <v>46</v>
      </c>
      <c r="I1385" s="1" t="s">
        <v>85</v>
      </c>
      <c r="J1385" s="1" t="s">
        <v>1229</v>
      </c>
      <c r="K1385" s="19" t="s">
        <v>229</v>
      </c>
      <c r="L1385" s="20" t="s">
        <v>76</v>
      </c>
      <c r="M1385" s="21">
        <f t="shared" si="1"/>
        <v>5</v>
      </c>
      <c r="N1385" s="2">
        <v>-335.041</v>
      </c>
      <c r="O1385" s="2">
        <v>13.0</v>
      </c>
      <c r="P1385" s="2">
        <v>724.57</v>
      </c>
      <c r="Q1385" s="2">
        <v>88137.0</v>
      </c>
      <c r="R1385" s="15" t="b">
        <f>ISNUMBER(MATCH(Q1385,'Returned order'!A:A,0))</f>
        <v>0</v>
      </c>
      <c r="S1385" s="22">
        <v>42076.0</v>
      </c>
      <c r="T1385" s="15"/>
      <c r="U1385" s="15"/>
      <c r="V1385" s="15"/>
    </row>
    <row r="1386">
      <c r="A1386" s="2">
        <v>26057.0</v>
      </c>
      <c r="B1386" s="1" t="s">
        <v>170</v>
      </c>
      <c r="C1386" s="2">
        <v>0.1</v>
      </c>
      <c r="D1386" s="2">
        <v>4.91</v>
      </c>
      <c r="E1386" s="2">
        <v>2472.0</v>
      </c>
      <c r="F1386" s="1" t="s">
        <v>1660</v>
      </c>
      <c r="G1386" s="1" t="s">
        <v>51</v>
      </c>
      <c r="H1386" s="1" t="s">
        <v>23</v>
      </c>
      <c r="I1386" s="1" t="s">
        <v>130</v>
      </c>
      <c r="J1386" s="1" t="s">
        <v>251</v>
      </c>
      <c r="K1386" s="19" t="s">
        <v>68</v>
      </c>
      <c r="L1386" s="20" t="s">
        <v>53</v>
      </c>
      <c r="M1386" s="21">
        <f t="shared" si="1"/>
        <v>6</v>
      </c>
      <c r="N1386" s="2">
        <v>35.2797</v>
      </c>
      <c r="O1386" s="2">
        <v>10.0</v>
      </c>
      <c r="P1386" s="2">
        <v>51.13</v>
      </c>
      <c r="Q1386" s="2">
        <v>86514.0</v>
      </c>
      <c r="R1386" s="15" t="b">
        <f>ISNUMBER(MATCH(Q1386,'Returned order'!A:A,0))</f>
        <v>0</v>
      </c>
      <c r="S1386" s="22">
        <v>42056.0</v>
      </c>
      <c r="T1386" s="15"/>
      <c r="U1386" s="15"/>
      <c r="V1386" s="15"/>
    </row>
    <row r="1387">
      <c r="A1387" s="2">
        <v>24584.0</v>
      </c>
      <c r="B1387" s="1" t="s">
        <v>58</v>
      </c>
      <c r="C1387" s="2">
        <v>0.07</v>
      </c>
      <c r="D1387" s="2">
        <v>5.18</v>
      </c>
      <c r="E1387" s="2">
        <v>2481.0</v>
      </c>
      <c r="F1387" s="1" t="s">
        <v>1661</v>
      </c>
      <c r="G1387" s="1" t="s">
        <v>32</v>
      </c>
      <c r="H1387" s="1" t="s">
        <v>23</v>
      </c>
      <c r="I1387" s="1" t="s">
        <v>24</v>
      </c>
      <c r="J1387" s="1" t="s">
        <v>709</v>
      </c>
      <c r="K1387" s="19" t="s">
        <v>229</v>
      </c>
      <c r="L1387" s="20" t="s">
        <v>27</v>
      </c>
      <c r="M1387" s="21">
        <f t="shared" si="1"/>
        <v>1</v>
      </c>
      <c r="N1387" s="2">
        <v>-188.034</v>
      </c>
      <c r="O1387" s="2">
        <v>14.0</v>
      </c>
      <c r="P1387" s="2">
        <v>79.61</v>
      </c>
      <c r="Q1387" s="2">
        <v>91000.0</v>
      </c>
      <c r="R1387" s="15" t="b">
        <f>ISNUMBER(MATCH(Q1387,'Returned order'!A:A,0))</f>
        <v>0</v>
      </c>
      <c r="S1387" s="22">
        <v>42100.0</v>
      </c>
      <c r="T1387" s="15"/>
      <c r="U1387" s="15"/>
      <c r="V1387" s="15"/>
    </row>
    <row r="1388">
      <c r="A1388" s="2">
        <v>24568.0</v>
      </c>
      <c r="B1388" s="1" t="s">
        <v>63</v>
      </c>
      <c r="C1388" s="2">
        <v>0.05</v>
      </c>
      <c r="D1388" s="2">
        <v>6.48</v>
      </c>
      <c r="E1388" s="2">
        <v>2484.0</v>
      </c>
      <c r="F1388" s="1" t="s">
        <v>1662</v>
      </c>
      <c r="G1388" s="1" t="s">
        <v>32</v>
      </c>
      <c r="H1388" s="1" t="s">
        <v>23</v>
      </c>
      <c r="I1388" s="1" t="s">
        <v>93</v>
      </c>
      <c r="J1388" s="1" t="s">
        <v>1612</v>
      </c>
      <c r="K1388" s="19" t="s">
        <v>229</v>
      </c>
      <c r="L1388" s="20" t="s">
        <v>76</v>
      </c>
      <c r="M1388" s="21">
        <f t="shared" si="1"/>
        <v>5</v>
      </c>
      <c r="N1388" s="2">
        <v>322.122</v>
      </c>
      <c r="O1388" s="2">
        <v>16.0</v>
      </c>
      <c r="P1388" s="2">
        <v>109.99</v>
      </c>
      <c r="Q1388" s="2">
        <v>88998.0</v>
      </c>
      <c r="R1388" s="15" t="b">
        <f>ISNUMBER(MATCH(Q1388,'Returned order'!A:A,0))</f>
        <v>0</v>
      </c>
      <c r="S1388" s="22">
        <v>42076.0</v>
      </c>
      <c r="T1388" s="15"/>
      <c r="U1388" s="15"/>
      <c r="V1388" s="15"/>
    </row>
    <row r="1389">
      <c r="A1389" s="2">
        <v>24569.0</v>
      </c>
      <c r="B1389" s="1" t="s">
        <v>63</v>
      </c>
      <c r="C1389" s="2">
        <v>0.03</v>
      </c>
      <c r="D1389" s="2">
        <v>111.03</v>
      </c>
      <c r="E1389" s="2">
        <v>2484.0</v>
      </c>
      <c r="F1389" s="1" t="s">
        <v>1662</v>
      </c>
      <c r="G1389" s="1" t="s">
        <v>32</v>
      </c>
      <c r="H1389" s="1" t="s">
        <v>23</v>
      </c>
      <c r="I1389" s="1" t="s">
        <v>120</v>
      </c>
      <c r="J1389" s="1" t="s">
        <v>1663</v>
      </c>
      <c r="K1389" s="19" t="s">
        <v>229</v>
      </c>
      <c r="L1389" s="20" t="s">
        <v>76</v>
      </c>
      <c r="M1389" s="21">
        <f t="shared" si="1"/>
        <v>5</v>
      </c>
      <c r="N1389" s="2">
        <v>366.54</v>
      </c>
      <c r="O1389" s="2">
        <v>8.0</v>
      </c>
      <c r="P1389" s="2">
        <v>900.12</v>
      </c>
      <c r="Q1389" s="2">
        <v>88998.0</v>
      </c>
      <c r="R1389" s="15" t="b">
        <f>ISNUMBER(MATCH(Q1389,'Returned order'!A:A,0))</f>
        <v>0</v>
      </c>
      <c r="S1389" s="22">
        <v>42076.0</v>
      </c>
      <c r="T1389" s="15"/>
      <c r="U1389" s="15"/>
      <c r="V1389" s="15"/>
    </row>
    <row r="1390">
      <c r="A1390" s="2">
        <v>22028.0</v>
      </c>
      <c r="B1390" s="1" t="s">
        <v>28</v>
      </c>
      <c r="C1390" s="2">
        <v>0.02</v>
      </c>
      <c r="D1390" s="2">
        <v>71.37</v>
      </c>
      <c r="E1390" s="2">
        <v>2486.0</v>
      </c>
      <c r="F1390" s="1" t="s">
        <v>1664</v>
      </c>
      <c r="G1390" s="1" t="s">
        <v>66</v>
      </c>
      <c r="H1390" s="1" t="s">
        <v>37</v>
      </c>
      <c r="I1390" s="1" t="s">
        <v>73</v>
      </c>
      <c r="J1390" s="1" t="s">
        <v>1592</v>
      </c>
      <c r="K1390" s="19" t="s">
        <v>229</v>
      </c>
      <c r="L1390" s="20" t="s">
        <v>76</v>
      </c>
      <c r="M1390" s="21">
        <f t="shared" si="1"/>
        <v>5</v>
      </c>
      <c r="N1390" s="2">
        <v>-439.908</v>
      </c>
      <c r="O1390" s="2">
        <v>4.0</v>
      </c>
      <c r="P1390" s="2">
        <v>237.62</v>
      </c>
      <c r="Q1390" s="2">
        <v>91414.0</v>
      </c>
      <c r="R1390" s="15" t="b">
        <f>ISNUMBER(MATCH(Q1390,'Returned order'!A:A,0))</f>
        <v>0</v>
      </c>
      <c r="S1390" s="22">
        <v>42041.0</v>
      </c>
      <c r="T1390" s="15"/>
      <c r="U1390" s="15"/>
      <c r="V1390" s="15"/>
    </row>
    <row r="1391">
      <c r="A1391" s="2">
        <v>22029.0</v>
      </c>
      <c r="B1391" s="1" t="s">
        <v>28</v>
      </c>
      <c r="C1391" s="2">
        <v>0.03</v>
      </c>
      <c r="D1391" s="2">
        <v>205.99</v>
      </c>
      <c r="E1391" s="2">
        <v>2486.0</v>
      </c>
      <c r="F1391" s="1" t="s">
        <v>1664</v>
      </c>
      <c r="G1391" s="1" t="s">
        <v>66</v>
      </c>
      <c r="H1391" s="1" t="s">
        <v>46</v>
      </c>
      <c r="I1391" s="1" t="s">
        <v>85</v>
      </c>
      <c r="J1391" s="1" t="s">
        <v>1152</v>
      </c>
      <c r="K1391" s="19" t="s">
        <v>229</v>
      </c>
      <c r="L1391" s="20" t="s">
        <v>76</v>
      </c>
      <c r="M1391" s="21">
        <f t="shared" si="1"/>
        <v>5</v>
      </c>
      <c r="N1391" s="2">
        <v>1087.716</v>
      </c>
      <c r="O1391" s="2">
        <v>1.0</v>
      </c>
      <c r="P1391" s="2">
        <v>176.42</v>
      </c>
      <c r="Q1391" s="2">
        <v>91414.0</v>
      </c>
      <c r="R1391" s="15" t="b">
        <f>ISNUMBER(MATCH(Q1391,'Returned order'!A:A,0))</f>
        <v>0</v>
      </c>
      <c r="S1391" s="22">
        <v>42041.0</v>
      </c>
      <c r="T1391" s="15"/>
      <c r="U1391" s="15"/>
      <c r="V1391" s="15"/>
    </row>
    <row r="1392">
      <c r="A1392" s="2">
        <v>23495.0</v>
      </c>
      <c r="B1392" s="1" t="s">
        <v>170</v>
      </c>
      <c r="C1392" s="2">
        <v>0.0</v>
      </c>
      <c r="D1392" s="2">
        <v>180.98</v>
      </c>
      <c r="E1392" s="2">
        <v>2486.0</v>
      </c>
      <c r="F1392" s="1" t="s">
        <v>1664</v>
      </c>
      <c r="G1392" s="1" t="s">
        <v>66</v>
      </c>
      <c r="H1392" s="1" t="s">
        <v>37</v>
      </c>
      <c r="I1392" s="1" t="s">
        <v>38</v>
      </c>
      <c r="J1392" s="1" t="s">
        <v>1374</v>
      </c>
      <c r="K1392" s="19" t="s">
        <v>229</v>
      </c>
      <c r="L1392" s="20" t="s">
        <v>57</v>
      </c>
      <c r="M1392" s="21">
        <f t="shared" si="1"/>
        <v>2</v>
      </c>
      <c r="N1392" s="2">
        <v>9.204</v>
      </c>
      <c r="O1392" s="2">
        <v>11.0</v>
      </c>
      <c r="P1392" s="2">
        <v>2084.16</v>
      </c>
      <c r="Q1392" s="2">
        <v>91416.0</v>
      </c>
      <c r="R1392" s="15" t="b">
        <f>ISNUMBER(MATCH(Q1392,'Returned order'!A:A,0))</f>
        <v>0</v>
      </c>
      <c r="S1392" s="22">
        <v>42038.0</v>
      </c>
      <c r="T1392" s="15"/>
      <c r="U1392" s="15"/>
      <c r="V1392" s="15"/>
    </row>
    <row r="1393">
      <c r="A1393" s="2">
        <v>23983.0</v>
      </c>
      <c r="B1393" s="1" t="s">
        <v>49</v>
      </c>
      <c r="C1393" s="2">
        <v>0.04</v>
      </c>
      <c r="D1393" s="2">
        <v>3.08</v>
      </c>
      <c r="E1393" s="2">
        <v>2487.0</v>
      </c>
      <c r="F1393" s="1" t="s">
        <v>1665</v>
      </c>
      <c r="G1393" s="1" t="s">
        <v>66</v>
      </c>
      <c r="H1393" s="1" t="s">
        <v>23</v>
      </c>
      <c r="I1393" s="1" t="s">
        <v>130</v>
      </c>
      <c r="J1393" s="1" t="s">
        <v>1445</v>
      </c>
      <c r="K1393" s="19" t="s">
        <v>229</v>
      </c>
      <c r="L1393" s="20" t="s">
        <v>53</v>
      </c>
      <c r="M1393" s="21">
        <f t="shared" si="1"/>
        <v>6</v>
      </c>
      <c r="N1393" s="2">
        <v>257.0832</v>
      </c>
      <c r="O1393" s="2">
        <v>14.0</v>
      </c>
      <c r="P1393" s="2">
        <v>43.41</v>
      </c>
      <c r="Q1393" s="2">
        <v>91415.0</v>
      </c>
      <c r="R1393" s="15" t="b">
        <f>ISNUMBER(MATCH(Q1393,'Returned order'!A:A,0))</f>
        <v>0</v>
      </c>
      <c r="S1393" s="22">
        <v>42175.0</v>
      </c>
      <c r="T1393" s="15"/>
      <c r="U1393" s="15"/>
      <c r="V1393" s="15"/>
    </row>
    <row r="1394">
      <c r="A1394" s="2">
        <v>23984.0</v>
      </c>
      <c r="B1394" s="1" t="s">
        <v>49</v>
      </c>
      <c r="C1394" s="2">
        <v>0.1</v>
      </c>
      <c r="D1394" s="2">
        <v>2.78</v>
      </c>
      <c r="E1394" s="2">
        <v>2487.0</v>
      </c>
      <c r="F1394" s="1" t="s">
        <v>1665</v>
      </c>
      <c r="G1394" s="1" t="s">
        <v>66</v>
      </c>
      <c r="H1394" s="1" t="s">
        <v>23</v>
      </c>
      <c r="I1394" s="1" t="s">
        <v>29</v>
      </c>
      <c r="J1394" s="1" t="s">
        <v>1582</v>
      </c>
      <c r="K1394" s="19" t="s">
        <v>229</v>
      </c>
      <c r="L1394" s="20" t="s">
        <v>53</v>
      </c>
      <c r="M1394" s="21">
        <f t="shared" si="1"/>
        <v>6</v>
      </c>
      <c r="N1394" s="2">
        <v>0.7854</v>
      </c>
      <c r="O1394" s="2">
        <v>18.0</v>
      </c>
      <c r="P1394" s="2">
        <v>46.42</v>
      </c>
      <c r="Q1394" s="2">
        <v>91415.0</v>
      </c>
      <c r="R1394" s="15" t="b">
        <f>ISNUMBER(MATCH(Q1394,'Returned order'!A:A,0))</f>
        <v>0</v>
      </c>
      <c r="S1394" s="22">
        <v>42175.0</v>
      </c>
      <c r="T1394" s="15"/>
      <c r="U1394" s="15"/>
      <c r="V1394" s="15"/>
    </row>
    <row r="1395">
      <c r="A1395" s="2">
        <v>24476.0</v>
      </c>
      <c r="B1395" s="1" t="s">
        <v>49</v>
      </c>
      <c r="C1395" s="2">
        <v>0.02</v>
      </c>
      <c r="D1395" s="2">
        <v>136.98</v>
      </c>
      <c r="E1395" s="2">
        <v>2487.0</v>
      </c>
      <c r="F1395" s="1" t="s">
        <v>1665</v>
      </c>
      <c r="G1395" s="1" t="s">
        <v>66</v>
      </c>
      <c r="H1395" s="1" t="s">
        <v>37</v>
      </c>
      <c r="I1395" s="1" t="s">
        <v>42</v>
      </c>
      <c r="J1395" s="1" t="s">
        <v>1217</v>
      </c>
      <c r="K1395" s="19" t="s">
        <v>229</v>
      </c>
      <c r="L1395" s="20" t="s">
        <v>57</v>
      </c>
      <c r="M1395" s="21">
        <f t="shared" si="1"/>
        <v>2</v>
      </c>
      <c r="N1395" s="2">
        <v>88.56</v>
      </c>
      <c r="O1395" s="2">
        <v>8.0</v>
      </c>
      <c r="P1395" s="2">
        <v>1140.95</v>
      </c>
      <c r="Q1395" s="2">
        <v>91417.0</v>
      </c>
      <c r="R1395" s="15" t="b">
        <f>ISNUMBER(MATCH(Q1395,'Returned order'!A:A,0))</f>
        <v>0</v>
      </c>
      <c r="S1395" s="22">
        <v>42157.0</v>
      </c>
      <c r="T1395" s="15"/>
      <c r="U1395" s="15"/>
      <c r="V1395" s="15"/>
    </row>
    <row r="1396">
      <c r="A1396" s="2">
        <v>20065.0</v>
      </c>
      <c r="B1396" s="1" t="s">
        <v>28</v>
      </c>
      <c r="C1396" s="2">
        <v>0.08</v>
      </c>
      <c r="D1396" s="2">
        <v>4.91</v>
      </c>
      <c r="E1396" s="2">
        <v>2488.0</v>
      </c>
      <c r="F1396" s="1" t="s">
        <v>1666</v>
      </c>
      <c r="G1396" s="1" t="s">
        <v>22</v>
      </c>
      <c r="H1396" s="1" t="s">
        <v>23</v>
      </c>
      <c r="I1396" s="1" t="s">
        <v>130</v>
      </c>
      <c r="J1396" s="1" t="s">
        <v>251</v>
      </c>
      <c r="K1396" s="19" t="s">
        <v>229</v>
      </c>
      <c r="L1396" s="20" t="s">
        <v>70</v>
      </c>
      <c r="M1396" s="21">
        <f t="shared" si="1"/>
        <v>4</v>
      </c>
      <c r="N1396" s="2">
        <v>12.726</v>
      </c>
      <c r="O1396" s="2">
        <v>9.0</v>
      </c>
      <c r="P1396" s="2">
        <v>42.69</v>
      </c>
      <c r="Q1396" s="2">
        <v>86887.0</v>
      </c>
      <c r="R1396" s="15" t="b">
        <f>ISNUMBER(MATCH(Q1396,'Returned order'!A:A,0))</f>
        <v>0</v>
      </c>
      <c r="S1396" s="22">
        <v>42103.0</v>
      </c>
      <c r="T1396" s="15"/>
      <c r="U1396" s="15"/>
      <c r="V1396" s="15"/>
    </row>
    <row r="1397">
      <c r="A1397" s="2">
        <v>20066.0</v>
      </c>
      <c r="B1397" s="1" t="s">
        <v>28</v>
      </c>
      <c r="C1397" s="2">
        <v>0.02</v>
      </c>
      <c r="D1397" s="2">
        <v>28.15</v>
      </c>
      <c r="E1397" s="2">
        <v>2488.0</v>
      </c>
      <c r="F1397" s="1" t="s">
        <v>1666</v>
      </c>
      <c r="G1397" s="1" t="s">
        <v>22</v>
      </c>
      <c r="H1397" s="1" t="s">
        <v>23</v>
      </c>
      <c r="I1397" s="1" t="s">
        <v>29</v>
      </c>
      <c r="J1397" s="1" t="s">
        <v>1667</v>
      </c>
      <c r="K1397" s="19" t="s">
        <v>229</v>
      </c>
      <c r="L1397" s="20" t="s">
        <v>70</v>
      </c>
      <c r="M1397" s="21">
        <f t="shared" si="1"/>
        <v>4</v>
      </c>
      <c r="N1397" s="2">
        <v>160.8066</v>
      </c>
      <c r="O1397" s="2">
        <v>11.0</v>
      </c>
      <c r="P1397" s="2">
        <v>327.41</v>
      </c>
      <c r="Q1397" s="2">
        <v>86887.0</v>
      </c>
      <c r="R1397" s="15" t="b">
        <f>ISNUMBER(MATCH(Q1397,'Returned order'!A:A,0))</f>
        <v>0</v>
      </c>
      <c r="S1397" s="22">
        <v>42103.0</v>
      </c>
      <c r="T1397" s="15"/>
      <c r="U1397" s="15"/>
      <c r="V1397" s="15"/>
    </row>
    <row r="1398">
      <c r="A1398" s="2">
        <v>20602.0</v>
      </c>
      <c r="B1398" s="1" t="s">
        <v>28</v>
      </c>
      <c r="C1398" s="2">
        <v>0.01</v>
      </c>
      <c r="D1398" s="2">
        <v>2036.48</v>
      </c>
      <c r="E1398" s="2">
        <v>2489.0</v>
      </c>
      <c r="F1398" s="1" t="s">
        <v>1668</v>
      </c>
      <c r="G1398" s="1" t="s">
        <v>22</v>
      </c>
      <c r="H1398" s="1" t="s">
        <v>46</v>
      </c>
      <c r="I1398" s="1" t="s">
        <v>103</v>
      </c>
      <c r="J1398" s="1" t="s">
        <v>542</v>
      </c>
      <c r="K1398" s="19" t="s">
        <v>34</v>
      </c>
      <c r="L1398" s="20" t="s">
        <v>35</v>
      </c>
      <c r="M1398" s="21">
        <f t="shared" si="1"/>
        <v>3</v>
      </c>
      <c r="N1398" s="2">
        <v>-1596.7458</v>
      </c>
      <c r="O1398" s="2">
        <v>2.0</v>
      </c>
      <c r="P1398" s="2">
        <v>3786.84</v>
      </c>
      <c r="Q1398" s="2">
        <v>86883.0</v>
      </c>
      <c r="R1398" s="15" t="b">
        <f>ISNUMBER(MATCH(Q1398,'Returned order'!A:A,0))</f>
        <v>0</v>
      </c>
      <c r="S1398" s="22">
        <v>42046.0</v>
      </c>
      <c r="T1398" s="15"/>
      <c r="U1398" s="15"/>
      <c r="V1398" s="15"/>
    </row>
    <row r="1399">
      <c r="A1399" s="2">
        <v>21212.0</v>
      </c>
      <c r="B1399" s="1" t="s">
        <v>63</v>
      </c>
      <c r="C1399" s="2">
        <v>0.04</v>
      </c>
      <c r="D1399" s="2">
        <v>419.19</v>
      </c>
      <c r="E1399" s="2">
        <v>2489.0</v>
      </c>
      <c r="F1399" s="1" t="s">
        <v>1668</v>
      </c>
      <c r="G1399" s="1" t="s">
        <v>51</v>
      </c>
      <c r="H1399" s="1" t="s">
        <v>23</v>
      </c>
      <c r="I1399" s="1" t="s">
        <v>120</v>
      </c>
      <c r="J1399" s="1" t="s">
        <v>616</v>
      </c>
      <c r="K1399" s="19" t="s">
        <v>34</v>
      </c>
      <c r="L1399" s="20" t="s">
        <v>61</v>
      </c>
      <c r="M1399" s="21">
        <f t="shared" si="1"/>
        <v>7</v>
      </c>
      <c r="N1399" s="2">
        <v>1388.3559</v>
      </c>
      <c r="O1399" s="2">
        <v>5.0</v>
      </c>
      <c r="P1399" s="2">
        <v>2012.11</v>
      </c>
      <c r="Q1399" s="2">
        <v>86885.0</v>
      </c>
      <c r="R1399" s="15" t="b">
        <f>ISNUMBER(MATCH(Q1399,'Returned order'!A:A,0))</f>
        <v>0</v>
      </c>
      <c r="S1399" s="22">
        <v>42120.0</v>
      </c>
      <c r="T1399" s="15"/>
      <c r="U1399" s="15"/>
      <c r="V1399" s="15"/>
    </row>
    <row r="1400">
      <c r="A1400" s="2">
        <v>21338.0</v>
      </c>
      <c r="B1400" s="1" t="s">
        <v>49</v>
      </c>
      <c r="C1400" s="2">
        <v>0.07</v>
      </c>
      <c r="D1400" s="2">
        <v>65.99</v>
      </c>
      <c r="E1400" s="2">
        <v>2489.0</v>
      </c>
      <c r="F1400" s="1" t="s">
        <v>1668</v>
      </c>
      <c r="G1400" s="1" t="s">
        <v>51</v>
      </c>
      <c r="H1400" s="1" t="s">
        <v>46</v>
      </c>
      <c r="I1400" s="1" t="s">
        <v>85</v>
      </c>
      <c r="J1400" s="1">
        <v>6120.0</v>
      </c>
      <c r="K1400" s="19" t="s">
        <v>34</v>
      </c>
      <c r="L1400" s="20" t="s">
        <v>27</v>
      </c>
      <c r="M1400" s="21">
        <f t="shared" si="1"/>
        <v>1</v>
      </c>
      <c r="N1400" s="2">
        <v>109.836</v>
      </c>
      <c r="O1400" s="2">
        <v>9.0</v>
      </c>
      <c r="P1400" s="2">
        <v>471.66</v>
      </c>
      <c r="Q1400" s="2">
        <v>86886.0</v>
      </c>
      <c r="R1400" s="15" t="b">
        <f>ISNUMBER(MATCH(Q1400,'Returned order'!A:A,0))</f>
        <v>0</v>
      </c>
      <c r="S1400" s="22">
        <v>42016.0</v>
      </c>
      <c r="T1400" s="15"/>
      <c r="U1400" s="15"/>
      <c r="V1400" s="15"/>
    </row>
    <row r="1401">
      <c r="A1401" s="2">
        <v>24856.0</v>
      </c>
      <c r="B1401" s="1" t="s">
        <v>58</v>
      </c>
      <c r="C1401" s="2">
        <v>0.09</v>
      </c>
      <c r="D1401" s="2">
        <v>348.21</v>
      </c>
      <c r="E1401" s="2">
        <v>2490.0</v>
      </c>
      <c r="F1401" s="1" t="s">
        <v>1669</v>
      </c>
      <c r="G1401" s="1" t="s">
        <v>51</v>
      </c>
      <c r="H1401" s="1" t="s">
        <v>37</v>
      </c>
      <c r="I1401" s="1" t="s">
        <v>73</v>
      </c>
      <c r="J1401" s="1" t="s">
        <v>1172</v>
      </c>
      <c r="K1401" s="19" t="s">
        <v>34</v>
      </c>
      <c r="L1401" s="20" t="s">
        <v>53</v>
      </c>
      <c r="M1401" s="21">
        <f t="shared" si="1"/>
        <v>6</v>
      </c>
      <c r="N1401" s="2">
        <v>-93.85</v>
      </c>
      <c r="O1401" s="2">
        <v>2.0</v>
      </c>
      <c r="P1401" s="2">
        <v>662.8</v>
      </c>
      <c r="Q1401" s="2">
        <v>86884.0</v>
      </c>
      <c r="R1401" s="15" t="b">
        <f>ISNUMBER(MATCH(Q1401,'Returned order'!A:A,0))</f>
        <v>0</v>
      </c>
      <c r="S1401" s="22">
        <v>42049.0</v>
      </c>
      <c r="T1401" s="15"/>
      <c r="U1401" s="15"/>
      <c r="V1401" s="15"/>
    </row>
    <row r="1402">
      <c r="A1402" s="2">
        <v>21339.0</v>
      </c>
      <c r="B1402" s="1" t="s">
        <v>49</v>
      </c>
      <c r="C1402" s="2">
        <v>0.0</v>
      </c>
      <c r="D1402" s="2">
        <v>10.01</v>
      </c>
      <c r="E1402" s="2">
        <v>2490.0</v>
      </c>
      <c r="F1402" s="1" t="s">
        <v>1669</v>
      </c>
      <c r="G1402" s="1" t="s">
        <v>51</v>
      </c>
      <c r="H1402" s="1" t="s">
        <v>46</v>
      </c>
      <c r="I1402" s="1" t="s">
        <v>47</v>
      </c>
      <c r="J1402" s="1" t="s">
        <v>1670</v>
      </c>
      <c r="K1402" s="19" t="s">
        <v>34</v>
      </c>
      <c r="L1402" s="20" t="s">
        <v>27</v>
      </c>
      <c r="M1402" s="21">
        <f t="shared" si="1"/>
        <v>1</v>
      </c>
      <c r="N1402" s="2">
        <v>82.7034</v>
      </c>
      <c r="O1402" s="2">
        <v>11.0</v>
      </c>
      <c r="P1402" s="2">
        <v>119.86</v>
      </c>
      <c r="Q1402" s="2">
        <v>86886.0</v>
      </c>
      <c r="R1402" s="15" t="b">
        <f>ISNUMBER(MATCH(Q1402,'Returned order'!A:A,0))</f>
        <v>0</v>
      </c>
      <c r="S1402" s="22">
        <v>42016.0</v>
      </c>
      <c r="T1402" s="15"/>
      <c r="U1402" s="15"/>
      <c r="V1402" s="15"/>
    </row>
    <row r="1403">
      <c r="A1403" s="2">
        <v>6856.0</v>
      </c>
      <c r="B1403" s="1" t="s">
        <v>58</v>
      </c>
      <c r="C1403" s="2">
        <v>0.09</v>
      </c>
      <c r="D1403" s="2">
        <v>348.21</v>
      </c>
      <c r="E1403" s="2">
        <v>2491.0</v>
      </c>
      <c r="F1403" s="1" t="s">
        <v>1671</v>
      </c>
      <c r="G1403" s="1" t="s">
        <v>51</v>
      </c>
      <c r="H1403" s="1" t="s">
        <v>37</v>
      </c>
      <c r="I1403" s="1" t="s">
        <v>73</v>
      </c>
      <c r="J1403" s="1" t="s">
        <v>1172</v>
      </c>
      <c r="K1403" s="19" t="s">
        <v>34</v>
      </c>
      <c r="L1403" s="20" t="s">
        <v>53</v>
      </c>
      <c r="M1403" s="21">
        <f t="shared" si="1"/>
        <v>6</v>
      </c>
      <c r="N1403" s="2">
        <v>-93.85</v>
      </c>
      <c r="O1403" s="2">
        <v>8.0</v>
      </c>
      <c r="P1403" s="2">
        <v>2651.21</v>
      </c>
      <c r="Q1403" s="2">
        <v>48836.0</v>
      </c>
      <c r="R1403" s="15" t="b">
        <f>ISNUMBER(MATCH(Q1403,'Returned order'!A:A,0))</f>
        <v>0</v>
      </c>
      <c r="S1403" s="22">
        <v>42049.0</v>
      </c>
      <c r="T1403" s="15"/>
      <c r="U1403" s="15"/>
      <c r="V1403" s="15"/>
    </row>
    <row r="1404">
      <c r="A1404" s="2">
        <v>1617.0</v>
      </c>
      <c r="B1404" s="1" t="s">
        <v>170</v>
      </c>
      <c r="C1404" s="2">
        <v>0.06</v>
      </c>
      <c r="D1404" s="2">
        <v>4.28</v>
      </c>
      <c r="E1404" s="2">
        <v>2491.0</v>
      </c>
      <c r="F1404" s="1" t="s">
        <v>1671</v>
      </c>
      <c r="G1404" s="1" t="s">
        <v>22</v>
      </c>
      <c r="H1404" s="1" t="s">
        <v>23</v>
      </c>
      <c r="I1404" s="1" t="s">
        <v>29</v>
      </c>
      <c r="J1404" s="1" t="s">
        <v>1216</v>
      </c>
      <c r="K1404" s="19" t="s">
        <v>34</v>
      </c>
      <c r="L1404" s="20" t="s">
        <v>61</v>
      </c>
      <c r="M1404" s="21">
        <f t="shared" si="1"/>
        <v>7</v>
      </c>
      <c r="N1404" s="2">
        <v>0.37</v>
      </c>
      <c r="O1404" s="2">
        <v>9.0</v>
      </c>
      <c r="P1404" s="2">
        <v>38.96</v>
      </c>
      <c r="Q1404" s="2">
        <v>11712.0</v>
      </c>
      <c r="R1404" s="15" t="b">
        <f>ISNUMBER(MATCH(Q1404,'Returned order'!A:A,0))</f>
        <v>0</v>
      </c>
      <c r="S1404" s="22">
        <v>42120.0</v>
      </c>
      <c r="T1404" s="15"/>
      <c r="U1404" s="15"/>
      <c r="V1404" s="15"/>
    </row>
    <row r="1405">
      <c r="A1405" s="2">
        <v>3212.0</v>
      </c>
      <c r="B1405" s="1" t="s">
        <v>63</v>
      </c>
      <c r="C1405" s="2">
        <v>0.04</v>
      </c>
      <c r="D1405" s="2">
        <v>419.19</v>
      </c>
      <c r="E1405" s="2">
        <v>2491.0</v>
      </c>
      <c r="F1405" s="1" t="s">
        <v>1671</v>
      </c>
      <c r="G1405" s="1" t="s">
        <v>51</v>
      </c>
      <c r="H1405" s="1" t="s">
        <v>23</v>
      </c>
      <c r="I1405" s="1" t="s">
        <v>120</v>
      </c>
      <c r="J1405" s="1" t="s">
        <v>616</v>
      </c>
      <c r="K1405" s="19" t="s">
        <v>34</v>
      </c>
      <c r="L1405" s="20" t="s">
        <v>61</v>
      </c>
      <c r="M1405" s="21">
        <f t="shared" si="1"/>
        <v>7</v>
      </c>
      <c r="N1405" s="2">
        <v>1947.67</v>
      </c>
      <c r="O1405" s="2">
        <v>20.0</v>
      </c>
      <c r="P1405" s="2">
        <v>8048.45</v>
      </c>
      <c r="Q1405" s="2">
        <v>23042.0</v>
      </c>
      <c r="R1405" s="15" t="b">
        <f>ISNUMBER(MATCH(Q1405,'Returned order'!A:A,0))</f>
        <v>0</v>
      </c>
      <c r="S1405" s="22">
        <v>42120.0</v>
      </c>
      <c r="T1405" s="15"/>
      <c r="U1405" s="15"/>
      <c r="V1405" s="15"/>
    </row>
    <row r="1406">
      <c r="A1406" s="2">
        <v>3338.0</v>
      </c>
      <c r="B1406" s="1" t="s">
        <v>49</v>
      </c>
      <c r="C1406" s="2">
        <v>0.07</v>
      </c>
      <c r="D1406" s="2">
        <v>65.99</v>
      </c>
      <c r="E1406" s="2">
        <v>2491.0</v>
      </c>
      <c r="F1406" s="1" t="s">
        <v>1671</v>
      </c>
      <c r="G1406" s="1" t="s">
        <v>51</v>
      </c>
      <c r="H1406" s="1" t="s">
        <v>46</v>
      </c>
      <c r="I1406" s="1" t="s">
        <v>85</v>
      </c>
      <c r="J1406" s="1">
        <v>6120.0</v>
      </c>
      <c r="K1406" s="19" t="s">
        <v>34</v>
      </c>
      <c r="L1406" s="20" t="s">
        <v>27</v>
      </c>
      <c r="M1406" s="21">
        <f t="shared" si="1"/>
        <v>1</v>
      </c>
      <c r="N1406" s="2">
        <v>109.836</v>
      </c>
      <c r="O1406" s="2">
        <v>37.0</v>
      </c>
      <c r="P1406" s="2">
        <v>1939.03</v>
      </c>
      <c r="Q1406" s="2">
        <v>23877.0</v>
      </c>
      <c r="R1406" s="15" t="b">
        <f>ISNUMBER(MATCH(Q1406,'Returned order'!A:A,0))</f>
        <v>0</v>
      </c>
      <c r="S1406" s="22">
        <v>42016.0</v>
      </c>
      <c r="T1406" s="15"/>
      <c r="U1406" s="15"/>
      <c r="V1406" s="15"/>
    </row>
    <row r="1407">
      <c r="A1407" s="2">
        <v>3339.0</v>
      </c>
      <c r="B1407" s="1" t="s">
        <v>49</v>
      </c>
      <c r="C1407" s="2">
        <v>0.0</v>
      </c>
      <c r="D1407" s="2">
        <v>10.01</v>
      </c>
      <c r="E1407" s="2">
        <v>2491.0</v>
      </c>
      <c r="F1407" s="1" t="s">
        <v>1671</v>
      </c>
      <c r="G1407" s="1" t="s">
        <v>51</v>
      </c>
      <c r="H1407" s="1" t="s">
        <v>46</v>
      </c>
      <c r="I1407" s="1" t="s">
        <v>47</v>
      </c>
      <c r="J1407" s="1" t="s">
        <v>1670</v>
      </c>
      <c r="K1407" s="19" t="s">
        <v>34</v>
      </c>
      <c r="L1407" s="20" t="s">
        <v>27</v>
      </c>
      <c r="M1407" s="21">
        <f t="shared" si="1"/>
        <v>1</v>
      </c>
      <c r="N1407" s="2">
        <v>128.03</v>
      </c>
      <c r="O1407" s="2">
        <v>42.0</v>
      </c>
      <c r="P1407" s="2">
        <v>457.63</v>
      </c>
      <c r="Q1407" s="2">
        <v>23877.0</v>
      </c>
      <c r="R1407" s="15" t="b">
        <f>ISNUMBER(MATCH(Q1407,'Returned order'!A:A,0))</f>
        <v>0</v>
      </c>
      <c r="S1407" s="22">
        <v>42016.0</v>
      </c>
      <c r="T1407" s="15"/>
      <c r="U1407" s="15"/>
      <c r="V1407" s="15"/>
    </row>
    <row r="1408">
      <c r="A1408" s="2">
        <v>2065.0</v>
      </c>
      <c r="B1408" s="1" t="s">
        <v>28</v>
      </c>
      <c r="C1408" s="2">
        <v>0.08</v>
      </c>
      <c r="D1408" s="2">
        <v>4.91</v>
      </c>
      <c r="E1408" s="2">
        <v>2491.0</v>
      </c>
      <c r="F1408" s="1" t="s">
        <v>1671</v>
      </c>
      <c r="G1408" s="1" t="s">
        <v>22</v>
      </c>
      <c r="H1408" s="1" t="s">
        <v>23</v>
      </c>
      <c r="I1408" s="1" t="s">
        <v>130</v>
      </c>
      <c r="J1408" s="1" t="s">
        <v>251</v>
      </c>
      <c r="K1408" s="19" t="s">
        <v>34</v>
      </c>
      <c r="L1408" s="20" t="s">
        <v>70</v>
      </c>
      <c r="M1408" s="21">
        <f t="shared" si="1"/>
        <v>4</v>
      </c>
      <c r="N1408" s="2">
        <v>31.752</v>
      </c>
      <c r="O1408" s="2">
        <v>36.0</v>
      </c>
      <c r="P1408" s="2">
        <v>170.75</v>
      </c>
      <c r="Q1408" s="2">
        <v>14785.0</v>
      </c>
      <c r="R1408" s="15" t="b">
        <f>ISNUMBER(MATCH(Q1408,'Returned order'!A:A,0))</f>
        <v>0</v>
      </c>
      <c r="S1408" s="22">
        <v>42103.0</v>
      </c>
      <c r="T1408" s="15"/>
      <c r="U1408" s="15"/>
      <c r="V1408" s="15"/>
    </row>
    <row r="1409">
      <c r="A1409" s="2">
        <v>2066.0</v>
      </c>
      <c r="B1409" s="1" t="s">
        <v>28</v>
      </c>
      <c r="C1409" s="2">
        <v>0.02</v>
      </c>
      <c r="D1409" s="2">
        <v>28.15</v>
      </c>
      <c r="E1409" s="2">
        <v>2491.0</v>
      </c>
      <c r="F1409" s="1" t="s">
        <v>1671</v>
      </c>
      <c r="G1409" s="1" t="s">
        <v>22</v>
      </c>
      <c r="H1409" s="1" t="s">
        <v>23</v>
      </c>
      <c r="I1409" s="1" t="s">
        <v>29</v>
      </c>
      <c r="J1409" s="1" t="s">
        <v>1667</v>
      </c>
      <c r="K1409" s="19" t="s">
        <v>34</v>
      </c>
      <c r="L1409" s="20" t="s">
        <v>70</v>
      </c>
      <c r="M1409" s="21">
        <f t="shared" si="1"/>
        <v>4</v>
      </c>
      <c r="N1409" s="2">
        <v>117.208</v>
      </c>
      <c r="O1409" s="2">
        <v>45.0</v>
      </c>
      <c r="P1409" s="2">
        <v>1339.42</v>
      </c>
      <c r="Q1409" s="2">
        <v>14785.0</v>
      </c>
      <c r="R1409" s="15" t="b">
        <f>ISNUMBER(MATCH(Q1409,'Returned order'!A:A,0))</f>
        <v>0</v>
      </c>
      <c r="S1409" s="22">
        <v>42103.0</v>
      </c>
      <c r="T1409" s="15"/>
      <c r="U1409" s="15"/>
      <c r="V1409" s="15"/>
    </row>
    <row r="1410">
      <c r="A1410" s="2">
        <v>19617.0</v>
      </c>
      <c r="B1410" s="1" t="s">
        <v>170</v>
      </c>
      <c r="C1410" s="2">
        <v>0.06</v>
      </c>
      <c r="D1410" s="2">
        <v>4.28</v>
      </c>
      <c r="E1410" s="2">
        <v>2495.0</v>
      </c>
      <c r="F1410" s="1" t="s">
        <v>1672</v>
      </c>
      <c r="G1410" s="1" t="s">
        <v>22</v>
      </c>
      <c r="H1410" s="1" t="s">
        <v>23</v>
      </c>
      <c r="I1410" s="1" t="s">
        <v>29</v>
      </c>
      <c r="J1410" s="1" t="s">
        <v>1216</v>
      </c>
      <c r="K1410" s="19" t="s">
        <v>34</v>
      </c>
      <c r="L1410" s="20" t="s">
        <v>61</v>
      </c>
      <c r="M1410" s="21">
        <f t="shared" si="1"/>
        <v>7</v>
      </c>
      <c r="N1410" s="2">
        <v>0.37</v>
      </c>
      <c r="O1410" s="2">
        <v>2.0</v>
      </c>
      <c r="P1410" s="2">
        <v>8.66</v>
      </c>
      <c r="Q1410" s="2">
        <v>86885.0</v>
      </c>
      <c r="R1410" s="15" t="b">
        <f>ISNUMBER(MATCH(Q1410,'Returned order'!A:A,0))</f>
        <v>0</v>
      </c>
      <c r="S1410" s="22">
        <v>42120.0</v>
      </c>
      <c r="T1410" s="15"/>
      <c r="U1410" s="15"/>
      <c r="V1410" s="15"/>
    </row>
    <row r="1411">
      <c r="A1411" s="2">
        <v>2296.0</v>
      </c>
      <c r="B1411" s="1" t="s">
        <v>49</v>
      </c>
      <c r="C1411" s="2">
        <v>0.09</v>
      </c>
      <c r="D1411" s="2">
        <v>355.98</v>
      </c>
      <c r="E1411" s="2">
        <v>2498.0</v>
      </c>
      <c r="F1411" s="1" t="s">
        <v>1673</v>
      </c>
      <c r="G1411" s="1" t="s">
        <v>32</v>
      </c>
      <c r="H1411" s="1" t="s">
        <v>37</v>
      </c>
      <c r="I1411" s="1" t="s">
        <v>38</v>
      </c>
      <c r="J1411" s="1" t="s">
        <v>224</v>
      </c>
      <c r="K1411" s="19" t="s">
        <v>34</v>
      </c>
      <c r="L1411" s="20" t="s">
        <v>35</v>
      </c>
      <c r="M1411" s="21">
        <f t="shared" si="1"/>
        <v>3</v>
      </c>
      <c r="N1411" s="2">
        <v>1240.25</v>
      </c>
      <c r="O1411" s="2">
        <v>30.0</v>
      </c>
      <c r="P1411" s="2">
        <v>10554.63</v>
      </c>
      <c r="Q1411" s="2">
        <v>16547.0</v>
      </c>
      <c r="R1411" s="15" t="b">
        <f>ISNUMBER(MATCH(Q1411,'Returned order'!A:A,0))</f>
        <v>0</v>
      </c>
      <c r="S1411" s="22">
        <v>42053.0</v>
      </c>
      <c r="T1411" s="15"/>
      <c r="U1411" s="15"/>
      <c r="V1411" s="15"/>
    </row>
    <row r="1412">
      <c r="A1412" s="2">
        <v>2297.0</v>
      </c>
      <c r="B1412" s="1" t="s">
        <v>49</v>
      </c>
      <c r="C1412" s="2">
        <v>0.04</v>
      </c>
      <c r="D1412" s="2">
        <v>218.75</v>
      </c>
      <c r="E1412" s="2">
        <v>2498.0</v>
      </c>
      <c r="F1412" s="1" t="s">
        <v>1673</v>
      </c>
      <c r="G1412" s="1" t="s">
        <v>32</v>
      </c>
      <c r="H1412" s="1" t="s">
        <v>37</v>
      </c>
      <c r="I1412" s="1" t="s">
        <v>73</v>
      </c>
      <c r="J1412" s="1" t="s">
        <v>556</v>
      </c>
      <c r="K1412" s="19" t="s">
        <v>34</v>
      </c>
      <c r="L1412" s="20" t="s">
        <v>35</v>
      </c>
      <c r="M1412" s="21">
        <f t="shared" si="1"/>
        <v>3</v>
      </c>
      <c r="N1412" s="2">
        <v>-533.232</v>
      </c>
      <c r="O1412" s="2">
        <v>8.0</v>
      </c>
      <c r="P1412" s="2">
        <v>1749.64</v>
      </c>
      <c r="Q1412" s="2">
        <v>16547.0</v>
      </c>
      <c r="R1412" s="15" t="b">
        <f>ISNUMBER(MATCH(Q1412,'Returned order'!A:A,0))</f>
        <v>0</v>
      </c>
      <c r="S1412" s="22">
        <v>42053.0</v>
      </c>
      <c r="T1412" s="15"/>
      <c r="U1412" s="15"/>
      <c r="V1412" s="15"/>
    </row>
    <row r="1413">
      <c r="A1413" s="2">
        <v>7628.0</v>
      </c>
      <c r="B1413" s="1" t="s">
        <v>63</v>
      </c>
      <c r="C1413" s="2">
        <v>0.09</v>
      </c>
      <c r="D1413" s="2">
        <v>6.28</v>
      </c>
      <c r="E1413" s="2">
        <v>2498.0</v>
      </c>
      <c r="F1413" s="1" t="s">
        <v>1673</v>
      </c>
      <c r="G1413" s="1" t="s">
        <v>66</v>
      </c>
      <c r="H1413" s="1" t="s">
        <v>37</v>
      </c>
      <c r="I1413" s="1" t="s">
        <v>42</v>
      </c>
      <c r="J1413" s="1" t="s">
        <v>1244</v>
      </c>
      <c r="K1413" s="19" t="s">
        <v>34</v>
      </c>
      <c r="L1413" s="20" t="s">
        <v>27</v>
      </c>
      <c r="M1413" s="21">
        <f t="shared" si="1"/>
        <v>1</v>
      </c>
      <c r="N1413" s="2">
        <v>-61.59</v>
      </c>
      <c r="O1413" s="2">
        <v>56.0</v>
      </c>
      <c r="P1413" s="2">
        <v>355.4</v>
      </c>
      <c r="Q1413" s="2">
        <v>54567.0</v>
      </c>
      <c r="R1413" s="15" t="b">
        <f>ISNUMBER(MATCH(Q1413,'Returned order'!A:A,0))</f>
        <v>0</v>
      </c>
      <c r="S1413" s="22">
        <v>42037.0</v>
      </c>
      <c r="T1413" s="15"/>
      <c r="U1413" s="15"/>
      <c r="V1413" s="15"/>
    </row>
    <row r="1414">
      <c r="A1414" s="2">
        <v>2768.0</v>
      </c>
      <c r="B1414" s="1" t="s">
        <v>49</v>
      </c>
      <c r="C1414" s="2">
        <v>0.08</v>
      </c>
      <c r="D1414" s="2">
        <v>1.68</v>
      </c>
      <c r="E1414" s="2">
        <v>2498.0</v>
      </c>
      <c r="F1414" s="1" t="s">
        <v>1673</v>
      </c>
      <c r="G1414" s="1" t="s">
        <v>66</v>
      </c>
      <c r="H1414" s="1" t="s">
        <v>23</v>
      </c>
      <c r="I1414" s="1" t="s">
        <v>29</v>
      </c>
      <c r="J1414" s="1" t="s">
        <v>141</v>
      </c>
      <c r="K1414" s="19" t="s">
        <v>34</v>
      </c>
      <c r="L1414" s="20" t="s">
        <v>70</v>
      </c>
      <c r="M1414" s="21">
        <f t="shared" si="1"/>
        <v>4</v>
      </c>
      <c r="N1414" s="2">
        <v>-46.25</v>
      </c>
      <c r="O1414" s="2">
        <v>88.0</v>
      </c>
      <c r="P1414" s="2">
        <v>148.36</v>
      </c>
      <c r="Q1414" s="2">
        <v>20007.0</v>
      </c>
      <c r="R1414" s="15" t="b">
        <f>ISNUMBER(MATCH(Q1414,'Returned order'!A:A,0))</f>
        <v>0</v>
      </c>
      <c r="S1414" s="22">
        <v>42040.0</v>
      </c>
      <c r="T1414" s="15"/>
      <c r="U1414" s="15"/>
      <c r="V1414" s="15"/>
    </row>
    <row r="1415">
      <c r="A1415" s="2">
        <v>20296.0</v>
      </c>
      <c r="B1415" s="1" t="s">
        <v>49</v>
      </c>
      <c r="C1415" s="2">
        <v>0.09</v>
      </c>
      <c r="D1415" s="2">
        <v>355.98</v>
      </c>
      <c r="E1415" s="2">
        <v>2499.0</v>
      </c>
      <c r="F1415" s="1" t="s">
        <v>1674</v>
      </c>
      <c r="G1415" s="1" t="s">
        <v>32</v>
      </c>
      <c r="H1415" s="1" t="s">
        <v>37</v>
      </c>
      <c r="I1415" s="1" t="s">
        <v>38</v>
      </c>
      <c r="J1415" s="1" t="s">
        <v>224</v>
      </c>
      <c r="K1415" s="19" t="s">
        <v>68</v>
      </c>
      <c r="L1415" s="20" t="s">
        <v>35</v>
      </c>
      <c r="M1415" s="21">
        <f t="shared" si="1"/>
        <v>3</v>
      </c>
      <c r="N1415" s="2">
        <v>1240.25</v>
      </c>
      <c r="O1415" s="2">
        <v>8.0</v>
      </c>
      <c r="P1415" s="2">
        <v>2814.57</v>
      </c>
      <c r="Q1415" s="2">
        <v>88319.0</v>
      </c>
      <c r="R1415" s="15" t="b">
        <f>ISNUMBER(MATCH(Q1415,'Returned order'!A:A,0))</f>
        <v>0</v>
      </c>
      <c r="S1415" s="22">
        <v>42053.0</v>
      </c>
      <c r="T1415" s="15"/>
      <c r="U1415" s="15"/>
      <c r="V1415" s="15"/>
    </row>
    <row r="1416">
      <c r="A1416" s="2">
        <v>25628.0</v>
      </c>
      <c r="B1416" s="1" t="s">
        <v>63</v>
      </c>
      <c r="C1416" s="2">
        <v>0.09</v>
      </c>
      <c r="D1416" s="2">
        <v>6.28</v>
      </c>
      <c r="E1416" s="2">
        <v>2500.0</v>
      </c>
      <c r="F1416" s="1" t="s">
        <v>1675</v>
      </c>
      <c r="G1416" s="1" t="s">
        <v>66</v>
      </c>
      <c r="H1416" s="1" t="s">
        <v>37</v>
      </c>
      <c r="I1416" s="1" t="s">
        <v>42</v>
      </c>
      <c r="J1416" s="1" t="s">
        <v>1244</v>
      </c>
      <c r="K1416" s="19" t="s">
        <v>68</v>
      </c>
      <c r="L1416" s="20" t="s">
        <v>27</v>
      </c>
      <c r="M1416" s="21">
        <f t="shared" si="1"/>
        <v>1</v>
      </c>
      <c r="N1416" s="2">
        <v>-32.0268</v>
      </c>
      <c r="O1416" s="2">
        <v>14.0</v>
      </c>
      <c r="P1416" s="2">
        <v>88.85</v>
      </c>
      <c r="Q1416" s="2">
        <v>88320.0</v>
      </c>
      <c r="R1416" s="15" t="b">
        <f>ISNUMBER(MATCH(Q1416,'Returned order'!A:A,0))</f>
        <v>0</v>
      </c>
      <c r="S1416" s="22">
        <v>42037.0</v>
      </c>
      <c r="T1416" s="15"/>
      <c r="U1416" s="15"/>
      <c r="V1416" s="15"/>
    </row>
    <row r="1417">
      <c r="A1417" s="2">
        <v>24899.0</v>
      </c>
      <c r="B1417" s="1" t="s">
        <v>28</v>
      </c>
      <c r="C1417" s="2">
        <v>0.1</v>
      </c>
      <c r="D1417" s="2">
        <v>24.92</v>
      </c>
      <c r="E1417" s="2">
        <v>2502.0</v>
      </c>
      <c r="F1417" s="1" t="s">
        <v>1676</v>
      </c>
      <c r="G1417" s="1" t="s">
        <v>51</v>
      </c>
      <c r="H1417" s="1" t="s">
        <v>23</v>
      </c>
      <c r="I1417" s="1" t="s">
        <v>24</v>
      </c>
      <c r="J1417" s="1" t="s">
        <v>1411</v>
      </c>
      <c r="K1417" s="19" t="s">
        <v>68</v>
      </c>
      <c r="L1417" s="20" t="s">
        <v>70</v>
      </c>
      <c r="M1417" s="21">
        <f t="shared" si="1"/>
        <v>4</v>
      </c>
      <c r="N1417" s="2">
        <v>-45.816</v>
      </c>
      <c r="O1417" s="2">
        <v>3.0</v>
      </c>
      <c r="P1417" s="2">
        <v>70.82</v>
      </c>
      <c r="Q1417" s="2">
        <v>91310.0</v>
      </c>
      <c r="R1417" s="15" t="b">
        <f>ISNUMBER(MATCH(Q1417,'Returned order'!A:A,0))</f>
        <v>0</v>
      </c>
      <c r="S1417" s="22">
        <v>42082.0</v>
      </c>
      <c r="T1417" s="15"/>
      <c r="U1417" s="15"/>
      <c r="V1417" s="15"/>
    </row>
    <row r="1418">
      <c r="A1418" s="2">
        <v>24901.0</v>
      </c>
      <c r="B1418" s="1" t="s">
        <v>28</v>
      </c>
      <c r="C1418" s="2">
        <v>0.0</v>
      </c>
      <c r="D1418" s="2">
        <v>12.28</v>
      </c>
      <c r="E1418" s="2">
        <v>2502.0</v>
      </c>
      <c r="F1418" s="1" t="s">
        <v>1676</v>
      </c>
      <c r="G1418" s="1" t="s">
        <v>51</v>
      </c>
      <c r="H1418" s="1" t="s">
        <v>23</v>
      </c>
      <c r="I1418" s="1" t="s">
        <v>93</v>
      </c>
      <c r="J1418" s="1" t="s">
        <v>1174</v>
      </c>
      <c r="K1418" s="19" t="s">
        <v>68</v>
      </c>
      <c r="L1418" s="20" t="s">
        <v>70</v>
      </c>
      <c r="M1418" s="21">
        <f t="shared" si="1"/>
        <v>4</v>
      </c>
      <c r="N1418" s="2">
        <v>30.63</v>
      </c>
      <c r="O1418" s="2">
        <v>7.0</v>
      </c>
      <c r="P1418" s="2">
        <v>90.44</v>
      </c>
      <c r="Q1418" s="2">
        <v>91310.0</v>
      </c>
      <c r="R1418" s="15" t="b">
        <f>ISNUMBER(MATCH(Q1418,'Returned order'!A:A,0))</f>
        <v>0</v>
      </c>
      <c r="S1418" s="22">
        <v>42082.0</v>
      </c>
      <c r="T1418" s="15"/>
      <c r="U1418" s="15"/>
      <c r="V1418" s="15"/>
    </row>
    <row r="1419">
      <c r="A1419" s="2">
        <v>18219.0</v>
      </c>
      <c r="B1419" s="1" t="s">
        <v>63</v>
      </c>
      <c r="C1419" s="2">
        <v>0.02</v>
      </c>
      <c r="D1419" s="2">
        <v>6.48</v>
      </c>
      <c r="E1419" s="2">
        <v>2506.0</v>
      </c>
      <c r="F1419" s="1" t="s">
        <v>1677</v>
      </c>
      <c r="G1419" s="1" t="s">
        <v>51</v>
      </c>
      <c r="H1419" s="1" t="s">
        <v>23</v>
      </c>
      <c r="I1419" s="1" t="s">
        <v>93</v>
      </c>
      <c r="J1419" s="1" t="s">
        <v>1678</v>
      </c>
      <c r="K1419" s="19" t="s">
        <v>26</v>
      </c>
      <c r="L1419" s="20" t="s">
        <v>76</v>
      </c>
      <c r="M1419" s="21">
        <f t="shared" si="1"/>
        <v>5</v>
      </c>
      <c r="N1419" s="2">
        <v>-6.835</v>
      </c>
      <c r="O1419" s="2">
        <v>1.0</v>
      </c>
      <c r="P1419" s="2">
        <v>10.72</v>
      </c>
      <c r="Q1419" s="2">
        <v>87033.0</v>
      </c>
      <c r="R1419" s="15" t="b">
        <f>ISNUMBER(MATCH(Q1419,'Returned order'!A:A,0))</f>
        <v>0</v>
      </c>
      <c r="S1419" s="22">
        <v>42160.0</v>
      </c>
      <c r="T1419" s="15"/>
      <c r="U1419" s="15"/>
      <c r="V1419" s="15"/>
    </row>
    <row r="1420">
      <c r="A1420" s="2">
        <v>18217.0</v>
      </c>
      <c r="B1420" s="1" t="s">
        <v>63</v>
      </c>
      <c r="C1420" s="2">
        <v>0.06</v>
      </c>
      <c r="D1420" s="2">
        <v>699.99</v>
      </c>
      <c r="E1420" s="2">
        <v>2507.0</v>
      </c>
      <c r="F1420" s="1" t="s">
        <v>1679</v>
      </c>
      <c r="G1420" s="1" t="s">
        <v>51</v>
      </c>
      <c r="H1420" s="1" t="s">
        <v>46</v>
      </c>
      <c r="I1420" s="1" t="s">
        <v>138</v>
      </c>
      <c r="J1420" s="1" t="s">
        <v>511</v>
      </c>
      <c r="K1420" s="19" t="s">
        <v>26</v>
      </c>
      <c r="L1420" s="20" t="s">
        <v>76</v>
      </c>
      <c r="M1420" s="21">
        <f t="shared" si="1"/>
        <v>5</v>
      </c>
      <c r="N1420" s="2">
        <v>7024.2069</v>
      </c>
      <c r="O1420" s="2">
        <v>15.0</v>
      </c>
      <c r="P1420" s="2">
        <v>10180.01</v>
      </c>
      <c r="Q1420" s="2">
        <v>87033.0</v>
      </c>
      <c r="R1420" s="15" t="b">
        <f>ISNUMBER(MATCH(Q1420,'Returned order'!A:A,0))</f>
        <v>0</v>
      </c>
      <c r="S1420" s="22">
        <v>42160.0</v>
      </c>
      <c r="T1420" s="15"/>
      <c r="U1420" s="15"/>
      <c r="V1420" s="15"/>
    </row>
    <row r="1421">
      <c r="A1421" s="2">
        <v>23265.0</v>
      </c>
      <c r="B1421" s="1" t="s">
        <v>170</v>
      </c>
      <c r="C1421" s="2">
        <v>0.02</v>
      </c>
      <c r="D1421" s="2">
        <v>5.81</v>
      </c>
      <c r="E1421" s="2">
        <v>2508.0</v>
      </c>
      <c r="F1421" s="1" t="s">
        <v>1680</v>
      </c>
      <c r="G1421" s="1" t="s">
        <v>51</v>
      </c>
      <c r="H1421" s="1" t="s">
        <v>23</v>
      </c>
      <c r="I1421" s="1" t="s">
        <v>24</v>
      </c>
      <c r="J1421" s="1" t="s">
        <v>337</v>
      </c>
      <c r="K1421" s="19" t="s">
        <v>26</v>
      </c>
      <c r="L1421" s="20" t="s">
        <v>70</v>
      </c>
      <c r="M1421" s="21">
        <f t="shared" si="1"/>
        <v>4</v>
      </c>
      <c r="N1421" s="2">
        <v>-137.494</v>
      </c>
      <c r="O1421" s="2">
        <v>7.0</v>
      </c>
      <c r="P1421" s="2">
        <v>42.44</v>
      </c>
      <c r="Q1421" s="2">
        <v>87031.0</v>
      </c>
      <c r="R1421" s="15" t="b">
        <f>ISNUMBER(MATCH(Q1421,'Returned order'!A:A,0))</f>
        <v>0</v>
      </c>
      <c r="S1421" s="22">
        <v>42012.0</v>
      </c>
      <c r="T1421" s="15"/>
      <c r="U1421" s="15"/>
      <c r="V1421" s="15"/>
    </row>
    <row r="1422">
      <c r="A1422" s="2">
        <v>21918.0</v>
      </c>
      <c r="B1422" s="1" t="s">
        <v>63</v>
      </c>
      <c r="C1422" s="2">
        <v>0.05</v>
      </c>
      <c r="D1422" s="2">
        <v>30.98</v>
      </c>
      <c r="E1422" s="2">
        <v>2509.0</v>
      </c>
      <c r="F1422" s="1" t="s">
        <v>1681</v>
      </c>
      <c r="G1422" s="1" t="s">
        <v>51</v>
      </c>
      <c r="H1422" s="1" t="s">
        <v>23</v>
      </c>
      <c r="I1422" s="1" t="s">
        <v>93</v>
      </c>
      <c r="J1422" s="1" t="s">
        <v>205</v>
      </c>
      <c r="K1422" s="19" t="s">
        <v>26</v>
      </c>
      <c r="L1422" s="20" t="s">
        <v>57</v>
      </c>
      <c r="M1422" s="21">
        <f t="shared" si="1"/>
        <v>2</v>
      </c>
      <c r="N1422" s="2">
        <v>308.67</v>
      </c>
      <c r="O1422" s="2">
        <v>15.0</v>
      </c>
      <c r="P1422" s="2">
        <v>462.57</v>
      </c>
      <c r="Q1422" s="2">
        <v>87029.0</v>
      </c>
      <c r="R1422" s="15" t="b">
        <f>ISNUMBER(MATCH(Q1422,'Returned order'!A:A,0))</f>
        <v>0</v>
      </c>
      <c r="S1422" s="22">
        <v>42129.0</v>
      </c>
      <c r="T1422" s="15"/>
      <c r="U1422" s="15"/>
      <c r="V1422" s="15"/>
    </row>
    <row r="1423">
      <c r="A1423" s="2">
        <v>21102.0</v>
      </c>
      <c r="B1423" s="1" t="s">
        <v>49</v>
      </c>
      <c r="C1423" s="2">
        <v>0.04</v>
      </c>
      <c r="D1423" s="2">
        <v>6.48</v>
      </c>
      <c r="E1423" s="2">
        <v>2512.0</v>
      </c>
      <c r="F1423" s="1" t="s">
        <v>190</v>
      </c>
      <c r="G1423" s="1" t="s">
        <v>51</v>
      </c>
      <c r="H1423" s="1" t="s">
        <v>23</v>
      </c>
      <c r="I1423" s="1" t="s">
        <v>93</v>
      </c>
      <c r="J1423" s="1" t="s">
        <v>192</v>
      </c>
      <c r="K1423" s="19" t="s">
        <v>26</v>
      </c>
      <c r="L1423" s="20" t="s">
        <v>27</v>
      </c>
      <c r="M1423" s="21">
        <f t="shared" si="1"/>
        <v>1</v>
      </c>
      <c r="N1423" s="2">
        <v>-223.944</v>
      </c>
      <c r="O1423" s="2">
        <v>19.0</v>
      </c>
      <c r="P1423" s="2">
        <v>125.37</v>
      </c>
      <c r="Q1423" s="2">
        <v>87030.0</v>
      </c>
      <c r="R1423" s="15" t="b">
        <f>ISNUMBER(MATCH(Q1423,'Returned order'!A:A,0))</f>
        <v>0</v>
      </c>
      <c r="S1423" s="22">
        <v>42170.0</v>
      </c>
      <c r="T1423" s="15"/>
      <c r="U1423" s="15"/>
      <c r="V1423" s="15"/>
    </row>
    <row r="1424">
      <c r="A1424" s="2">
        <v>18220.0</v>
      </c>
      <c r="B1424" s="1" t="s">
        <v>63</v>
      </c>
      <c r="C1424" s="2">
        <v>0.02</v>
      </c>
      <c r="D1424" s="2">
        <v>17.15</v>
      </c>
      <c r="E1424" s="2">
        <v>2516.0</v>
      </c>
      <c r="F1424" s="1" t="s">
        <v>1682</v>
      </c>
      <c r="G1424" s="1" t="s">
        <v>51</v>
      </c>
      <c r="H1424" s="1" t="s">
        <v>23</v>
      </c>
      <c r="I1424" s="1" t="s">
        <v>120</v>
      </c>
      <c r="J1424" s="1" t="s">
        <v>520</v>
      </c>
      <c r="K1424" s="19" t="s">
        <v>26</v>
      </c>
      <c r="L1424" s="20" t="s">
        <v>76</v>
      </c>
      <c r="M1424" s="21">
        <f t="shared" si="1"/>
        <v>5</v>
      </c>
      <c r="N1424" s="2">
        <v>36.495</v>
      </c>
      <c r="O1424" s="2">
        <v>11.0</v>
      </c>
      <c r="P1424" s="2">
        <v>190.85</v>
      </c>
      <c r="Q1424" s="2">
        <v>87033.0</v>
      </c>
      <c r="R1424" s="15" t="b">
        <f>ISNUMBER(MATCH(Q1424,'Returned order'!A:A,0))</f>
        <v>0</v>
      </c>
      <c r="S1424" s="22">
        <v>42160.0</v>
      </c>
      <c r="T1424" s="15"/>
      <c r="U1424" s="15"/>
      <c r="V1424" s="15"/>
    </row>
    <row r="1425">
      <c r="A1425" s="2">
        <v>18221.0</v>
      </c>
      <c r="B1425" s="1" t="s">
        <v>63</v>
      </c>
      <c r="C1425" s="2">
        <v>0.07</v>
      </c>
      <c r="D1425" s="2">
        <v>30.98</v>
      </c>
      <c r="E1425" s="2">
        <v>2520.0</v>
      </c>
      <c r="F1425" s="1" t="s">
        <v>1683</v>
      </c>
      <c r="G1425" s="1" t="s">
        <v>51</v>
      </c>
      <c r="H1425" s="1" t="s">
        <v>23</v>
      </c>
      <c r="I1425" s="1" t="s">
        <v>93</v>
      </c>
      <c r="J1425" s="1" t="s">
        <v>1497</v>
      </c>
      <c r="K1425" s="19" t="s">
        <v>26</v>
      </c>
      <c r="L1425" s="20" t="s">
        <v>76</v>
      </c>
      <c r="M1425" s="21">
        <f t="shared" si="1"/>
        <v>5</v>
      </c>
      <c r="N1425" s="2">
        <v>255.7692</v>
      </c>
      <c r="O1425" s="2">
        <v>12.0</v>
      </c>
      <c r="P1425" s="2">
        <v>370.68</v>
      </c>
      <c r="Q1425" s="2">
        <v>87033.0</v>
      </c>
      <c r="R1425" s="15" t="b">
        <f>ISNUMBER(MATCH(Q1425,'Returned order'!A:A,0))</f>
        <v>0</v>
      </c>
      <c r="S1425" s="22">
        <v>42160.0</v>
      </c>
      <c r="T1425" s="15"/>
      <c r="U1425" s="15"/>
      <c r="V1425" s="15"/>
    </row>
    <row r="1426">
      <c r="A1426" s="2">
        <v>25463.0</v>
      </c>
      <c r="B1426" s="1" t="s">
        <v>63</v>
      </c>
      <c r="C1426" s="2">
        <v>0.0</v>
      </c>
      <c r="D1426" s="2">
        <v>175.99</v>
      </c>
      <c r="E1426" s="2">
        <v>2521.0</v>
      </c>
      <c r="F1426" s="1" t="s">
        <v>1684</v>
      </c>
      <c r="G1426" s="1" t="s">
        <v>51</v>
      </c>
      <c r="H1426" s="1" t="s">
        <v>46</v>
      </c>
      <c r="I1426" s="1" t="s">
        <v>85</v>
      </c>
      <c r="J1426" s="1">
        <v>5165.0</v>
      </c>
      <c r="K1426" s="19" t="s">
        <v>68</v>
      </c>
      <c r="L1426" s="20" t="s">
        <v>35</v>
      </c>
      <c r="M1426" s="21">
        <f t="shared" si="1"/>
        <v>3</v>
      </c>
      <c r="N1426" s="2">
        <v>1656.6555</v>
      </c>
      <c r="O1426" s="2">
        <v>15.0</v>
      </c>
      <c r="P1426" s="2">
        <v>2400.95</v>
      </c>
      <c r="Q1426" s="2">
        <v>87032.0</v>
      </c>
      <c r="R1426" s="15" t="b">
        <f>ISNUMBER(MATCH(Q1426,'Returned order'!A:A,0))</f>
        <v>0</v>
      </c>
      <c r="S1426" s="22">
        <v>42053.0</v>
      </c>
      <c r="T1426" s="15"/>
      <c r="U1426" s="15"/>
      <c r="V1426" s="15"/>
    </row>
    <row r="1427">
      <c r="A1427" s="2">
        <v>18218.0</v>
      </c>
      <c r="B1427" s="1" t="s">
        <v>63</v>
      </c>
      <c r="C1427" s="2">
        <v>0.04</v>
      </c>
      <c r="D1427" s="2">
        <v>1360.14</v>
      </c>
      <c r="E1427" s="2">
        <v>2522.0</v>
      </c>
      <c r="F1427" s="1" t="s">
        <v>1685</v>
      </c>
      <c r="G1427" s="1" t="s">
        <v>51</v>
      </c>
      <c r="H1427" s="1" t="s">
        <v>46</v>
      </c>
      <c r="I1427" s="1" t="s">
        <v>103</v>
      </c>
      <c r="J1427" s="1" t="s">
        <v>516</v>
      </c>
      <c r="K1427" s="19" t="s">
        <v>26</v>
      </c>
      <c r="L1427" s="20" t="s">
        <v>76</v>
      </c>
      <c r="M1427" s="21">
        <f t="shared" si="1"/>
        <v>5</v>
      </c>
      <c r="N1427" s="2">
        <v>2639.01</v>
      </c>
      <c r="O1427" s="2">
        <v>6.0</v>
      </c>
      <c r="P1427" s="2">
        <v>7303.05</v>
      </c>
      <c r="Q1427" s="2">
        <v>87033.0</v>
      </c>
      <c r="R1427" s="15" t="b">
        <f>ISNUMBER(MATCH(Q1427,'Returned order'!A:A,0))</f>
        <v>0</v>
      </c>
      <c r="S1427" s="22">
        <v>42160.0</v>
      </c>
      <c r="T1427" s="15"/>
      <c r="U1427" s="15"/>
      <c r="V1427" s="15"/>
    </row>
    <row r="1428">
      <c r="A1428" s="2">
        <v>18866.0</v>
      </c>
      <c r="B1428" s="1" t="s">
        <v>58</v>
      </c>
      <c r="C1428" s="2">
        <v>0.01</v>
      </c>
      <c r="D1428" s="2">
        <v>2.16</v>
      </c>
      <c r="E1428" s="2">
        <v>2526.0</v>
      </c>
      <c r="F1428" s="1" t="s">
        <v>1686</v>
      </c>
      <c r="G1428" s="1" t="s">
        <v>32</v>
      </c>
      <c r="H1428" s="1" t="s">
        <v>23</v>
      </c>
      <c r="I1428" s="1" t="s">
        <v>24</v>
      </c>
      <c r="J1428" s="1" t="s">
        <v>1148</v>
      </c>
      <c r="K1428" s="19" t="s">
        <v>229</v>
      </c>
      <c r="L1428" s="20" t="s">
        <v>53</v>
      </c>
      <c r="M1428" s="21">
        <f t="shared" si="1"/>
        <v>6</v>
      </c>
      <c r="N1428" s="2">
        <v>395.76</v>
      </c>
      <c r="O1428" s="2">
        <v>24.0</v>
      </c>
      <c r="P1428" s="2">
        <v>58.05</v>
      </c>
      <c r="Q1428" s="2">
        <v>87208.0</v>
      </c>
      <c r="R1428" s="15" t="b">
        <f>ISNUMBER(MATCH(Q1428,'Returned order'!A:A,0))</f>
        <v>0</v>
      </c>
      <c r="S1428" s="22">
        <v>42147.0</v>
      </c>
      <c r="T1428" s="15"/>
      <c r="U1428" s="15"/>
      <c r="V1428" s="15"/>
    </row>
    <row r="1429">
      <c r="A1429" s="2">
        <v>18867.0</v>
      </c>
      <c r="B1429" s="1" t="s">
        <v>58</v>
      </c>
      <c r="C1429" s="2">
        <v>0.07</v>
      </c>
      <c r="D1429" s="2">
        <v>21.38</v>
      </c>
      <c r="E1429" s="2">
        <v>2527.0</v>
      </c>
      <c r="F1429" s="1" t="s">
        <v>1687</v>
      </c>
      <c r="G1429" s="1" t="s">
        <v>32</v>
      </c>
      <c r="H1429" s="1" t="s">
        <v>23</v>
      </c>
      <c r="I1429" s="1" t="s">
        <v>29</v>
      </c>
      <c r="J1429" s="1" t="s">
        <v>1578</v>
      </c>
      <c r="K1429" s="19" t="s">
        <v>229</v>
      </c>
      <c r="L1429" s="20" t="s">
        <v>53</v>
      </c>
      <c r="M1429" s="21">
        <f t="shared" si="1"/>
        <v>6</v>
      </c>
      <c r="N1429" s="2">
        <v>-39.396</v>
      </c>
      <c r="O1429" s="2">
        <v>3.0</v>
      </c>
      <c r="P1429" s="2">
        <v>68.64</v>
      </c>
      <c r="Q1429" s="2">
        <v>87208.0</v>
      </c>
      <c r="R1429" s="15" t="b">
        <f>ISNUMBER(MATCH(Q1429,'Returned order'!A:A,0))</f>
        <v>0</v>
      </c>
      <c r="S1429" s="22">
        <v>42147.0</v>
      </c>
      <c r="T1429" s="15"/>
      <c r="U1429" s="15"/>
      <c r="V1429" s="15"/>
    </row>
    <row r="1430">
      <c r="A1430" s="2">
        <v>20254.0</v>
      </c>
      <c r="B1430" s="1" t="s">
        <v>28</v>
      </c>
      <c r="C1430" s="2">
        <v>0.04</v>
      </c>
      <c r="D1430" s="2">
        <v>40.98</v>
      </c>
      <c r="E1430" s="2">
        <v>2530.0</v>
      </c>
      <c r="F1430" s="1" t="s">
        <v>1688</v>
      </c>
      <c r="G1430" s="1" t="s">
        <v>66</v>
      </c>
      <c r="H1430" s="1" t="s">
        <v>46</v>
      </c>
      <c r="I1430" s="1" t="s">
        <v>47</v>
      </c>
      <c r="J1430" s="1" t="s">
        <v>968</v>
      </c>
      <c r="K1430" s="19" t="s">
        <v>34</v>
      </c>
      <c r="L1430" s="20" t="s">
        <v>61</v>
      </c>
      <c r="M1430" s="21">
        <f t="shared" si="1"/>
        <v>7</v>
      </c>
      <c r="N1430" s="2">
        <v>-89.5</v>
      </c>
      <c r="O1430" s="2">
        <v>7.0</v>
      </c>
      <c r="P1430" s="2">
        <v>277.07</v>
      </c>
      <c r="Q1430" s="2">
        <v>87451.0</v>
      </c>
      <c r="R1430" s="15" t="b">
        <f>ISNUMBER(MATCH(Q1430,'Returned order'!A:A,0))</f>
        <v>0</v>
      </c>
      <c r="S1430" s="22">
        <v>42092.0</v>
      </c>
      <c r="T1430" s="15"/>
      <c r="U1430" s="15"/>
      <c r="V1430" s="15"/>
    </row>
    <row r="1431">
      <c r="A1431" s="2">
        <v>23782.0</v>
      </c>
      <c r="B1431" s="1" t="s">
        <v>63</v>
      </c>
      <c r="C1431" s="2">
        <v>0.08</v>
      </c>
      <c r="D1431" s="2">
        <v>4.0</v>
      </c>
      <c r="E1431" s="2">
        <v>2531.0</v>
      </c>
      <c r="F1431" s="1" t="s">
        <v>1689</v>
      </c>
      <c r="G1431" s="1" t="s">
        <v>66</v>
      </c>
      <c r="H1431" s="1" t="s">
        <v>23</v>
      </c>
      <c r="I1431" s="1" t="s">
        <v>93</v>
      </c>
      <c r="J1431" s="1" t="s">
        <v>265</v>
      </c>
      <c r="K1431" s="19" t="s">
        <v>34</v>
      </c>
      <c r="L1431" s="20" t="s">
        <v>53</v>
      </c>
      <c r="M1431" s="21">
        <f t="shared" si="1"/>
        <v>6</v>
      </c>
      <c r="N1431" s="2">
        <v>28.4</v>
      </c>
      <c r="O1431" s="2">
        <v>14.0</v>
      </c>
      <c r="P1431" s="2">
        <v>51.99</v>
      </c>
      <c r="Q1431" s="2">
        <v>87452.0</v>
      </c>
      <c r="R1431" s="15" t="b">
        <f>ISNUMBER(MATCH(Q1431,'Returned order'!A:A,0))</f>
        <v>0</v>
      </c>
      <c r="S1431" s="22">
        <v>42126.0</v>
      </c>
      <c r="T1431" s="15"/>
      <c r="U1431" s="15"/>
      <c r="V1431" s="15"/>
    </row>
    <row r="1432">
      <c r="A1432" s="2">
        <v>20255.0</v>
      </c>
      <c r="B1432" s="1" t="s">
        <v>28</v>
      </c>
      <c r="C1432" s="2">
        <v>0.05</v>
      </c>
      <c r="D1432" s="2">
        <v>35.99</v>
      </c>
      <c r="E1432" s="2">
        <v>2534.0</v>
      </c>
      <c r="F1432" s="1" t="s">
        <v>1690</v>
      </c>
      <c r="G1432" s="1" t="s">
        <v>66</v>
      </c>
      <c r="H1432" s="1" t="s">
        <v>46</v>
      </c>
      <c r="I1432" s="1" t="s">
        <v>85</v>
      </c>
      <c r="J1432" s="1" t="s">
        <v>971</v>
      </c>
      <c r="K1432" s="19" t="s">
        <v>26</v>
      </c>
      <c r="L1432" s="20" t="s">
        <v>61</v>
      </c>
      <c r="M1432" s="21">
        <f t="shared" si="1"/>
        <v>7</v>
      </c>
      <c r="N1432" s="2">
        <v>103.2723</v>
      </c>
      <c r="O1432" s="2">
        <v>5.0</v>
      </c>
      <c r="P1432" s="2">
        <v>149.67</v>
      </c>
      <c r="Q1432" s="2">
        <v>87451.0</v>
      </c>
      <c r="R1432" s="15" t="b">
        <f>ISNUMBER(MATCH(Q1432,'Returned order'!A:A,0))</f>
        <v>0</v>
      </c>
      <c r="S1432" s="22">
        <v>42092.0</v>
      </c>
      <c r="T1432" s="15"/>
      <c r="U1432" s="15"/>
      <c r="V1432" s="15"/>
    </row>
    <row r="1433">
      <c r="A1433" s="2">
        <v>22839.0</v>
      </c>
      <c r="B1433" s="1" t="s">
        <v>49</v>
      </c>
      <c r="C1433" s="2">
        <v>0.08</v>
      </c>
      <c r="D1433" s="2">
        <v>12.53</v>
      </c>
      <c r="E1433" s="2">
        <v>2539.0</v>
      </c>
      <c r="F1433" s="1" t="s">
        <v>1691</v>
      </c>
      <c r="G1433" s="1" t="s">
        <v>51</v>
      </c>
      <c r="H1433" s="1" t="s">
        <v>23</v>
      </c>
      <c r="I1433" s="1" t="s">
        <v>130</v>
      </c>
      <c r="J1433" s="1" t="s">
        <v>1228</v>
      </c>
      <c r="K1433" s="19" t="s">
        <v>229</v>
      </c>
      <c r="L1433" s="20" t="s">
        <v>57</v>
      </c>
      <c r="M1433" s="21">
        <f t="shared" si="1"/>
        <v>2</v>
      </c>
      <c r="N1433" s="2">
        <v>215.718</v>
      </c>
      <c r="O1433" s="2">
        <v>5.0</v>
      </c>
      <c r="P1433" s="2">
        <v>61.1</v>
      </c>
      <c r="Q1433" s="2">
        <v>91017.0</v>
      </c>
      <c r="R1433" s="15" t="b">
        <f>ISNUMBER(MATCH(Q1433,'Returned order'!A:A,0))</f>
        <v>0</v>
      </c>
      <c r="S1433" s="22">
        <v>42101.0</v>
      </c>
      <c r="T1433" s="15"/>
      <c r="U1433" s="15"/>
      <c r="V1433" s="15"/>
    </row>
    <row r="1434">
      <c r="A1434" s="2">
        <v>22840.0</v>
      </c>
      <c r="B1434" s="1" t="s">
        <v>49</v>
      </c>
      <c r="C1434" s="2">
        <v>0.02</v>
      </c>
      <c r="D1434" s="2">
        <v>178.47</v>
      </c>
      <c r="E1434" s="2">
        <v>2540.0</v>
      </c>
      <c r="F1434" s="1" t="s">
        <v>1692</v>
      </c>
      <c r="G1434" s="1" t="s">
        <v>51</v>
      </c>
      <c r="H1434" s="1" t="s">
        <v>23</v>
      </c>
      <c r="I1434" s="1" t="s">
        <v>120</v>
      </c>
      <c r="J1434" s="1" t="s">
        <v>474</v>
      </c>
      <c r="K1434" s="19" t="s">
        <v>229</v>
      </c>
      <c r="L1434" s="20" t="s">
        <v>57</v>
      </c>
      <c r="M1434" s="21">
        <f t="shared" si="1"/>
        <v>2</v>
      </c>
      <c r="N1434" s="2">
        <v>106.9848</v>
      </c>
      <c r="O1434" s="2">
        <v>1.0</v>
      </c>
      <c r="P1434" s="2">
        <v>193.81</v>
      </c>
      <c r="Q1434" s="2">
        <v>91017.0</v>
      </c>
      <c r="R1434" s="15" t="b">
        <f>ISNUMBER(MATCH(Q1434,'Returned order'!A:A,0))</f>
        <v>0</v>
      </c>
      <c r="S1434" s="22">
        <v>42101.0</v>
      </c>
      <c r="T1434" s="15"/>
      <c r="U1434" s="15"/>
      <c r="V1434" s="15"/>
    </row>
    <row r="1435">
      <c r="A1435" s="2">
        <v>19031.0</v>
      </c>
      <c r="B1435" s="1" t="s">
        <v>63</v>
      </c>
      <c r="C1435" s="2">
        <v>0.05</v>
      </c>
      <c r="D1435" s="2">
        <v>15.68</v>
      </c>
      <c r="E1435" s="2">
        <v>2543.0</v>
      </c>
      <c r="F1435" s="1" t="s">
        <v>1693</v>
      </c>
      <c r="G1435" s="1" t="s">
        <v>66</v>
      </c>
      <c r="H1435" s="1" t="s">
        <v>37</v>
      </c>
      <c r="I1435" s="1" t="s">
        <v>42</v>
      </c>
      <c r="J1435" s="1" t="s">
        <v>1694</v>
      </c>
      <c r="K1435" s="19" t="s">
        <v>229</v>
      </c>
      <c r="L1435" s="20" t="s">
        <v>70</v>
      </c>
      <c r="M1435" s="21">
        <f t="shared" si="1"/>
        <v>4</v>
      </c>
      <c r="N1435" s="2">
        <v>3.54</v>
      </c>
      <c r="O1435" s="2">
        <v>17.0</v>
      </c>
      <c r="P1435" s="2">
        <v>257.48</v>
      </c>
      <c r="Q1435" s="2">
        <v>87917.0</v>
      </c>
      <c r="R1435" s="15" t="b">
        <f>ISNUMBER(MATCH(Q1435,'Returned order'!A:A,0))</f>
        <v>0</v>
      </c>
      <c r="S1435" s="22">
        <v>42166.0</v>
      </c>
      <c r="T1435" s="15"/>
      <c r="U1435" s="15"/>
      <c r="V1435" s="15"/>
    </row>
    <row r="1436">
      <c r="A1436" s="2">
        <v>19032.0</v>
      </c>
      <c r="B1436" s="1" t="s">
        <v>63</v>
      </c>
      <c r="C1436" s="2">
        <v>0.02</v>
      </c>
      <c r="D1436" s="2">
        <v>195.99</v>
      </c>
      <c r="E1436" s="2">
        <v>2543.0</v>
      </c>
      <c r="F1436" s="1" t="s">
        <v>1693</v>
      </c>
      <c r="G1436" s="1" t="s">
        <v>66</v>
      </c>
      <c r="H1436" s="1" t="s">
        <v>46</v>
      </c>
      <c r="I1436" s="1" t="s">
        <v>85</v>
      </c>
      <c r="J1436" s="1" t="s">
        <v>1591</v>
      </c>
      <c r="K1436" s="19" t="s">
        <v>229</v>
      </c>
      <c r="L1436" s="20" t="s">
        <v>70</v>
      </c>
      <c r="M1436" s="21">
        <f t="shared" si="1"/>
        <v>4</v>
      </c>
      <c r="N1436" s="2">
        <v>40.284</v>
      </c>
      <c r="O1436" s="2">
        <v>19.0</v>
      </c>
      <c r="P1436" s="2">
        <v>3194.99</v>
      </c>
      <c r="Q1436" s="2">
        <v>87917.0</v>
      </c>
      <c r="R1436" s="15" t="b">
        <f>ISNUMBER(MATCH(Q1436,'Returned order'!A:A,0))</f>
        <v>0</v>
      </c>
      <c r="S1436" s="22">
        <v>42166.0</v>
      </c>
      <c r="T1436" s="15"/>
      <c r="U1436" s="15"/>
      <c r="V1436" s="15"/>
    </row>
    <row r="1437">
      <c r="A1437" s="2">
        <v>19902.0</v>
      </c>
      <c r="B1437" s="1" t="s">
        <v>63</v>
      </c>
      <c r="C1437" s="2">
        <v>0.01</v>
      </c>
      <c r="D1437" s="2">
        <v>99.99</v>
      </c>
      <c r="E1437" s="2">
        <v>2545.0</v>
      </c>
      <c r="F1437" s="1" t="s">
        <v>1695</v>
      </c>
      <c r="G1437" s="1" t="s">
        <v>51</v>
      </c>
      <c r="H1437" s="1" t="s">
        <v>46</v>
      </c>
      <c r="I1437" s="1" t="s">
        <v>103</v>
      </c>
      <c r="J1437" s="1" t="s">
        <v>191</v>
      </c>
      <c r="K1437" s="19" t="s">
        <v>229</v>
      </c>
      <c r="L1437" s="20" t="s">
        <v>57</v>
      </c>
      <c r="M1437" s="21">
        <f t="shared" si="1"/>
        <v>2</v>
      </c>
      <c r="N1437" s="2">
        <v>90.024</v>
      </c>
      <c r="O1437" s="2">
        <v>2.0</v>
      </c>
      <c r="P1437" s="2">
        <v>202.98</v>
      </c>
      <c r="Q1437" s="2">
        <v>87915.0</v>
      </c>
      <c r="R1437" s="15" t="b">
        <f>ISNUMBER(MATCH(Q1437,'Returned order'!A:A,0))</f>
        <v>0</v>
      </c>
      <c r="S1437" s="22">
        <v>42073.0</v>
      </c>
      <c r="T1437" s="15"/>
      <c r="U1437" s="15"/>
      <c r="V1437" s="15"/>
    </row>
    <row r="1438">
      <c r="A1438" s="2">
        <v>25460.0</v>
      </c>
      <c r="B1438" s="1" t="s">
        <v>170</v>
      </c>
      <c r="C1438" s="2">
        <v>0.07</v>
      </c>
      <c r="D1438" s="2">
        <v>6.48</v>
      </c>
      <c r="E1438" s="2">
        <v>2547.0</v>
      </c>
      <c r="F1438" s="1" t="s">
        <v>1696</v>
      </c>
      <c r="G1438" s="1" t="s">
        <v>66</v>
      </c>
      <c r="H1438" s="1" t="s">
        <v>23</v>
      </c>
      <c r="I1438" s="1" t="s">
        <v>93</v>
      </c>
      <c r="J1438" s="1" t="s">
        <v>192</v>
      </c>
      <c r="K1438" s="19" t="s">
        <v>229</v>
      </c>
      <c r="L1438" s="20" t="s">
        <v>61</v>
      </c>
      <c r="M1438" s="21">
        <f t="shared" si="1"/>
        <v>7</v>
      </c>
      <c r="N1438" s="2">
        <v>2.232</v>
      </c>
      <c r="O1438" s="2">
        <v>1.0</v>
      </c>
      <c r="P1438" s="2">
        <v>10.86</v>
      </c>
      <c r="Q1438" s="2">
        <v>87916.0</v>
      </c>
      <c r="R1438" s="15" t="b">
        <f>ISNUMBER(MATCH(Q1438,'Returned order'!A:A,0))</f>
        <v>0</v>
      </c>
      <c r="S1438" s="22">
        <v>42113.0</v>
      </c>
      <c r="T1438" s="15"/>
      <c r="U1438" s="15"/>
      <c r="V1438" s="15"/>
    </row>
    <row r="1439">
      <c r="A1439" s="2">
        <v>6525.0</v>
      </c>
      <c r="B1439" s="1" t="s">
        <v>170</v>
      </c>
      <c r="C1439" s="2">
        <v>0.0</v>
      </c>
      <c r="D1439" s="2">
        <v>35.99</v>
      </c>
      <c r="E1439" s="2">
        <v>2548.0</v>
      </c>
      <c r="F1439" s="1" t="s">
        <v>1697</v>
      </c>
      <c r="G1439" s="1" t="s">
        <v>66</v>
      </c>
      <c r="H1439" s="1" t="s">
        <v>46</v>
      </c>
      <c r="I1439" s="1" t="s">
        <v>85</v>
      </c>
      <c r="J1439" s="1" t="s">
        <v>1698</v>
      </c>
      <c r="K1439" s="19" t="s">
        <v>34</v>
      </c>
      <c r="L1439" s="20" t="s">
        <v>53</v>
      </c>
      <c r="M1439" s="21">
        <f t="shared" si="1"/>
        <v>6</v>
      </c>
      <c r="N1439" s="2">
        <v>840.051</v>
      </c>
      <c r="O1439" s="2">
        <v>46.0</v>
      </c>
      <c r="P1439" s="2">
        <v>1477.57</v>
      </c>
      <c r="Q1439" s="2">
        <v>46436.0</v>
      </c>
      <c r="R1439" s="15" t="b">
        <f>ISNUMBER(MATCH(Q1439,'Returned order'!A:A,0))</f>
        <v>0</v>
      </c>
      <c r="S1439" s="22">
        <v>42098.0</v>
      </c>
      <c r="T1439" s="15"/>
      <c r="U1439" s="15"/>
      <c r="V1439" s="15"/>
    </row>
    <row r="1440">
      <c r="A1440" s="2">
        <v>5777.0</v>
      </c>
      <c r="B1440" s="1" t="s">
        <v>170</v>
      </c>
      <c r="C1440" s="2">
        <v>0.05</v>
      </c>
      <c r="D1440" s="2">
        <v>30.98</v>
      </c>
      <c r="E1440" s="2">
        <v>2548.0</v>
      </c>
      <c r="F1440" s="1" t="s">
        <v>1697</v>
      </c>
      <c r="G1440" s="1" t="s">
        <v>66</v>
      </c>
      <c r="H1440" s="1" t="s">
        <v>23</v>
      </c>
      <c r="I1440" s="1" t="s">
        <v>93</v>
      </c>
      <c r="J1440" s="1" t="s">
        <v>205</v>
      </c>
      <c r="K1440" s="19" t="s">
        <v>34</v>
      </c>
      <c r="L1440" s="20" t="s">
        <v>57</v>
      </c>
      <c r="M1440" s="21">
        <f t="shared" si="1"/>
        <v>2</v>
      </c>
      <c r="N1440" s="2">
        <v>61.47</v>
      </c>
      <c r="O1440" s="2">
        <v>12.0</v>
      </c>
      <c r="P1440" s="2">
        <v>382.29</v>
      </c>
      <c r="Q1440" s="2">
        <v>40997.0</v>
      </c>
      <c r="R1440" s="15" t="b">
        <f>ISNUMBER(MATCH(Q1440,'Returned order'!A:A,0))</f>
        <v>0</v>
      </c>
      <c r="S1440" s="22">
        <v>42115.0</v>
      </c>
      <c r="T1440" s="15"/>
      <c r="U1440" s="15"/>
      <c r="V1440" s="15"/>
    </row>
    <row r="1441">
      <c r="A1441" s="2">
        <v>5778.0</v>
      </c>
      <c r="B1441" s="1" t="s">
        <v>170</v>
      </c>
      <c r="C1441" s="2">
        <v>0.05</v>
      </c>
      <c r="D1441" s="2">
        <v>22.99</v>
      </c>
      <c r="E1441" s="2">
        <v>2548.0</v>
      </c>
      <c r="F1441" s="1" t="s">
        <v>1697</v>
      </c>
      <c r="G1441" s="1" t="s">
        <v>66</v>
      </c>
      <c r="H1441" s="1" t="s">
        <v>23</v>
      </c>
      <c r="I1441" s="1" t="s">
        <v>29</v>
      </c>
      <c r="J1441" s="1" t="s">
        <v>1699</v>
      </c>
      <c r="K1441" s="19" t="s">
        <v>34</v>
      </c>
      <c r="L1441" s="20" t="s">
        <v>57</v>
      </c>
      <c r="M1441" s="21">
        <f t="shared" si="1"/>
        <v>2</v>
      </c>
      <c r="N1441" s="2">
        <v>18.27</v>
      </c>
      <c r="O1441" s="2">
        <v>37.0</v>
      </c>
      <c r="P1441" s="2">
        <v>881.74</v>
      </c>
      <c r="Q1441" s="2">
        <v>40997.0</v>
      </c>
      <c r="R1441" s="15" t="b">
        <f>ISNUMBER(MATCH(Q1441,'Returned order'!A:A,0))</f>
        <v>0</v>
      </c>
      <c r="S1441" s="22">
        <v>42115.0</v>
      </c>
      <c r="T1441" s="15"/>
      <c r="U1441" s="15"/>
      <c r="V1441" s="15"/>
    </row>
    <row r="1442">
      <c r="A1442" s="2">
        <v>5780.0</v>
      </c>
      <c r="B1442" s="1" t="s">
        <v>170</v>
      </c>
      <c r="C1442" s="2">
        <v>0.04</v>
      </c>
      <c r="D1442" s="2">
        <v>212.6</v>
      </c>
      <c r="E1442" s="2">
        <v>2548.0</v>
      </c>
      <c r="F1442" s="1" t="s">
        <v>1697</v>
      </c>
      <c r="G1442" s="1" t="s">
        <v>66</v>
      </c>
      <c r="H1442" s="1" t="s">
        <v>37</v>
      </c>
      <c r="I1442" s="1" t="s">
        <v>73</v>
      </c>
      <c r="J1442" s="1" t="s">
        <v>1021</v>
      </c>
      <c r="K1442" s="19" t="s">
        <v>34</v>
      </c>
      <c r="L1442" s="20" t="s">
        <v>57</v>
      </c>
      <c r="M1442" s="21">
        <f t="shared" si="1"/>
        <v>2</v>
      </c>
      <c r="N1442" s="2">
        <v>-513.79042</v>
      </c>
      <c r="O1442" s="2">
        <v>33.0</v>
      </c>
      <c r="P1442" s="2">
        <v>7384.18</v>
      </c>
      <c r="Q1442" s="2">
        <v>40997.0</v>
      </c>
      <c r="R1442" s="15" t="b">
        <f>ISNUMBER(MATCH(Q1442,'Returned order'!A:A,0))</f>
        <v>0</v>
      </c>
      <c r="S1442" s="22">
        <v>42115.0</v>
      </c>
      <c r="T1442" s="15"/>
      <c r="U1442" s="15"/>
      <c r="V1442" s="15"/>
    </row>
    <row r="1443">
      <c r="A1443" s="2">
        <v>4204.0</v>
      </c>
      <c r="B1443" s="1" t="s">
        <v>49</v>
      </c>
      <c r="C1443" s="2">
        <v>0.09</v>
      </c>
      <c r="D1443" s="2">
        <v>5.98</v>
      </c>
      <c r="E1443" s="2">
        <v>2548.0</v>
      </c>
      <c r="F1443" s="1" t="s">
        <v>1697</v>
      </c>
      <c r="G1443" s="1" t="s">
        <v>66</v>
      </c>
      <c r="H1443" s="1" t="s">
        <v>23</v>
      </c>
      <c r="I1443" s="1" t="s">
        <v>29</v>
      </c>
      <c r="J1443" s="1" t="s">
        <v>1700</v>
      </c>
      <c r="K1443" s="19" t="s">
        <v>34</v>
      </c>
      <c r="L1443" s="20" t="s">
        <v>70</v>
      </c>
      <c r="M1443" s="21">
        <f t="shared" si="1"/>
        <v>4</v>
      </c>
      <c r="N1443" s="2">
        <v>23.87</v>
      </c>
      <c r="O1443" s="2">
        <v>81.0</v>
      </c>
      <c r="P1443" s="2">
        <v>448.26</v>
      </c>
      <c r="Q1443" s="2">
        <v>29889.0</v>
      </c>
      <c r="R1443" s="15" t="b">
        <f>ISNUMBER(MATCH(Q1443,'Returned order'!A:A,0))</f>
        <v>0</v>
      </c>
      <c r="S1443" s="22">
        <v>42159.0</v>
      </c>
      <c r="T1443" s="15"/>
      <c r="U1443" s="15"/>
      <c r="V1443" s="15"/>
    </row>
    <row r="1444">
      <c r="A1444" s="2">
        <v>23777.0</v>
      </c>
      <c r="B1444" s="1" t="s">
        <v>170</v>
      </c>
      <c r="C1444" s="2">
        <v>0.05</v>
      </c>
      <c r="D1444" s="2">
        <v>30.98</v>
      </c>
      <c r="E1444" s="2">
        <v>2549.0</v>
      </c>
      <c r="F1444" s="1" t="s">
        <v>1701</v>
      </c>
      <c r="G1444" s="1" t="s">
        <v>66</v>
      </c>
      <c r="H1444" s="1" t="s">
        <v>23</v>
      </c>
      <c r="I1444" s="1" t="s">
        <v>93</v>
      </c>
      <c r="J1444" s="1" t="s">
        <v>205</v>
      </c>
      <c r="K1444" s="19" t="s">
        <v>26</v>
      </c>
      <c r="L1444" s="20" t="s">
        <v>57</v>
      </c>
      <c r="M1444" s="21">
        <f t="shared" si="1"/>
        <v>2</v>
      </c>
      <c r="N1444" s="2">
        <v>61.47</v>
      </c>
      <c r="O1444" s="2">
        <v>3.0</v>
      </c>
      <c r="P1444" s="2">
        <v>95.57</v>
      </c>
      <c r="Q1444" s="2">
        <v>88657.0</v>
      </c>
      <c r="R1444" s="15" t="b">
        <f>ISNUMBER(MATCH(Q1444,'Returned order'!A:A,0))</f>
        <v>0</v>
      </c>
      <c r="S1444" s="22">
        <v>42115.0</v>
      </c>
      <c r="T1444" s="15"/>
      <c r="U1444" s="15"/>
      <c r="V1444" s="15"/>
    </row>
    <row r="1445">
      <c r="A1445" s="2">
        <v>23778.0</v>
      </c>
      <c r="B1445" s="1" t="s">
        <v>170</v>
      </c>
      <c r="C1445" s="2">
        <v>0.05</v>
      </c>
      <c r="D1445" s="2">
        <v>22.99</v>
      </c>
      <c r="E1445" s="2">
        <v>2549.0</v>
      </c>
      <c r="F1445" s="1" t="s">
        <v>1701</v>
      </c>
      <c r="G1445" s="1" t="s">
        <v>66</v>
      </c>
      <c r="H1445" s="1" t="s">
        <v>23</v>
      </c>
      <c r="I1445" s="1" t="s">
        <v>29</v>
      </c>
      <c r="J1445" s="1" t="s">
        <v>1699</v>
      </c>
      <c r="K1445" s="19" t="s">
        <v>26</v>
      </c>
      <c r="L1445" s="20" t="s">
        <v>57</v>
      </c>
      <c r="M1445" s="21">
        <f t="shared" si="1"/>
        <v>2</v>
      </c>
      <c r="N1445" s="2">
        <v>18.27</v>
      </c>
      <c r="O1445" s="2">
        <v>9.0</v>
      </c>
      <c r="P1445" s="2">
        <v>214.48</v>
      </c>
      <c r="Q1445" s="2">
        <v>88657.0</v>
      </c>
      <c r="R1445" s="15" t="b">
        <f>ISNUMBER(MATCH(Q1445,'Returned order'!A:A,0))</f>
        <v>0</v>
      </c>
      <c r="S1445" s="22">
        <v>42115.0</v>
      </c>
      <c r="T1445" s="15"/>
      <c r="U1445" s="15"/>
      <c r="V1445" s="15"/>
    </row>
    <row r="1446">
      <c r="A1446" s="2">
        <v>23780.0</v>
      </c>
      <c r="B1446" s="1" t="s">
        <v>170</v>
      </c>
      <c r="C1446" s="2">
        <v>0.04</v>
      </c>
      <c r="D1446" s="2">
        <v>212.6</v>
      </c>
      <c r="E1446" s="2">
        <v>2549.0</v>
      </c>
      <c r="F1446" s="1" t="s">
        <v>1701</v>
      </c>
      <c r="G1446" s="1" t="s">
        <v>66</v>
      </c>
      <c r="H1446" s="1" t="s">
        <v>37</v>
      </c>
      <c r="I1446" s="1" t="s">
        <v>73</v>
      </c>
      <c r="J1446" s="1" t="s">
        <v>1021</v>
      </c>
      <c r="K1446" s="19" t="s">
        <v>26</v>
      </c>
      <c r="L1446" s="20" t="s">
        <v>57</v>
      </c>
      <c r="M1446" s="21">
        <f t="shared" si="1"/>
        <v>2</v>
      </c>
      <c r="N1446" s="2">
        <v>-513.79042</v>
      </c>
      <c r="O1446" s="2">
        <v>8.0</v>
      </c>
      <c r="P1446" s="2">
        <v>1790.1</v>
      </c>
      <c r="Q1446" s="2">
        <v>88657.0</v>
      </c>
      <c r="R1446" s="15" t="b">
        <f>ISNUMBER(MATCH(Q1446,'Returned order'!A:A,0))</f>
        <v>0</v>
      </c>
      <c r="S1446" s="22">
        <v>42115.0</v>
      </c>
      <c r="T1446" s="15"/>
      <c r="U1446" s="15"/>
      <c r="V1446" s="15"/>
    </row>
    <row r="1447">
      <c r="A1447" s="2">
        <v>22204.0</v>
      </c>
      <c r="B1447" s="1" t="s">
        <v>49</v>
      </c>
      <c r="C1447" s="2">
        <v>0.09</v>
      </c>
      <c r="D1447" s="2">
        <v>5.98</v>
      </c>
      <c r="E1447" s="2">
        <v>2549.0</v>
      </c>
      <c r="F1447" s="1" t="s">
        <v>1701</v>
      </c>
      <c r="G1447" s="1" t="s">
        <v>66</v>
      </c>
      <c r="H1447" s="1" t="s">
        <v>23</v>
      </c>
      <c r="I1447" s="1" t="s">
        <v>29</v>
      </c>
      <c r="J1447" s="1" t="s">
        <v>1700</v>
      </c>
      <c r="K1447" s="19" t="s">
        <v>26</v>
      </c>
      <c r="L1447" s="20" t="s">
        <v>70</v>
      </c>
      <c r="M1447" s="21">
        <f t="shared" si="1"/>
        <v>4</v>
      </c>
      <c r="N1447" s="2">
        <v>35.805</v>
      </c>
      <c r="O1447" s="2">
        <v>20.0</v>
      </c>
      <c r="P1447" s="2">
        <v>110.68</v>
      </c>
      <c r="Q1447" s="2">
        <v>88658.0</v>
      </c>
      <c r="R1447" s="15" t="b">
        <f>ISNUMBER(MATCH(Q1447,'Returned order'!A:A,0))</f>
        <v>0</v>
      </c>
      <c r="S1447" s="22">
        <v>42159.0</v>
      </c>
      <c r="T1447" s="15"/>
      <c r="U1447" s="15"/>
      <c r="V1447" s="15"/>
    </row>
    <row r="1448">
      <c r="A1448" s="2">
        <v>24525.0</v>
      </c>
      <c r="B1448" s="1" t="s">
        <v>170</v>
      </c>
      <c r="C1448" s="2">
        <v>0.0</v>
      </c>
      <c r="D1448" s="2">
        <v>35.99</v>
      </c>
      <c r="E1448" s="2">
        <v>2551.0</v>
      </c>
      <c r="F1448" s="1" t="s">
        <v>1702</v>
      </c>
      <c r="G1448" s="1" t="s">
        <v>66</v>
      </c>
      <c r="H1448" s="1" t="s">
        <v>46</v>
      </c>
      <c r="I1448" s="1" t="s">
        <v>85</v>
      </c>
      <c r="J1448" s="1" t="s">
        <v>1698</v>
      </c>
      <c r="K1448" s="19" t="s">
        <v>26</v>
      </c>
      <c r="L1448" s="20" t="s">
        <v>53</v>
      </c>
      <c r="M1448" s="21">
        <f t="shared" si="1"/>
        <v>6</v>
      </c>
      <c r="N1448" s="2">
        <v>265.9605</v>
      </c>
      <c r="O1448" s="2">
        <v>12.0</v>
      </c>
      <c r="P1448" s="2">
        <v>385.45</v>
      </c>
      <c r="Q1448" s="2">
        <v>88656.0</v>
      </c>
      <c r="R1448" s="15" t="b">
        <f>ISNUMBER(MATCH(Q1448,'Returned order'!A:A,0))</f>
        <v>0</v>
      </c>
      <c r="S1448" s="22">
        <v>42098.0</v>
      </c>
      <c r="T1448" s="15"/>
      <c r="U1448" s="15"/>
      <c r="V1448" s="15"/>
    </row>
    <row r="1449">
      <c r="A1449" s="2">
        <v>18130.0</v>
      </c>
      <c r="B1449" s="1" t="s">
        <v>63</v>
      </c>
      <c r="C1449" s="2">
        <v>0.03</v>
      </c>
      <c r="D1449" s="2">
        <v>12.53</v>
      </c>
      <c r="E1449" s="2">
        <v>2553.0</v>
      </c>
      <c r="F1449" s="1" t="s">
        <v>1703</v>
      </c>
      <c r="G1449" s="1" t="s">
        <v>51</v>
      </c>
      <c r="H1449" s="1" t="s">
        <v>23</v>
      </c>
      <c r="I1449" s="1" t="s">
        <v>24</v>
      </c>
      <c r="J1449" s="1" t="s">
        <v>1704</v>
      </c>
      <c r="K1449" s="19" t="s">
        <v>68</v>
      </c>
      <c r="L1449" s="20" t="s">
        <v>70</v>
      </c>
      <c r="M1449" s="21">
        <f t="shared" si="1"/>
        <v>4</v>
      </c>
      <c r="N1449" s="2">
        <v>-20.3205</v>
      </c>
      <c r="O1449" s="2">
        <v>1.0</v>
      </c>
      <c r="P1449" s="2">
        <v>19.32</v>
      </c>
      <c r="Q1449" s="2">
        <v>86528.0</v>
      </c>
      <c r="R1449" s="15" t="b">
        <f>ISNUMBER(MATCH(Q1449,'Returned order'!A:A,0))</f>
        <v>0</v>
      </c>
      <c r="S1449" s="22">
        <v>42047.0</v>
      </c>
      <c r="T1449" s="15"/>
      <c r="U1449" s="15"/>
      <c r="V1449" s="15"/>
    </row>
    <row r="1450">
      <c r="A1450" s="2">
        <v>23666.0</v>
      </c>
      <c r="B1450" s="1" t="s">
        <v>170</v>
      </c>
      <c r="C1450" s="2">
        <v>0.1</v>
      </c>
      <c r="D1450" s="2">
        <v>2.6</v>
      </c>
      <c r="E1450" s="2">
        <v>2555.0</v>
      </c>
      <c r="F1450" s="1" t="s">
        <v>1705</v>
      </c>
      <c r="G1450" s="1" t="s">
        <v>51</v>
      </c>
      <c r="H1450" s="1" t="s">
        <v>23</v>
      </c>
      <c r="I1450" s="1" t="s">
        <v>29</v>
      </c>
      <c r="J1450" s="1" t="s">
        <v>806</v>
      </c>
      <c r="K1450" s="19" t="s">
        <v>68</v>
      </c>
      <c r="L1450" s="20" t="s">
        <v>76</v>
      </c>
      <c r="M1450" s="21">
        <f t="shared" si="1"/>
        <v>5</v>
      </c>
      <c r="N1450" s="2">
        <v>-88.04</v>
      </c>
      <c r="O1450" s="2">
        <v>12.0</v>
      </c>
      <c r="P1450" s="2">
        <v>30.1</v>
      </c>
      <c r="Q1450" s="2">
        <v>86527.0</v>
      </c>
      <c r="R1450" s="15" t="b">
        <f>ISNUMBER(MATCH(Q1450,'Returned order'!A:A,0))</f>
        <v>0</v>
      </c>
      <c r="S1450" s="22">
        <v>42013.0</v>
      </c>
      <c r="T1450" s="15"/>
      <c r="U1450" s="15"/>
      <c r="V1450" s="15"/>
    </row>
    <row r="1451">
      <c r="A1451" s="2">
        <v>23583.0</v>
      </c>
      <c r="B1451" s="1" t="s">
        <v>58</v>
      </c>
      <c r="C1451" s="2">
        <v>0.0</v>
      </c>
      <c r="D1451" s="2">
        <v>12.97</v>
      </c>
      <c r="E1451" s="2">
        <v>2555.0</v>
      </c>
      <c r="F1451" s="1" t="s">
        <v>1705</v>
      </c>
      <c r="G1451" s="1" t="s">
        <v>51</v>
      </c>
      <c r="H1451" s="1" t="s">
        <v>23</v>
      </c>
      <c r="I1451" s="1" t="s">
        <v>24</v>
      </c>
      <c r="J1451" s="1" t="s">
        <v>1082</v>
      </c>
      <c r="K1451" s="19" t="s">
        <v>68</v>
      </c>
      <c r="L1451" s="20" t="s">
        <v>27</v>
      </c>
      <c r="M1451" s="21">
        <f t="shared" si="1"/>
        <v>1</v>
      </c>
      <c r="N1451" s="2">
        <v>180.2349</v>
      </c>
      <c r="O1451" s="2">
        <v>19.0</v>
      </c>
      <c r="P1451" s="2">
        <v>261.21</v>
      </c>
      <c r="Q1451" s="2">
        <v>86529.0</v>
      </c>
      <c r="R1451" s="15" t="b">
        <f>ISNUMBER(MATCH(Q1451,'Returned order'!A:A,0))</f>
        <v>0</v>
      </c>
      <c r="S1451" s="22">
        <v>42037.0</v>
      </c>
      <c r="T1451" s="15"/>
      <c r="U1451" s="15"/>
      <c r="V1451" s="15"/>
    </row>
    <row r="1452">
      <c r="A1452" s="2">
        <v>23584.0</v>
      </c>
      <c r="B1452" s="1" t="s">
        <v>58</v>
      </c>
      <c r="C1452" s="2">
        <v>0.06</v>
      </c>
      <c r="D1452" s="2">
        <v>4.91</v>
      </c>
      <c r="E1452" s="2">
        <v>2555.0</v>
      </c>
      <c r="F1452" s="1" t="s">
        <v>1705</v>
      </c>
      <c r="G1452" s="1" t="s">
        <v>51</v>
      </c>
      <c r="H1452" s="1" t="s">
        <v>23</v>
      </c>
      <c r="I1452" s="1" t="s">
        <v>130</v>
      </c>
      <c r="J1452" s="1" t="s">
        <v>1165</v>
      </c>
      <c r="K1452" s="19" t="s">
        <v>68</v>
      </c>
      <c r="L1452" s="20" t="s">
        <v>27</v>
      </c>
      <c r="M1452" s="21">
        <f t="shared" si="1"/>
        <v>1</v>
      </c>
      <c r="N1452" s="2">
        <v>29.5251</v>
      </c>
      <c r="O1452" s="2">
        <v>9.0</v>
      </c>
      <c r="P1452" s="2">
        <v>42.79</v>
      </c>
      <c r="Q1452" s="2">
        <v>86529.0</v>
      </c>
      <c r="R1452" s="15" t="b">
        <f>ISNUMBER(MATCH(Q1452,'Returned order'!A:A,0))</f>
        <v>0</v>
      </c>
      <c r="S1452" s="22">
        <v>42037.0</v>
      </c>
      <c r="T1452" s="15"/>
      <c r="U1452" s="15"/>
      <c r="V1452" s="15"/>
    </row>
    <row r="1453">
      <c r="A1453" s="2">
        <v>19840.0</v>
      </c>
      <c r="B1453" s="1" t="s">
        <v>49</v>
      </c>
      <c r="C1453" s="2">
        <v>0.03</v>
      </c>
      <c r="D1453" s="2">
        <v>160.98</v>
      </c>
      <c r="E1453" s="2">
        <v>2561.0</v>
      </c>
      <c r="F1453" s="1" t="s">
        <v>1706</v>
      </c>
      <c r="G1453" s="1" t="s">
        <v>22</v>
      </c>
      <c r="H1453" s="1" t="s">
        <v>37</v>
      </c>
      <c r="I1453" s="1" t="s">
        <v>38</v>
      </c>
      <c r="J1453" s="1" t="s">
        <v>260</v>
      </c>
      <c r="K1453" s="19" t="s">
        <v>26</v>
      </c>
      <c r="L1453" s="20" t="s">
        <v>61</v>
      </c>
      <c r="M1453" s="21">
        <f t="shared" si="1"/>
        <v>7</v>
      </c>
      <c r="N1453" s="2">
        <v>1261.4718</v>
      </c>
      <c r="O1453" s="2">
        <v>11.0</v>
      </c>
      <c r="P1453" s="2">
        <v>1828.22</v>
      </c>
      <c r="Q1453" s="2">
        <v>86465.0</v>
      </c>
      <c r="R1453" s="15" t="b">
        <f>ISNUMBER(MATCH(Q1453,'Returned order'!A:A,0))</f>
        <v>0</v>
      </c>
      <c r="S1453" s="22">
        <v>42085.0</v>
      </c>
      <c r="T1453" s="15"/>
      <c r="U1453" s="15"/>
      <c r="V1453" s="15"/>
    </row>
    <row r="1454">
      <c r="A1454" s="2">
        <v>23161.0</v>
      </c>
      <c r="B1454" s="1" t="s">
        <v>49</v>
      </c>
      <c r="C1454" s="2">
        <v>0.07</v>
      </c>
      <c r="D1454" s="2">
        <v>3.98</v>
      </c>
      <c r="E1454" s="2">
        <v>2561.0</v>
      </c>
      <c r="F1454" s="1" t="s">
        <v>1706</v>
      </c>
      <c r="G1454" s="1" t="s">
        <v>22</v>
      </c>
      <c r="H1454" s="1" t="s">
        <v>23</v>
      </c>
      <c r="I1454" s="1" t="s">
        <v>24</v>
      </c>
      <c r="J1454" s="1" t="s">
        <v>1257</v>
      </c>
      <c r="K1454" s="19" t="s">
        <v>26</v>
      </c>
      <c r="L1454" s="20" t="s">
        <v>35</v>
      </c>
      <c r="M1454" s="21">
        <f t="shared" si="1"/>
        <v>3</v>
      </c>
      <c r="N1454" s="2">
        <v>-59.96376</v>
      </c>
      <c r="O1454" s="2">
        <v>7.0</v>
      </c>
      <c r="P1454" s="2">
        <v>29.77</v>
      </c>
      <c r="Q1454" s="2">
        <v>86466.0</v>
      </c>
      <c r="R1454" s="15" t="b">
        <f>ISNUMBER(MATCH(Q1454,'Returned order'!A:A,0))</f>
        <v>0</v>
      </c>
      <c r="S1454" s="22">
        <v>42102.0</v>
      </c>
      <c r="T1454" s="15"/>
      <c r="U1454" s="15"/>
      <c r="V1454" s="15"/>
    </row>
    <row r="1455">
      <c r="A1455" s="2">
        <v>23162.0</v>
      </c>
      <c r="B1455" s="1" t="s">
        <v>49</v>
      </c>
      <c r="C1455" s="2">
        <v>0.07</v>
      </c>
      <c r="D1455" s="2">
        <v>12.22</v>
      </c>
      <c r="E1455" s="2">
        <v>2561.0</v>
      </c>
      <c r="F1455" s="1" t="s">
        <v>1706</v>
      </c>
      <c r="G1455" s="1" t="s">
        <v>22</v>
      </c>
      <c r="H1455" s="1" t="s">
        <v>37</v>
      </c>
      <c r="I1455" s="1" t="s">
        <v>42</v>
      </c>
      <c r="J1455" s="1" t="s">
        <v>1707</v>
      </c>
      <c r="K1455" s="19" t="s">
        <v>26</v>
      </c>
      <c r="L1455" s="20" t="s">
        <v>35</v>
      </c>
      <c r="M1455" s="21">
        <f t="shared" si="1"/>
        <v>3</v>
      </c>
      <c r="N1455" s="2">
        <v>89.4148</v>
      </c>
      <c r="O1455" s="2">
        <v>12.0</v>
      </c>
      <c r="P1455" s="2">
        <v>147.19</v>
      </c>
      <c r="Q1455" s="2">
        <v>86466.0</v>
      </c>
      <c r="R1455" s="15" t="b">
        <f>ISNUMBER(MATCH(Q1455,'Returned order'!A:A,0))</f>
        <v>0</v>
      </c>
      <c r="S1455" s="22">
        <v>42102.0</v>
      </c>
      <c r="T1455" s="15"/>
      <c r="U1455" s="15"/>
      <c r="V1455" s="15"/>
    </row>
    <row r="1456">
      <c r="A1456" s="2">
        <v>22374.0</v>
      </c>
      <c r="B1456" s="1" t="s">
        <v>49</v>
      </c>
      <c r="C1456" s="2">
        <v>0.08</v>
      </c>
      <c r="D1456" s="2">
        <v>4.55</v>
      </c>
      <c r="E1456" s="2">
        <v>2563.0</v>
      </c>
      <c r="F1456" s="1" t="s">
        <v>1708</v>
      </c>
      <c r="G1456" s="1" t="s">
        <v>51</v>
      </c>
      <c r="H1456" s="1" t="s">
        <v>23</v>
      </c>
      <c r="I1456" s="1" t="s">
        <v>24</v>
      </c>
      <c r="J1456" s="1" t="s">
        <v>1087</v>
      </c>
      <c r="K1456" s="19" t="s">
        <v>68</v>
      </c>
      <c r="L1456" s="20" t="s">
        <v>35</v>
      </c>
      <c r="M1456" s="21">
        <f t="shared" si="1"/>
        <v>3</v>
      </c>
      <c r="N1456" s="2">
        <v>27.0273</v>
      </c>
      <c r="O1456" s="2">
        <v>9.0</v>
      </c>
      <c r="P1456" s="2">
        <v>39.17</v>
      </c>
      <c r="Q1456" s="2">
        <v>91447.0</v>
      </c>
      <c r="R1456" s="15" t="b">
        <f>ISNUMBER(MATCH(Q1456,'Returned order'!A:A,0))</f>
        <v>0</v>
      </c>
      <c r="S1456" s="22">
        <v>42102.0</v>
      </c>
      <c r="T1456" s="15"/>
      <c r="U1456" s="15"/>
      <c r="V1456" s="15"/>
    </row>
    <row r="1457">
      <c r="A1457" s="2">
        <v>25095.0</v>
      </c>
      <c r="B1457" s="1" t="s">
        <v>58</v>
      </c>
      <c r="C1457" s="2">
        <v>0.0</v>
      </c>
      <c r="D1457" s="2">
        <v>4.37</v>
      </c>
      <c r="E1457" s="2">
        <v>2570.0</v>
      </c>
      <c r="F1457" s="1" t="s">
        <v>1709</v>
      </c>
      <c r="G1457" s="1" t="s">
        <v>22</v>
      </c>
      <c r="H1457" s="1" t="s">
        <v>23</v>
      </c>
      <c r="I1457" s="1" t="s">
        <v>151</v>
      </c>
      <c r="J1457" s="1" t="s">
        <v>791</v>
      </c>
      <c r="K1457" s="19" t="s">
        <v>34</v>
      </c>
      <c r="L1457" s="20" t="s">
        <v>53</v>
      </c>
      <c r="M1457" s="21">
        <f t="shared" si="1"/>
        <v>6</v>
      </c>
      <c r="N1457" s="2">
        <v>-150.2604</v>
      </c>
      <c r="O1457" s="2">
        <v>19.0</v>
      </c>
      <c r="P1457" s="2">
        <v>87.85</v>
      </c>
      <c r="Q1457" s="2">
        <v>90327.0</v>
      </c>
      <c r="R1457" s="15" t="b">
        <f>ISNUMBER(MATCH(Q1457,'Returned order'!A:A,0))</f>
        <v>0</v>
      </c>
      <c r="S1457" s="22">
        <v>42119.0</v>
      </c>
      <c r="T1457" s="15"/>
      <c r="U1457" s="15"/>
      <c r="V1457" s="15"/>
    </row>
    <row r="1458">
      <c r="A1458" s="2">
        <v>25096.0</v>
      </c>
      <c r="B1458" s="1" t="s">
        <v>58</v>
      </c>
      <c r="C1458" s="2">
        <v>0.01</v>
      </c>
      <c r="D1458" s="2">
        <v>500.98</v>
      </c>
      <c r="E1458" s="2">
        <v>2570.0</v>
      </c>
      <c r="F1458" s="1" t="s">
        <v>1709</v>
      </c>
      <c r="G1458" s="1" t="s">
        <v>22</v>
      </c>
      <c r="H1458" s="1" t="s">
        <v>37</v>
      </c>
      <c r="I1458" s="1" t="s">
        <v>38</v>
      </c>
      <c r="J1458" s="1" t="s">
        <v>52</v>
      </c>
      <c r="K1458" s="19" t="s">
        <v>34</v>
      </c>
      <c r="L1458" s="20" t="s">
        <v>53</v>
      </c>
      <c r="M1458" s="21">
        <f t="shared" si="1"/>
        <v>6</v>
      </c>
      <c r="N1458" s="2">
        <v>4899.1288</v>
      </c>
      <c r="O1458" s="2">
        <v>14.0</v>
      </c>
      <c r="P1458" s="2">
        <v>7429.63</v>
      </c>
      <c r="Q1458" s="2">
        <v>90327.0</v>
      </c>
      <c r="R1458" s="15" t="b">
        <f>ISNUMBER(MATCH(Q1458,'Returned order'!A:A,0))</f>
        <v>0</v>
      </c>
      <c r="S1458" s="22">
        <v>42119.0</v>
      </c>
      <c r="T1458" s="15"/>
      <c r="U1458" s="15"/>
      <c r="V1458" s="15"/>
    </row>
    <row r="1459">
      <c r="A1459" s="2">
        <v>25097.0</v>
      </c>
      <c r="B1459" s="1" t="s">
        <v>58</v>
      </c>
      <c r="C1459" s="2">
        <v>0.02</v>
      </c>
      <c r="D1459" s="2">
        <v>12.58</v>
      </c>
      <c r="E1459" s="2">
        <v>2570.0</v>
      </c>
      <c r="F1459" s="1" t="s">
        <v>1709</v>
      </c>
      <c r="G1459" s="1" t="s">
        <v>22</v>
      </c>
      <c r="H1459" s="1" t="s">
        <v>37</v>
      </c>
      <c r="I1459" s="1" t="s">
        <v>42</v>
      </c>
      <c r="J1459" s="1" t="s">
        <v>1710</v>
      </c>
      <c r="K1459" s="19" t="s">
        <v>34</v>
      </c>
      <c r="L1459" s="20" t="s">
        <v>53</v>
      </c>
      <c r="M1459" s="21">
        <f t="shared" si="1"/>
        <v>6</v>
      </c>
      <c r="N1459" s="2">
        <v>44.712</v>
      </c>
      <c r="O1459" s="2">
        <v>18.0</v>
      </c>
      <c r="P1459" s="2">
        <v>224.29</v>
      </c>
      <c r="Q1459" s="2">
        <v>90327.0</v>
      </c>
      <c r="R1459" s="15" t="b">
        <f>ISNUMBER(MATCH(Q1459,'Returned order'!A:A,0))</f>
        <v>0</v>
      </c>
      <c r="S1459" s="22">
        <v>42119.0</v>
      </c>
      <c r="T1459" s="15"/>
      <c r="U1459" s="15"/>
      <c r="V1459" s="15"/>
    </row>
    <row r="1460">
      <c r="A1460" s="2">
        <v>25098.0</v>
      </c>
      <c r="B1460" s="1" t="s">
        <v>58</v>
      </c>
      <c r="C1460" s="2">
        <v>0.1</v>
      </c>
      <c r="D1460" s="2">
        <v>7.7</v>
      </c>
      <c r="E1460" s="2">
        <v>2570.0</v>
      </c>
      <c r="F1460" s="1" t="s">
        <v>1709</v>
      </c>
      <c r="G1460" s="1" t="s">
        <v>22</v>
      </c>
      <c r="H1460" s="1" t="s">
        <v>37</v>
      </c>
      <c r="I1460" s="1" t="s">
        <v>42</v>
      </c>
      <c r="J1460" s="1" t="s">
        <v>1711</v>
      </c>
      <c r="K1460" s="19" t="s">
        <v>34</v>
      </c>
      <c r="L1460" s="20" t="s">
        <v>53</v>
      </c>
      <c r="M1460" s="21">
        <f t="shared" si="1"/>
        <v>6</v>
      </c>
      <c r="N1460" s="2">
        <v>-22.626</v>
      </c>
      <c r="O1460" s="2">
        <v>7.0</v>
      </c>
      <c r="P1460" s="2">
        <v>51.2</v>
      </c>
      <c r="Q1460" s="2">
        <v>90327.0</v>
      </c>
      <c r="R1460" s="15" t="b">
        <f>ISNUMBER(MATCH(Q1460,'Returned order'!A:A,0))</f>
        <v>0</v>
      </c>
      <c r="S1460" s="22">
        <v>42119.0</v>
      </c>
      <c r="T1460" s="15"/>
      <c r="U1460" s="15"/>
      <c r="V1460" s="15"/>
    </row>
    <row r="1461">
      <c r="A1461" s="2">
        <v>7096.0</v>
      </c>
      <c r="B1461" s="1" t="s">
        <v>58</v>
      </c>
      <c r="C1461" s="2">
        <v>0.01</v>
      </c>
      <c r="D1461" s="2">
        <v>500.98</v>
      </c>
      <c r="E1461" s="2">
        <v>2571.0</v>
      </c>
      <c r="F1461" s="1" t="s">
        <v>1712</v>
      </c>
      <c r="G1461" s="1" t="s">
        <v>22</v>
      </c>
      <c r="H1461" s="1" t="s">
        <v>37</v>
      </c>
      <c r="I1461" s="1" t="s">
        <v>38</v>
      </c>
      <c r="J1461" s="1" t="s">
        <v>52</v>
      </c>
      <c r="K1461" s="19" t="s">
        <v>26</v>
      </c>
      <c r="L1461" s="20" t="s">
        <v>53</v>
      </c>
      <c r="M1461" s="21">
        <f t="shared" si="1"/>
        <v>6</v>
      </c>
      <c r="N1461" s="2">
        <v>4260.112</v>
      </c>
      <c r="O1461" s="2">
        <v>56.0</v>
      </c>
      <c r="P1461" s="2">
        <v>29718.53</v>
      </c>
      <c r="Q1461" s="2">
        <v>50656.0</v>
      </c>
      <c r="R1461" s="15" t="b">
        <f>ISNUMBER(MATCH(Q1461,'Returned order'!A:A,0))</f>
        <v>0</v>
      </c>
      <c r="S1461" s="22">
        <v>42119.0</v>
      </c>
      <c r="T1461" s="15"/>
      <c r="U1461" s="15"/>
      <c r="V1461" s="15"/>
    </row>
    <row r="1462">
      <c r="A1462" s="2">
        <v>7098.0</v>
      </c>
      <c r="B1462" s="1" t="s">
        <v>58</v>
      </c>
      <c r="C1462" s="2">
        <v>0.1</v>
      </c>
      <c r="D1462" s="2">
        <v>7.7</v>
      </c>
      <c r="E1462" s="2">
        <v>2571.0</v>
      </c>
      <c r="F1462" s="1" t="s">
        <v>1712</v>
      </c>
      <c r="G1462" s="1" t="s">
        <v>22</v>
      </c>
      <c r="H1462" s="1" t="s">
        <v>37</v>
      </c>
      <c r="I1462" s="1" t="s">
        <v>42</v>
      </c>
      <c r="J1462" s="1" t="s">
        <v>1711</v>
      </c>
      <c r="K1462" s="19" t="s">
        <v>26</v>
      </c>
      <c r="L1462" s="20" t="s">
        <v>53</v>
      </c>
      <c r="M1462" s="21">
        <f t="shared" si="1"/>
        <v>6</v>
      </c>
      <c r="N1462" s="2">
        <v>-25.14</v>
      </c>
      <c r="O1462" s="2">
        <v>27.0</v>
      </c>
      <c r="P1462" s="2">
        <v>197.48</v>
      </c>
      <c r="Q1462" s="2">
        <v>50656.0</v>
      </c>
      <c r="R1462" s="15" t="b">
        <f>ISNUMBER(MATCH(Q1462,'Returned order'!A:A,0))</f>
        <v>0</v>
      </c>
      <c r="S1462" s="22">
        <v>42119.0</v>
      </c>
      <c r="T1462" s="15"/>
      <c r="U1462" s="15"/>
      <c r="V1462" s="15"/>
    </row>
    <row r="1463">
      <c r="A1463" s="2">
        <v>20938.0</v>
      </c>
      <c r="B1463" s="1" t="s">
        <v>170</v>
      </c>
      <c r="C1463" s="2">
        <v>0.04</v>
      </c>
      <c r="D1463" s="2">
        <v>8.6</v>
      </c>
      <c r="E1463" s="2">
        <v>2578.0</v>
      </c>
      <c r="F1463" s="1" t="s">
        <v>1713</v>
      </c>
      <c r="G1463" s="1" t="s">
        <v>51</v>
      </c>
      <c r="H1463" s="1" t="s">
        <v>23</v>
      </c>
      <c r="I1463" s="1" t="s">
        <v>24</v>
      </c>
      <c r="J1463" s="1" t="s">
        <v>135</v>
      </c>
      <c r="K1463" s="19" t="s">
        <v>229</v>
      </c>
      <c r="L1463" s="20" t="s">
        <v>53</v>
      </c>
      <c r="M1463" s="21">
        <f t="shared" si="1"/>
        <v>6</v>
      </c>
      <c r="N1463" s="2">
        <v>309.7116</v>
      </c>
      <c r="O1463" s="2">
        <v>5.0</v>
      </c>
      <c r="P1463" s="2">
        <v>46.85</v>
      </c>
      <c r="Q1463" s="2">
        <v>88298.0</v>
      </c>
      <c r="R1463" s="15" t="b">
        <f>ISNUMBER(MATCH(Q1463,'Returned order'!A:A,0))</f>
        <v>0</v>
      </c>
      <c r="S1463" s="22">
        <v>42126.0</v>
      </c>
      <c r="T1463" s="15"/>
      <c r="U1463" s="15"/>
      <c r="V1463" s="15"/>
    </row>
    <row r="1464">
      <c r="A1464" s="2">
        <v>20939.0</v>
      </c>
      <c r="B1464" s="1" t="s">
        <v>170</v>
      </c>
      <c r="C1464" s="2">
        <v>0.01</v>
      </c>
      <c r="D1464" s="2">
        <v>3.58</v>
      </c>
      <c r="E1464" s="2">
        <v>2578.0</v>
      </c>
      <c r="F1464" s="1" t="s">
        <v>1713</v>
      </c>
      <c r="G1464" s="1" t="s">
        <v>51</v>
      </c>
      <c r="H1464" s="1" t="s">
        <v>23</v>
      </c>
      <c r="I1464" s="1" t="s">
        <v>81</v>
      </c>
      <c r="J1464" s="1" t="s">
        <v>82</v>
      </c>
      <c r="K1464" s="19" t="s">
        <v>229</v>
      </c>
      <c r="L1464" s="20" t="s">
        <v>53</v>
      </c>
      <c r="M1464" s="21">
        <f t="shared" si="1"/>
        <v>6</v>
      </c>
      <c r="N1464" s="2">
        <v>-128.856</v>
      </c>
      <c r="O1464" s="2">
        <v>26.0</v>
      </c>
      <c r="P1464" s="2">
        <v>93.57</v>
      </c>
      <c r="Q1464" s="2">
        <v>88298.0</v>
      </c>
      <c r="R1464" s="15" t="b">
        <f>ISNUMBER(MATCH(Q1464,'Returned order'!A:A,0))</f>
        <v>0</v>
      </c>
      <c r="S1464" s="22">
        <v>42126.0</v>
      </c>
      <c r="T1464" s="15"/>
      <c r="U1464" s="15"/>
      <c r="V1464" s="15"/>
    </row>
    <row r="1465">
      <c r="A1465" s="2">
        <v>20940.0</v>
      </c>
      <c r="B1465" s="1" t="s">
        <v>170</v>
      </c>
      <c r="C1465" s="2">
        <v>0.08</v>
      </c>
      <c r="D1465" s="2">
        <v>105.49</v>
      </c>
      <c r="E1465" s="2">
        <v>2578.0</v>
      </c>
      <c r="F1465" s="1" t="s">
        <v>1713</v>
      </c>
      <c r="G1465" s="1" t="s">
        <v>51</v>
      </c>
      <c r="H1465" s="1" t="s">
        <v>37</v>
      </c>
      <c r="I1465" s="1" t="s">
        <v>73</v>
      </c>
      <c r="J1465" s="1" t="s">
        <v>1714</v>
      </c>
      <c r="K1465" s="19" t="s">
        <v>229</v>
      </c>
      <c r="L1465" s="20" t="s">
        <v>53</v>
      </c>
      <c r="M1465" s="21">
        <f t="shared" si="1"/>
        <v>6</v>
      </c>
      <c r="N1465" s="2">
        <v>-36.946</v>
      </c>
      <c r="O1465" s="2">
        <v>34.0</v>
      </c>
      <c r="P1465" s="2">
        <v>2694.49</v>
      </c>
      <c r="Q1465" s="2">
        <v>88298.0</v>
      </c>
      <c r="R1465" s="15" t="b">
        <f>ISNUMBER(MATCH(Q1465,'Returned order'!A:A,0))</f>
        <v>0</v>
      </c>
      <c r="S1465" s="22">
        <v>42126.0</v>
      </c>
      <c r="T1465" s="15"/>
      <c r="U1465" s="15"/>
      <c r="V1465" s="15"/>
    </row>
    <row r="1466">
      <c r="A1466" s="2">
        <v>23705.0</v>
      </c>
      <c r="B1466" s="1" t="s">
        <v>28</v>
      </c>
      <c r="C1466" s="2">
        <v>0.09</v>
      </c>
      <c r="D1466" s="2">
        <v>212.6</v>
      </c>
      <c r="E1466" s="2">
        <v>2579.0</v>
      </c>
      <c r="F1466" s="1" t="s">
        <v>1715</v>
      </c>
      <c r="G1466" s="1" t="s">
        <v>51</v>
      </c>
      <c r="H1466" s="1" t="s">
        <v>37</v>
      </c>
      <c r="I1466" s="1" t="s">
        <v>73</v>
      </c>
      <c r="J1466" s="1" t="s">
        <v>1021</v>
      </c>
      <c r="K1466" s="19" t="s">
        <v>229</v>
      </c>
      <c r="L1466" s="20" t="s">
        <v>53</v>
      </c>
      <c r="M1466" s="21">
        <f t="shared" si="1"/>
        <v>6</v>
      </c>
      <c r="N1466" s="2">
        <v>-274.498</v>
      </c>
      <c r="O1466" s="2">
        <v>1.0</v>
      </c>
      <c r="P1466" s="2">
        <v>174.5</v>
      </c>
      <c r="Q1466" s="2">
        <v>88296.0</v>
      </c>
      <c r="R1466" s="15" t="b">
        <f>ISNUMBER(MATCH(Q1466,'Returned order'!A:A,0))</f>
        <v>0</v>
      </c>
      <c r="S1466" s="22">
        <v>42007.0</v>
      </c>
      <c r="T1466" s="15"/>
      <c r="U1466" s="15"/>
      <c r="V1466" s="15"/>
    </row>
    <row r="1467">
      <c r="A1467" s="2">
        <v>22508.0</v>
      </c>
      <c r="B1467" s="1" t="s">
        <v>63</v>
      </c>
      <c r="C1467" s="2">
        <v>0.07</v>
      </c>
      <c r="D1467" s="2">
        <v>1.76</v>
      </c>
      <c r="E1467" s="2">
        <v>2579.0</v>
      </c>
      <c r="F1467" s="1" t="s">
        <v>1715</v>
      </c>
      <c r="G1467" s="1" t="s">
        <v>51</v>
      </c>
      <c r="H1467" s="1" t="s">
        <v>37</v>
      </c>
      <c r="I1467" s="1" t="s">
        <v>42</v>
      </c>
      <c r="J1467" s="1" t="s">
        <v>1301</v>
      </c>
      <c r="K1467" s="19" t="s">
        <v>229</v>
      </c>
      <c r="L1467" s="20" t="s">
        <v>53</v>
      </c>
      <c r="M1467" s="21">
        <f t="shared" si="1"/>
        <v>6</v>
      </c>
      <c r="N1467" s="2">
        <v>0.588</v>
      </c>
      <c r="O1467" s="2">
        <v>15.0</v>
      </c>
      <c r="P1467" s="2">
        <v>26.01</v>
      </c>
      <c r="Q1467" s="2">
        <v>88297.0</v>
      </c>
      <c r="R1467" s="15" t="b">
        <f>ISNUMBER(MATCH(Q1467,'Returned order'!A:A,0))</f>
        <v>0</v>
      </c>
      <c r="S1467" s="22">
        <v>42021.0</v>
      </c>
      <c r="T1467" s="15"/>
      <c r="U1467" s="15"/>
      <c r="V1467" s="15"/>
    </row>
    <row r="1468">
      <c r="A1468" s="2">
        <v>19123.0</v>
      </c>
      <c r="B1468" s="1" t="s">
        <v>63</v>
      </c>
      <c r="C1468" s="2">
        <v>0.04</v>
      </c>
      <c r="D1468" s="2">
        <v>510.14</v>
      </c>
      <c r="E1468" s="2">
        <v>2583.0</v>
      </c>
      <c r="F1468" s="1" t="s">
        <v>1716</v>
      </c>
      <c r="G1468" s="1" t="s">
        <v>51</v>
      </c>
      <c r="H1468" s="1" t="s">
        <v>46</v>
      </c>
      <c r="I1468" s="1" t="s">
        <v>103</v>
      </c>
      <c r="J1468" s="1" t="s">
        <v>1717</v>
      </c>
      <c r="K1468" s="19" t="s">
        <v>68</v>
      </c>
      <c r="L1468" s="20" t="s">
        <v>61</v>
      </c>
      <c r="M1468" s="21">
        <f t="shared" si="1"/>
        <v>7</v>
      </c>
      <c r="N1468" s="2">
        <v>-251.4039</v>
      </c>
      <c r="O1468" s="2">
        <v>3.0</v>
      </c>
      <c r="P1468" s="2">
        <v>1527.97</v>
      </c>
      <c r="Q1468" s="2">
        <v>89657.0</v>
      </c>
      <c r="R1468" s="15" t="b">
        <f>ISNUMBER(MATCH(Q1468,'Returned order'!A:A,0))</f>
        <v>0</v>
      </c>
      <c r="S1468" s="22">
        <v>42162.0</v>
      </c>
      <c r="T1468" s="15"/>
      <c r="U1468" s="15"/>
      <c r="V1468" s="15"/>
    </row>
    <row r="1469">
      <c r="A1469" s="2">
        <v>19124.0</v>
      </c>
      <c r="B1469" s="1" t="s">
        <v>63</v>
      </c>
      <c r="C1469" s="2">
        <v>0.0</v>
      </c>
      <c r="D1469" s="2">
        <v>4.76</v>
      </c>
      <c r="E1469" s="2">
        <v>2583.0</v>
      </c>
      <c r="F1469" s="1" t="s">
        <v>1716</v>
      </c>
      <c r="G1469" s="1" t="s">
        <v>51</v>
      </c>
      <c r="H1469" s="1" t="s">
        <v>23</v>
      </c>
      <c r="I1469" s="1" t="s">
        <v>93</v>
      </c>
      <c r="J1469" s="1" t="s">
        <v>1718</v>
      </c>
      <c r="K1469" s="19" t="s">
        <v>68</v>
      </c>
      <c r="L1469" s="20" t="s">
        <v>61</v>
      </c>
      <c r="M1469" s="21">
        <f t="shared" si="1"/>
        <v>7</v>
      </c>
      <c r="N1469" s="2">
        <v>-2.345</v>
      </c>
      <c r="O1469" s="2">
        <v>23.0</v>
      </c>
      <c r="P1469" s="2">
        <v>110.86</v>
      </c>
      <c r="Q1469" s="2">
        <v>89657.0</v>
      </c>
      <c r="R1469" s="15" t="b">
        <f>ISNUMBER(MATCH(Q1469,'Returned order'!A:A,0))</f>
        <v>0</v>
      </c>
      <c r="S1469" s="22">
        <v>42162.0</v>
      </c>
      <c r="T1469" s="15"/>
      <c r="U1469" s="15"/>
      <c r="V1469" s="15"/>
    </row>
    <row r="1470">
      <c r="A1470" s="2">
        <v>19134.0</v>
      </c>
      <c r="B1470" s="1" t="s">
        <v>58</v>
      </c>
      <c r="C1470" s="2">
        <v>0.04</v>
      </c>
      <c r="D1470" s="2">
        <v>6.3</v>
      </c>
      <c r="E1470" s="2">
        <v>2584.0</v>
      </c>
      <c r="F1470" s="1" t="s">
        <v>1719</v>
      </c>
      <c r="G1470" s="1" t="s">
        <v>51</v>
      </c>
      <c r="H1470" s="1" t="s">
        <v>23</v>
      </c>
      <c r="I1470" s="1" t="s">
        <v>130</v>
      </c>
      <c r="J1470" s="1" t="s">
        <v>895</v>
      </c>
      <c r="K1470" s="19" t="s">
        <v>68</v>
      </c>
      <c r="L1470" s="20" t="s">
        <v>57</v>
      </c>
      <c r="M1470" s="21">
        <f t="shared" si="1"/>
        <v>2</v>
      </c>
      <c r="N1470" s="2">
        <v>67.6062</v>
      </c>
      <c r="O1470" s="2">
        <v>15.0</v>
      </c>
      <c r="P1470" s="2">
        <v>97.98</v>
      </c>
      <c r="Q1470" s="2">
        <v>89658.0</v>
      </c>
      <c r="R1470" s="15" t="b">
        <f>ISNUMBER(MATCH(Q1470,'Returned order'!A:A,0))</f>
        <v>0</v>
      </c>
      <c r="S1470" s="22">
        <v>42164.0</v>
      </c>
      <c r="T1470" s="15"/>
      <c r="U1470" s="15"/>
      <c r="V1470" s="15"/>
    </row>
    <row r="1471">
      <c r="A1471" s="2">
        <v>20976.0</v>
      </c>
      <c r="B1471" s="1" t="s">
        <v>63</v>
      </c>
      <c r="C1471" s="2">
        <v>0.01</v>
      </c>
      <c r="D1471" s="2">
        <v>6.48</v>
      </c>
      <c r="E1471" s="2">
        <v>2587.0</v>
      </c>
      <c r="F1471" s="1" t="s">
        <v>1720</v>
      </c>
      <c r="G1471" s="1" t="s">
        <v>51</v>
      </c>
      <c r="H1471" s="1" t="s">
        <v>23</v>
      </c>
      <c r="I1471" s="1" t="s">
        <v>93</v>
      </c>
      <c r="J1471" s="1" t="s">
        <v>1721</v>
      </c>
      <c r="K1471" s="19" t="s">
        <v>68</v>
      </c>
      <c r="L1471" s="20" t="s">
        <v>53</v>
      </c>
      <c r="M1471" s="21">
        <f t="shared" si="1"/>
        <v>6</v>
      </c>
      <c r="N1471" s="2">
        <v>-46.5244</v>
      </c>
      <c r="O1471" s="2">
        <v>18.0</v>
      </c>
      <c r="P1471" s="2">
        <v>127.83</v>
      </c>
      <c r="Q1471" s="2">
        <v>91166.0</v>
      </c>
      <c r="R1471" s="15" t="b">
        <f>ISNUMBER(MATCH(Q1471,'Returned order'!A:A,0))</f>
        <v>0</v>
      </c>
      <c r="S1471" s="22">
        <v>42063.0</v>
      </c>
      <c r="T1471" s="15"/>
      <c r="U1471" s="15"/>
      <c r="V1471" s="15"/>
    </row>
    <row r="1472">
      <c r="A1472" s="2">
        <v>20810.0</v>
      </c>
      <c r="B1472" s="1" t="s">
        <v>49</v>
      </c>
      <c r="C1472" s="2">
        <v>0.02</v>
      </c>
      <c r="D1472" s="2">
        <v>22.72</v>
      </c>
      <c r="E1472" s="2">
        <v>2587.0</v>
      </c>
      <c r="F1472" s="1" t="s">
        <v>1720</v>
      </c>
      <c r="G1472" s="1" t="s">
        <v>51</v>
      </c>
      <c r="H1472" s="1" t="s">
        <v>37</v>
      </c>
      <c r="I1472" s="1" t="s">
        <v>42</v>
      </c>
      <c r="J1472" s="1" t="s">
        <v>640</v>
      </c>
      <c r="K1472" s="19" t="s">
        <v>68</v>
      </c>
      <c r="L1472" s="20" t="s">
        <v>76</v>
      </c>
      <c r="M1472" s="21">
        <f t="shared" si="1"/>
        <v>5</v>
      </c>
      <c r="N1472" s="2">
        <v>200.0172</v>
      </c>
      <c r="O1472" s="2">
        <v>12.0</v>
      </c>
      <c r="P1472" s="2">
        <v>289.88</v>
      </c>
      <c r="Q1472" s="2">
        <v>91167.0</v>
      </c>
      <c r="R1472" s="15" t="b">
        <f>ISNUMBER(MATCH(Q1472,'Returned order'!A:A,0))</f>
        <v>0</v>
      </c>
      <c r="S1472" s="22">
        <v>42181.0</v>
      </c>
      <c r="T1472" s="15"/>
      <c r="U1472" s="15"/>
      <c r="V1472" s="15"/>
    </row>
    <row r="1473">
      <c r="A1473" s="2">
        <v>22275.0</v>
      </c>
      <c r="B1473" s="1" t="s">
        <v>170</v>
      </c>
      <c r="C1473" s="2">
        <v>0.02</v>
      </c>
      <c r="D1473" s="2">
        <v>419.19</v>
      </c>
      <c r="E1473" s="2">
        <v>2593.0</v>
      </c>
      <c r="F1473" s="1" t="s">
        <v>1722</v>
      </c>
      <c r="G1473" s="1" t="s">
        <v>32</v>
      </c>
      <c r="H1473" s="1" t="s">
        <v>23</v>
      </c>
      <c r="I1473" s="1" t="s">
        <v>120</v>
      </c>
      <c r="J1473" s="1" t="s">
        <v>616</v>
      </c>
      <c r="K1473" s="19" t="s">
        <v>229</v>
      </c>
      <c r="L1473" s="20" t="s">
        <v>76</v>
      </c>
      <c r="M1473" s="21">
        <f t="shared" si="1"/>
        <v>5</v>
      </c>
      <c r="N1473" s="2">
        <v>-39.606</v>
      </c>
      <c r="O1473" s="2">
        <v>10.0</v>
      </c>
      <c r="P1473" s="2">
        <v>4354.55</v>
      </c>
      <c r="Q1473" s="2">
        <v>87772.0</v>
      </c>
      <c r="R1473" s="15" t="b">
        <f>ISNUMBER(MATCH(Q1473,'Returned order'!A:A,0))</f>
        <v>0</v>
      </c>
      <c r="S1473" s="22">
        <v>42111.0</v>
      </c>
      <c r="T1473" s="15"/>
      <c r="U1473" s="15"/>
      <c r="V1473" s="15"/>
    </row>
    <row r="1474">
      <c r="A1474" s="2">
        <v>23765.0</v>
      </c>
      <c r="B1474" s="1" t="s">
        <v>170</v>
      </c>
      <c r="C1474" s="2">
        <v>0.01</v>
      </c>
      <c r="D1474" s="2">
        <v>85.99</v>
      </c>
      <c r="E1474" s="2">
        <v>2593.0</v>
      </c>
      <c r="F1474" s="1" t="s">
        <v>1722</v>
      </c>
      <c r="G1474" s="1" t="s">
        <v>32</v>
      </c>
      <c r="H1474" s="1" t="s">
        <v>46</v>
      </c>
      <c r="I1474" s="1" t="s">
        <v>85</v>
      </c>
      <c r="J1474" s="1" t="s">
        <v>445</v>
      </c>
      <c r="K1474" s="19" t="s">
        <v>229</v>
      </c>
      <c r="L1474" s="20" t="s">
        <v>70</v>
      </c>
      <c r="M1474" s="21">
        <f t="shared" si="1"/>
        <v>4</v>
      </c>
      <c r="N1474" s="2">
        <v>311.73</v>
      </c>
      <c r="O1474" s="2">
        <v>2.0</v>
      </c>
      <c r="P1474" s="2">
        <v>146.17</v>
      </c>
      <c r="Q1474" s="2">
        <v>87773.0</v>
      </c>
      <c r="R1474" s="15" t="b">
        <f>ISNUMBER(MATCH(Q1474,'Returned order'!A:A,0))</f>
        <v>0</v>
      </c>
      <c r="S1474" s="22">
        <v>42075.0</v>
      </c>
      <c r="T1474" s="15"/>
      <c r="U1474" s="15"/>
      <c r="V1474" s="15"/>
    </row>
    <row r="1475">
      <c r="A1475" s="2">
        <v>19859.0</v>
      </c>
      <c r="B1475" s="1" t="s">
        <v>170</v>
      </c>
      <c r="C1475" s="2">
        <v>0.05</v>
      </c>
      <c r="D1475" s="2">
        <v>5.74</v>
      </c>
      <c r="E1475" s="2">
        <v>2601.0</v>
      </c>
      <c r="F1475" s="1" t="s">
        <v>1723</v>
      </c>
      <c r="G1475" s="1" t="s">
        <v>32</v>
      </c>
      <c r="H1475" s="1" t="s">
        <v>23</v>
      </c>
      <c r="I1475" s="1" t="s">
        <v>257</v>
      </c>
      <c r="J1475" s="1" t="s">
        <v>1724</v>
      </c>
      <c r="K1475" s="19" t="s">
        <v>26</v>
      </c>
      <c r="L1475" s="20" t="s">
        <v>53</v>
      </c>
      <c r="M1475" s="21">
        <f t="shared" si="1"/>
        <v>6</v>
      </c>
      <c r="N1475" s="2">
        <v>-50.75</v>
      </c>
      <c r="O1475" s="2">
        <v>7.0</v>
      </c>
      <c r="P1475" s="2">
        <v>42.02</v>
      </c>
      <c r="Q1475" s="2">
        <v>87382.0</v>
      </c>
      <c r="R1475" s="15" t="b">
        <f>ISNUMBER(MATCH(Q1475,'Returned order'!A:A,0))</f>
        <v>0</v>
      </c>
      <c r="S1475" s="22">
        <v>42084.0</v>
      </c>
      <c r="T1475" s="15"/>
      <c r="U1475" s="15"/>
      <c r="V1475" s="15"/>
    </row>
    <row r="1476">
      <c r="A1476" s="2">
        <v>20849.0</v>
      </c>
      <c r="B1476" s="1" t="s">
        <v>58</v>
      </c>
      <c r="C1476" s="2">
        <v>0.07</v>
      </c>
      <c r="D1476" s="2">
        <v>200.99</v>
      </c>
      <c r="E1476" s="2">
        <v>2603.0</v>
      </c>
      <c r="F1476" s="1" t="s">
        <v>1725</v>
      </c>
      <c r="G1476" s="1" t="s">
        <v>32</v>
      </c>
      <c r="H1476" s="1" t="s">
        <v>46</v>
      </c>
      <c r="I1476" s="1" t="s">
        <v>85</v>
      </c>
      <c r="J1476" s="1" t="s">
        <v>486</v>
      </c>
      <c r="K1476" s="19" t="s">
        <v>26</v>
      </c>
      <c r="L1476" s="20" t="s">
        <v>61</v>
      </c>
      <c r="M1476" s="21">
        <f t="shared" si="1"/>
        <v>7</v>
      </c>
      <c r="N1476" s="2">
        <v>2225.07612</v>
      </c>
      <c r="O1476" s="2">
        <v>22.0</v>
      </c>
      <c r="P1476" s="2">
        <v>3705.14</v>
      </c>
      <c r="Q1476" s="2">
        <v>87383.0</v>
      </c>
      <c r="R1476" s="15" t="b">
        <f>ISNUMBER(MATCH(Q1476,'Returned order'!A:A,0))</f>
        <v>0</v>
      </c>
      <c r="S1476" s="22">
        <v>42099.0</v>
      </c>
      <c r="T1476" s="15"/>
      <c r="U1476" s="15"/>
      <c r="V1476" s="15"/>
    </row>
    <row r="1477">
      <c r="A1477" s="2">
        <v>20850.0</v>
      </c>
      <c r="B1477" s="1" t="s">
        <v>58</v>
      </c>
      <c r="C1477" s="2">
        <v>0.01</v>
      </c>
      <c r="D1477" s="2">
        <v>297.48</v>
      </c>
      <c r="E1477" s="2">
        <v>2604.0</v>
      </c>
      <c r="F1477" s="1" t="s">
        <v>1726</v>
      </c>
      <c r="G1477" s="1" t="s">
        <v>32</v>
      </c>
      <c r="H1477" s="1" t="s">
        <v>46</v>
      </c>
      <c r="I1477" s="1" t="s">
        <v>103</v>
      </c>
      <c r="J1477" s="1" t="s">
        <v>499</v>
      </c>
      <c r="K1477" s="19" t="s">
        <v>26</v>
      </c>
      <c r="L1477" s="20" t="s">
        <v>61</v>
      </c>
      <c r="M1477" s="21">
        <f t="shared" si="1"/>
        <v>7</v>
      </c>
      <c r="N1477" s="2">
        <v>-338.180832</v>
      </c>
      <c r="O1477" s="2">
        <v>3.0</v>
      </c>
      <c r="P1477" s="2">
        <v>945.36</v>
      </c>
      <c r="Q1477" s="2">
        <v>87383.0</v>
      </c>
      <c r="R1477" s="15" t="b">
        <f>ISNUMBER(MATCH(Q1477,'Returned order'!A:A,0))</f>
        <v>0</v>
      </c>
      <c r="S1477" s="22">
        <v>42099.0</v>
      </c>
      <c r="T1477" s="15"/>
      <c r="U1477" s="15"/>
      <c r="V1477" s="15"/>
    </row>
    <row r="1478">
      <c r="A1478" s="2">
        <v>18046.0</v>
      </c>
      <c r="B1478" s="1" t="s">
        <v>28</v>
      </c>
      <c r="C1478" s="2">
        <v>0.09</v>
      </c>
      <c r="D1478" s="2">
        <v>5.4</v>
      </c>
      <c r="E1478" s="2">
        <v>2610.0</v>
      </c>
      <c r="F1478" s="1" t="s">
        <v>1727</v>
      </c>
      <c r="G1478" s="1" t="s">
        <v>32</v>
      </c>
      <c r="H1478" s="1" t="s">
        <v>23</v>
      </c>
      <c r="I1478" s="1" t="s">
        <v>24</v>
      </c>
      <c r="J1478" s="1" t="s">
        <v>328</v>
      </c>
      <c r="K1478" s="19" t="s">
        <v>34</v>
      </c>
      <c r="L1478" s="20" t="s">
        <v>53</v>
      </c>
      <c r="M1478" s="21">
        <f t="shared" si="1"/>
        <v>6</v>
      </c>
      <c r="N1478" s="2">
        <v>-136.252</v>
      </c>
      <c r="O1478" s="2">
        <v>9.0</v>
      </c>
      <c r="P1478" s="2">
        <v>49.24</v>
      </c>
      <c r="Q1478" s="2">
        <v>86118.0</v>
      </c>
      <c r="R1478" s="15" t="b">
        <f>ISNUMBER(MATCH(Q1478,'Returned order'!A:A,0))</f>
        <v>0</v>
      </c>
      <c r="S1478" s="22">
        <v>42140.0</v>
      </c>
      <c r="T1478" s="15"/>
      <c r="U1478" s="15"/>
      <c r="V1478" s="15"/>
    </row>
    <row r="1479">
      <c r="A1479" s="2">
        <v>19971.0</v>
      </c>
      <c r="B1479" s="1" t="s">
        <v>170</v>
      </c>
      <c r="C1479" s="2">
        <v>0.02</v>
      </c>
      <c r="D1479" s="2">
        <v>50.98</v>
      </c>
      <c r="E1479" s="2">
        <v>2613.0</v>
      </c>
      <c r="F1479" s="1" t="s">
        <v>1728</v>
      </c>
      <c r="G1479" s="1" t="s">
        <v>32</v>
      </c>
      <c r="H1479" s="1" t="s">
        <v>23</v>
      </c>
      <c r="I1479" s="1" t="s">
        <v>151</v>
      </c>
      <c r="J1479" s="1" t="s">
        <v>1729</v>
      </c>
      <c r="K1479" s="19" t="s">
        <v>26</v>
      </c>
      <c r="L1479" s="20" t="s">
        <v>53</v>
      </c>
      <c r="M1479" s="21">
        <f t="shared" si="1"/>
        <v>6</v>
      </c>
      <c r="N1479" s="2">
        <v>-25.76</v>
      </c>
      <c r="O1479" s="2">
        <v>1.0</v>
      </c>
      <c r="P1479" s="2">
        <v>68.45</v>
      </c>
      <c r="Q1479" s="2">
        <v>86119.0</v>
      </c>
      <c r="R1479" s="15" t="b">
        <f>ISNUMBER(MATCH(Q1479,'Returned order'!A:A,0))</f>
        <v>0</v>
      </c>
      <c r="S1479" s="22">
        <v>42028.0</v>
      </c>
      <c r="T1479" s="15"/>
      <c r="U1479" s="15"/>
      <c r="V1479" s="15"/>
    </row>
    <row r="1480">
      <c r="A1480" s="2">
        <v>25962.0</v>
      </c>
      <c r="B1480" s="1" t="s">
        <v>58</v>
      </c>
      <c r="C1480" s="2">
        <v>0.0</v>
      </c>
      <c r="D1480" s="2">
        <v>2.6</v>
      </c>
      <c r="E1480" s="2">
        <v>2616.0</v>
      </c>
      <c r="F1480" s="1" t="s">
        <v>1730</v>
      </c>
      <c r="G1480" s="1" t="s">
        <v>32</v>
      </c>
      <c r="H1480" s="1" t="s">
        <v>23</v>
      </c>
      <c r="I1480" s="1" t="s">
        <v>29</v>
      </c>
      <c r="J1480" s="1" t="s">
        <v>806</v>
      </c>
      <c r="K1480" s="19" t="s">
        <v>68</v>
      </c>
      <c r="L1480" s="20" t="s">
        <v>35</v>
      </c>
      <c r="M1480" s="21">
        <f t="shared" si="1"/>
        <v>3</v>
      </c>
      <c r="N1480" s="2">
        <v>-45.21</v>
      </c>
      <c r="O1480" s="2">
        <v>16.0</v>
      </c>
      <c r="P1480" s="2">
        <v>44.75</v>
      </c>
      <c r="Q1480" s="2">
        <v>91495.0</v>
      </c>
      <c r="R1480" s="15" t="b">
        <f>ISNUMBER(MATCH(Q1480,'Returned order'!A:A,0))</f>
        <v>0</v>
      </c>
      <c r="S1480" s="22">
        <v>42074.0</v>
      </c>
      <c r="T1480" s="15"/>
      <c r="U1480" s="15"/>
      <c r="V1480" s="15"/>
    </row>
    <row r="1481">
      <c r="A1481" s="2">
        <v>25478.0</v>
      </c>
      <c r="B1481" s="1" t="s">
        <v>49</v>
      </c>
      <c r="C1481" s="2">
        <v>0.1</v>
      </c>
      <c r="D1481" s="2">
        <v>3.25</v>
      </c>
      <c r="E1481" s="2">
        <v>2617.0</v>
      </c>
      <c r="F1481" s="1" t="s">
        <v>1731</v>
      </c>
      <c r="G1481" s="1" t="s">
        <v>32</v>
      </c>
      <c r="H1481" s="1" t="s">
        <v>23</v>
      </c>
      <c r="I1481" s="1" t="s">
        <v>151</v>
      </c>
      <c r="J1481" s="1" t="s">
        <v>1377</v>
      </c>
      <c r="K1481" s="19" t="s">
        <v>68</v>
      </c>
      <c r="L1481" s="20" t="s">
        <v>53</v>
      </c>
      <c r="M1481" s="21">
        <f t="shared" si="1"/>
        <v>6</v>
      </c>
      <c r="N1481" s="2">
        <v>-286.245</v>
      </c>
      <c r="O1481" s="2">
        <v>6.0</v>
      </c>
      <c r="P1481" s="2">
        <v>40.69</v>
      </c>
      <c r="Q1481" s="2">
        <v>91496.0</v>
      </c>
      <c r="R1481" s="15" t="b">
        <f>ISNUMBER(MATCH(Q1481,'Returned order'!A:A,0))</f>
        <v>0</v>
      </c>
      <c r="S1481" s="22">
        <v>42182.0</v>
      </c>
      <c r="T1481" s="15"/>
      <c r="U1481" s="15"/>
      <c r="V1481" s="15"/>
    </row>
    <row r="1482">
      <c r="A1482" s="2">
        <v>6585.0</v>
      </c>
      <c r="B1482" s="1" t="s">
        <v>63</v>
      </c>
      <c r="C1482" s="2">
        <v>0.1</v>
      </c>
      <c r="D1482" s="2">
        <v>7.64</v>
      </c>
      <c r="E1482" s="2">
        <v>2618.0</v>
      </c>
      <c r="F1482" s="1" t="s">
        <v>194</v>
      </c>
      <c r="G1482" s="1" t="s">
        <v>32</v>
      </c>
      <c r="H1482" s="1" t="s">
        <v>23</v>
      </c>
      <c r="I1482" s="1" t="s">
        <v>88</v>
      </c>
      <c r="J1482" s="1" t="s">
        <v>1732</v>
      </c>
      <c r="K1482" s="19" t="s">
        <v>26</v>
      </c>
      <c r="L1482" s="20" t="s">
        <v>53</v>
      </c>
      <c r="M1482" s="21">
        <f t="shared" si="1"/>
        <v>6</v>
      </c>
      <c r="N1482" s="2">
        <v>16.12</v>
      </c>
      <c r="O1482" s="2">
        <v>18.0</v>
      </c>
      <c r="P1482" s="2">
        <v>130.11</v>
      </c>
      <c r="Q1482" s="2">
        <v>46884.0</v>
      </c>
      <c r="R1482" s="15" t="b">
        <f>ISNUMBER(MATCH(Q1482,'Returned order'!A:A,0))</f>
        <v>0</v>
      </c>
      <c r="S1482" s="22">
        <v>42021.0</v>
      </c>
      <c r="T1482" s="15"/>
      <c r="U1482" s="15"/>
      <c r="V1482" s="15"/>
    </row>
    <row r="1483">
      <c r="A1483" s="2">
        <v>6586.0</v>
      </c>
      <c r="B1483" s="1" t="s">
        <v>63</v>
      </c>
      <c r="C1483" s="2">
        <v>0.0</v>
      </c>
      <c r="D1483" s="2">
        <v>125.99</v>
      </c>
      <c r="E1483" s="2">
        <v>2618.0</v>
      </c>
      <c r="F1483" s="1" t="s">
        <v>194</v>
      </c>
      <c r="G1483" s="1" t="s">
        <v>32</v>
      </c>
      <c r="H1483" s="1" t="s">
        <v>46</v>
      </c>
      <c r="I1483" s="1" t="s">
        <v>85</v>
      </c>
      <c r="J1483" s="1">
        <v>6162.0</v>
      </c>
      <c r="K1483" s="19" t="s">
        <v>26</v>
      </c>
      <c r="L1483" s="20" t="s">
        <v>53</v>
      </c>
      <c r="M1483" s="21">
        <f t="shared" si="1"/>
        <v>6</v>
      </c>
      <c r="N1483" s="2">
        <v>-815.9008</v>
      </c>
      <c r="O1483" s="2">
        <v>3.0</v>
      </c>
      <c r="P1483" s="2">
        <v>337.34</v>
      </c>
      <c r="Q1483" s="2">
        <v>46884.0</v>
      </c>
      <c r="R1483" s="15" t="b">
        <f>ISNUMBER(MATCH(Q1483,'Returned order'!A:A,0))</f>
        <v>0</v>
      </c>
      <c r="S1483" s="22">
        <v>42021.0</v>
      </c>
      <c r="T1483" s="15"/>
      <c r="U1483" s="15"/>
      <c r="V1483" s="15"/>
    </row>
    <row r="1484">
      <c r="A1484" s="2">
        <v>6587.0</v>
      </c>
      <c r="B1484" s="1" t="s">
        <v>63</v>
      </c>
      <c r="C1484" s="2">
        <v>0.1</v>
      </c>
      <c r="D1484" s="2">
        <v>11.55</v>
      </c>
      <c r="E1484" s="2">
        <v>2618.0</v>
      </c>
      <c r="F1484" s="1" t="s">
        <v>194</v>
      </c>
      <c r="G1484" s="1" t="s">
        <v>32</v>
      </c>
      <c r="H1484" s="1" t="s">
        <v>23</v>
      </c>
      <c r="I1484" s="1" t="s">
        <v>29</v>
      </c>
      <c r="J1484" s="1" t="s">
        <v>330</v>
      </c>
      <c r="K1484" s="19" t="s">
        <v>26</v>
      </c>
      <c r="L1484" s="20" t="s">
        <v>53</v>
      </c>
      <c r="M1484" s="21">
        <f t="shared" si="1"/>
        <v>6</v>
      </c>
      <c r="N1484" s="2">
        <v>15.808</v>
      </c>
      <c r="O1484" s="2">
        <v>25.0</v>
      </c>
      <c r="P1484" s="2">
        <v>280.43</v>
      </c>
      <c r="Q1484" s="2">
        <v>46884.0</v>
      </c>
      <c r="R1484" s="15" t="b">
        <f>ISNUMBER(MATCH(Q1484,'Returned order'!A:A,0))</f>
        <v>0</v>
      </c>
      <c r="S1484" s="22">
        <v>42021.0</v>
      </c>
      <c r="T1484" s="15"/>
      <c r="U1484" s="15"/>
      <c r="V1484" s="15"/>
    </row>
    <row r="1485">
      <c r="A1485" s="2">
        <v>4788.0</v>
      </c>
      <c r="B1485" s="1" t="s">
        <v>28</v>
      </c>
      <c r="C1485" s="2">
        <v>0.05</v>
      </c>
      <c r="D1485" s="2">
        <v>4.84</v>
      </c>
      <c r="E1485" s="2">
        <v>2618.0</v>
      </c>
      <c r="F1485" s="1" t="s">
        <v>194</v>
      </c>
      <c r="G1485" s="1" t="s">
        <v>32</v>
      </c>
      <c r="H1485" s="1" t="s">
        <v>23</v>
      </c>
      <c r="I1485" s="1" t="s">
        <v>29</v>
      </c>
      <c r="J1485" s="1" t="s">
        <v>195</v>
      </c>
      <c r="K1485" s="19" t="s">
        <v>26</v>
      </c>
      <c r="L1485" s="20" t="s">
        <v>27</v>
      </c>
      <c r="M1485" s="21">
        <f t="shared" si="1"/>
        <v>1</v>
      </c>
      <c r="N1485" s="2">
        <v>29.17</v>
      </c>
      <c r="O1485" s="2">
        <v>20.0</v>
      </c>
      <c r="P1485" s="2">
        <v>103.39</v>
      </c>
      <c r="Q1485" s="2">
        <v>34017.0</v>
      </c>
      <c r="R1485" s="15" t="b">
        <f>ISNUMBER(MATCH(Q1485,'Returned order'!A:A,0))</f>
        <v>0</v>
      </c>
      <c r="S1485" s="22">
        <v>42086.0</v>
      </c>
      <c r="T1485" s="15"/>
      <c r="U1485" s="15"/>
      <c r="V1485" s="15"/>
    </row>
    <row r="1486">
      <c r="A1486" s="2">
        <v>4789.0</v>
      </c>
      <c r="B1486" s="1" t="s">
        <v>28</v>
      </c>
      <c r="C1486" s="2">
        <v>0.01</v>
      </c>
      <c r="D1486" s="2">
        <v>14.98</v>
      </c>
      <c r="E1486" s="2">
        <v>2618.0</v>
      </c>
      <c r="F1486" s="1" t="s">
        <v>194</v>
      </c>
      <c r="G1486" s="1" t="s">
        <v>32</v>
      </c>
      <c r="H1486" s="1" t="s">
        <v>23</v>
      </c>
      <c r="I1486" s="1" t="s">
        <v>120</v>
      </c>
      <c r="J1486" s="1" t="s">
        <v>196</v>
      </c>
      <c r="K1486" s="19" t="s">
        <v>26</v>
      </c>
      <c r="L1486" s="20" t="s">
        <v>27</v>
      </c>
      <c r="M1486" s="21">
        <f t="shared" si="1"/>
        <v>1</v>
      </c>
      <c r="N1486" s="2">
        <v>-48.97</v>
      </c>
      <c r="O1486" s="2">
        <v>28.0</v>
      </c>
      <c r="P1486" s="2">
        <v>435.39</v>
      </c>
      <c r="Q1486" s="2">
        <v>34017.0</v>
      </c>
      <c r="R1486" s="15" t="b">
        <f>ISNUMBER(MATCH(Q1486,'Returned order'!A:A,0))</f>
        <v>0</v>
      </c>
      <c r="S1486" s="22">
        <v>42086.0</v>
      </c>
      <c r="T1486" s="15"/>
      <c r="U1486" s="15"/>
      <c r="V1486" s="15"/>
    </row>
    <row r="1487">
      <c r="A1487" s="2">
        <v>7452.0</v>
      </c>
      <c r="B1487" s="1" t="s">
        <v>58</v>
      </c>
      <c r="C1487" s="2">
        <v>0.1</v>
      </c>
      <c r="D1487" s="2">
        <v>20.27</v>
      </c>
      <c r="E1487" s="2">
        <v>2618.0</v>
      </c>
      <c r="F1487" s="1" t="s">
        <v>194</v>
      </c>
      <c r="G1487" s="1" t="s">
        <v>32</v>
      </c>
      <c r="H1487" s="1" t="s">
        <v>23</v>
      </c>
      <c r="I1487" s="1" t="s">
        <v>151</v>
      </c>
      <c r="J1487" s="1" t="s">
        <v>152</v>
      </c>
      <c r="K1487" s="19" t="s">
        <v>26</v>
      </c>
      <c r="L1487" s="20" t="s">
        <v>27</v>
      </c>
      <c r="M1487" s="21">
        <f t="shared" si="1"/>
        <v>1</v>
      </c>
      <c r="N1487" s="2">
        <v>84.05</v>
      </c>
      <c r="O1487" s="2">
        <v>53.0</v>
      </c>
      <c r="P1487" s="2">
        <v>1051.52</v>
      </c>
      <c r="Q1487" s="2">
        <v>53153.0</v>
      </c>
      <c r="R1487" s="15" t="b">
        <f>ISNUMBER(MATCH(Q1487,'Returned order'!A:A,0))</f>
        <v>0</v>
      </c>
      <c r="S1487" s="22">
        <v>42086.0</v>
      </c>
      <c r="T1487" s="15"/>
      <c r="U1487" s="15"/>
      <c r="V1487" s="15"/>
    </row>
    <row r="1488">
      <c r="A1488" s="2">
        <v>22788.0</v>
      </c>
      <c r="B1488" s="1" t="s">
        <v>28</v>
      </c>
      <c r="C1488" s="2">
        <v>0.05</v>
      </c>
      <c r="D1488" s="2">
        <v>4.84</v>
      </c>
      <c r="E1488" s="2">
        <v>2619.0</v>
      </c>
      <c r="F1488" s="1" t="s">
        <v>1733</v>
      </c>
      <c r="G1488" s="1" t="s">
        <v>32</v>
      </c>
      <c r="H1488" s="1" t="s">
        <v>23</v>
      </c>
      <c r="I1488" s="1" t="s">
        <v>29</v>
      </c>
      <c r="J1488" s="1" t="s">
        <v>195</v>
      </c>
      <c r="K1488" s="19" t="s">
        <v>68</v>
      </c>
      <c r="L1488" s="20" t="s">
        <v>27</v>
      </c>
      <c r="M1488" s="21">
        <f t="shared" si="1"/>
        <v>1</v>
      </c>
      <c r="N1488" s="2">
        <v>17.8365</v>
      </c>
      <c r="O1488" s="2">
        <v>5.0</v>
      </c>
      <c r="P1488" s="2">
        <v>25.85</v>
      </c>
      <c r="Q1488" s="2">
        <v>88014.0</v>
      </c>
      <c r="R1488" s="15" t="b">
        <f>ISNUMBER(MATCH(Q1488,'Returned order'!A:A,0))</f>
        <v>0</v>
      </c>
      <c r="S1488" s="22">
        <v>42086.0</v>
      </c>
      <c r="T1488" s="15"/>
      <c r="U1488" s="15"/>
      <c r="V1488" s="15"/>
    </row>
    <row r="1489">
      <c r="A1489" s="2">
        <v>18461.0</v>
      </c>
      <c r="B1489" s="1" t="s">
        <v>49</v>
      </c>
      <c r="C1489" s="2">
        <v>0.1</v>
      </c>
      <c r="D1489" s="2">
        <v>30.98</v>
      </c>
      <c r="E1489" s="2">
        <v>2619.0</v>
      </c>
      <c r="F1489" s="1" t="s">
        <v>1733</v>
      </c>
      <c r="G1489" s="1" t="s">
        <v>32</v>
      </c>
      <c r="H1489" s="1" t="s">
        <v>23</v>
      </c>
      <c r="I1489" s="1" t="s">
        <v>29</v>
      </c>
      <c r="J1489" s="1" t="s">
        <v>1161</v>
      </c>
      <c r="K1489" s="19" t="s">
        <v>68</v>
      </c>
      <c r="L1489" s="20" t="s">
        <v>27</v>
      </c>
      <c r="M1489" s="21">
        <f t="shared" si="1"/>
        <v>1</v>
      </c>
      <c r="N1489" s="2">
        <v>-20.2228</v>
      </c>
      <c r="O1489" s="2">
        <v>4.0</v>
      </c>
      <c r="P1489" s="2">
        <v>119.37</v>
      </c>
      <c r="Q1489" s="2">
        <v>88015.0</v>
      </c>
      <c r="R1489" s="15" t="b">
        <f>ISNUMBER(MATCH(Q1489,'Returned order'!A:A,0))</f>
        <v>0</v>
      </c>
      <c r="S1489" s="22">
        <v>42044.0</v>
      </c>
      <c r="T1489" s="15"/>
      <c r="U1489" s="15"/>
      <c r="V1489" s="15"/>
    </row>
    <row r="1490">
      <c r="A1490" s="2">
        <v>25452.0</v>
      </c>
      <c r="B1490" s="1" t="s">
        <v>58</v>
      </c>
      <c r="C1490" s="2">
        <v>0.1</v>
      </c>
      <c r="D1490" s="2">
        <v>20.27</v>
      </c>
      <c r="E1490" s="2">
        <v>2620.0</v>
      </c>
      <c r="F1490" s="1" t="s">
        <v>1734</v>
      </c>
      <c r="G1490" s="1" t="s">
        <v>32</v>
      </c>
      <c r="H1490" s="1" t="s">
        <v>23</v>
      </c>
      <c r="I1490" s="1" t="s">
        <v>151</v>
      </c>
      <c r="J1490" s="1" t="s">
        <v>152</v>
      </c>
      <c r="K1490" s="19" t="s">
        <v>229</v>
      </c>
      <c r="L1490" s="20" t="s">
        <v>27</v>
      </c>
      <c r="M1490" s="21">
        <f t="shared" si="1"/>
        <v>1</v>
      </c>
      <c r="N1490" s="2">
        <v>381.618</v>
      </c>
      <c r="O1490" s="2">
        <v>13.0</v>
      </c>
      <c r="P1490" s="2">
        <v>257.92</v>
      </c>
      <c r="Q1490" s="2">
        <v>88017.0</v>
      </c>
      <c r="R1490" s="15" t="b">
        <f>ISNUMBER(MATCH(Q1490,'Returned order'!A:A,0))</f>
        <v>0</v>
      </c>
      <c r="S1490" s="22">
        <v>42086.0</v>
      </c>
      <c r="T1490" s="15"/>
      <c r="U1490" s="15"/>
      <c r="V1490" s="15"/>
    </row>
    <row r="1491">
      <c r="A1491" s="2">
        <v>26296.0</v>
      </c>
      <c r="B1491" s="1" t="s">
        <v>28</v>
      </c>
      <c r="C1491" s="2">
        <v>0.03</v>
      </c>
      <c r="D1491" s="2">
        <v>40.97</v>
      </c>
      <c r="E1491" s="2">
        <v>2621.0</v>
      </c>
      <c r="F1491" s="1" t="s">
        <v>1735</v>
      </c>
      <c r="G1491" s="1" t="s">
        <v>32</v>
      </c>
      <c r="H1491" s="1" t="s">
        <v>23</v>
      </c>
      <c r="I1491" s="1" t="s">
        <v>29</v>
      </c>
      <c r="J1491" s="1" t="s">
        <v>1736</v>
      </c>
      <c r="K1491" s="19" t="s">
        <v>229</v>
      </c>
      <c r="L1491" s="20" t="s">
        <v>70</v>
      </c>
      <c r="M1491" s="21">
        <f t="shared" si="1"/>
        <v>4</v>
      </c>
      <c r="N1491" s="2">
        <v>-177.058</v>
      </c>
      <c r="O1491" s="2">
        <v>5.0</v>
      </c>
      <c r="P1491" s="2">
        <v>207.22</v>
      </c>
      <c r="Q1491" s="2">
        <v>88016.0</v>
      </c>
      <c r="R1491" s="15" t="b">
        <f>ISNUMBER(MATCH(Q1491,'Returned order'!A:A,0))</f>
        <v>0</v>
      </c>
      <c r="S1491" s="22">
        <v>42082.0</v>
      </c>
      <c r="T1491" s="15"/>
      <c r="U1491" s="15"/>
      <c r="V1491" s="15"/>
    </row>
    <row r="1492">
      <c r="A1492" s="2">
        <v>26032.0</v>
      </c>
      <c r="B1492" s="1" t="s">
        <v>28</v>
      </c>
      <c r="C1492" s="2">
        <v>0.1</v>
      </c>
      <c r="D1492" s="2">
        <v>41.94</v>
      </c>
      <c r="E1492" s="2">
        <v>2626.0</v>
      </c>
      <c r="F1492" s="1" t="s">
        <v>1737</v>
      </c>
      <c r="G1492" s="1" t="s">
        <v>22</v>
      </c>
      <c r="H1492" s="1" t="s">
        <v>23</v>
      </c>
      <c r="I1492" s="1" t="s">
        <v>24</v>
      </c>
      <c r="J1492" s="1" t="s">
        <v>1738</v>
      </c>
      <c r="K1492" s="19" t="s">
        <v>34</v>
      </c>
      <c r="L1492" s="20" t="s">
        <v>53</v>
      </c>
      <c r="M1492" s="21">
        <f t="shared" si="1"/>
        <v>6</v>
      </c>
      <c r="N1492" s="2">
        <v>164.082</v>
      </c>
      <c r="O1492" s="2">
        <v>6.0</v>
      </c>
      <c r="P1492" s="2">
        <v>237.8</v>
      </c>
      <c r="Q1492" s="2">
        <v>90927.0</v>
      </c>
      <c r="R1492" s="15" t="b">
        <f>ISNUMBER(MATCH(Q1492,'Returned order'!A:A,0))</f>
        <v>0</v>
      </c>
      <c r="S1492" s="22">
        <v>42042.0</v>
      </c>
      <c r="T1492" s="15"/>
      <c r="U1492" s="15"/>
      <c r="V1492" s="15"/>
    </row>
    <row r="1493">
      <c r="A1493" s="2">
        <v>18623.0</v>
      </c>
      <c r="B1493" s="1" t="s">
        <v>63</v>
      </c>
      <c r="C1493" s="2">
        <v>0.02</v>
      </c>
      <c r="D1493" s="2">
        <v>30.53</v>
      </c>
      <c r="E1493" s="2">
        <v>2628.0</v>
      </c>
      <c r="F1493" s="1" t="s">
        <v>1739</v>
      </c>
      <c r="G1493" s="1" t="s">
        <v>32</v>
      </c>
      <c r="H1493" s="1" t="s">
        <v>23</v>
      </c>
      <c r="I1493" s="1" t="s">
        <v>130</v>
      </c>
      <c r="J1493" s="1" t="s">
        <v>584</v>
      </c>
      <c r="K1493" s="19" t="s">
        <v>68</v>
      </c>
      <c r="L1493" s="20" t="s">
        <v>53</v>
      </c>
      <c r="M1493" s="21">
        <f t="shared" si="1"/>
        <v>6</v>
      </c>
      <c r="N1493" s="2">
        <v>-54.63</v>
      </c>
      <c r="O1493" s="2">
        <v>14.0</v>
      </c>
      <c r="P1493" s="2">
        <v>448.47</v>
      </c>
      <c r="Q1493" s="2">
        <v>85916.0</v>
      </c>
      <c r="R1493" s="15" t="b">
        <f>ISNUMBER(MATCH(Q1493,'Returned order'!A:A,0))</f>
        <v>0</v>
      </c>
      <c r="S1493" s="22">
        <v>42021.0</v>
      </c>
      <c r="T1493" s="15"/>
      <c r="U1493" s="15"/>
      <c r="V1493" s="15"/>
    </row>
    <row r="1494">
      <c r="A1494" s="2">
        <v>21981.0</v>
      </c>
      <c r="B1494" s="1" t="s">
        <v>58</v>
      </c>
      <c r="C1494" s="2">
        <v>0.01</v>
      </c>
      <c r="D1494" s="2">
        <v>194.3</v>
      </c>
      <c r="E1494" s="2">
        <v>2630.0</v>
      </c>
      <c r="F1494" s="1" t="s">
        <v>1740</v>
      </c>
      <c r="G1494" s="1" t="s">
        <v>66</v>
      </c>
      <c r="H1494" s="1" t="s">
        <v>37</v>
      </c>
      <c r="I1494" s="1" t="s">
        <v>42</v>
      </c>
      <c r="J1494" s="1" t="s">
        <v>899</v>
      </c>
      <c r="K1494" s="19" t="s">
        <v>68</v>
      </c>
      <c r="L1494" s="20" t="s">
        <v>27</v>
      </c>
      <c r="M1494" s="21">
        <f t="shared" si="1"/>
        <v>1</v>
      </c>
      <c r="N1494" s="2">
        <v>690.1794</v>
      </c>
      <c r="O1494" s="2">
        <v>5.0</v>
      </c>
      <c r="P1494" s="2">
        <v>1000.26</v>
      </c>
      <c r="Q1494" s="2">
        <v>85914.0</v>
      </c>
      <c r="R1494" s="15" t="b">
        <f>ISNUMBER(MATCH(Q1494,'Returned order'!A:A,0))</f>
        <v>0</v>
      </c>
      <c r="S1494" s="22">
        <v>42009.0</v>
      </c>
      <c r="T1494" s="15"/>
      <c r="U1494" s="15"/>
      <c r="V1494" s="15"/>
    </row>
    <row r="1495">
      <c r="A1495" s="2">
        <v>21982.0</v>
      </c>
      <c r="B1495" s="1" t="s">
        <v>58</v>
      </c>
      <c r="C1495" s="2">
        <v>0.02</v>
      </c>
      <c r="D1495" s="2">
        <v>209.84</v>
      </c>
      <c r="E1495" s="2">
        <v>2630.0</v>
      </c>
      <c r="F1495" s="1" t="s">
        <v>1740</v>
      </c>
      <c r="G1495" s="1" t="s">
        <v>66</v>
      </c>
      <c r="H1495" s="1" t="s">
        <v>37</v>
      </c>
      <c r="I1495" s="1" t="s">
        <v>42</v>
      </c>
      <c r="J1495" s="1" t="s">
        <v>898</v>
      </c>
      <c r="K1495" s="19" t="s">
        <v>68</v>
      </c>
      <c r="L1495" s="20" t="s">
        <v>27</v>
      </c>
      <c r="M1495" s="21">
        <f t="shared" si="1"/>
        <v>1</v>
      </c>
      <c r="N1495" s="2">
        <v>1507.6431</v>
      </c>
      <c r="O1495" s="2">
        <v>10.0</v>
      </c>
      <c r="P1495" s="2">
        <v>2184.99</v>
      </c>
      <c r="Q1495" s="2">
        <v>85914.0</v>
      </c>
      <c r="R1495" s="15" t="b">
        <f>ISNUMBER(MATCH(Q1495,'Returned order'!A:A,0))</f>
        <v>0</v>
      </c>
      <c r="S1495" s="22">
        <v>42009.0</v>
      </c>
      <c r="T1495" s="15"/>
      <c r="U1495" s="15"/>
      <c r="V1495" s="15"/>
    </row>
    <row r="1496">
      <c r="A1496" s="2">
        <v>21983.0</v>
      </c>
      <c r="B1496" s="1" t="s">
        <v>58</v>
      </c>
      <c r="C1496" s="2">
        <v>0.0</v>
      </c>
      <c r="D1496" s="2">
        <v>145.45</v>
      </c>
      <c r="E1496" s="2">
        <v>2630.0</v>
      </c>
      <c r="F1496" s="1" t="s">
        <v>1740</v>
      </c>
      <c r="G1496" s="1" t="s">
        <v>66</v>
      </c>
      <c r="H1496" s="1" t="s">
        <v>46</v>
      </c>
      <c r="I1496" s="1" t="s">
        <v>103</v>
      </c>
      <c r="J1496" s="1" t="s">
        <v>837</v>
      </c>
      <c r="K1496" s="19" t="s">
        <v>68</v>
      </c>
      <c r="L1496" s="20" t="s">
        <v>27</v>
      </c>
      <c r="M1496" s="21">
        <f t="shared" si="1"/>
        <v>1</v>
      </c>
      <c r="N1496" s="2">
        <v>801.7468</v>
      </c>
      <c r="O1496" s="2">
        <v>8.0</v>
      </c>
      <c r="P1496" s="2">
        <v>1191.2</v>
      </c>
      <c r="Q1496" s="2">
        <v>85914.0</v>
      </c>
      <c r="R1496" s="15" t="b">
        <f>ISNUMBER(MATCH(Q1496,'Returned order'!A:A,0))</f>
        <v>0</v>
      </c>
      <c r="S1496" s="22">
        <v>42009.0</v>
      </c>
      <c r="T1496" s="15"/>
      <c r="U1496" s="15"/>
      <c r="V1496" s="15"/>
    </row>
    <row r="1497">
      <c r="A1497" s="2">
        <v>22540.0</v>
      </c>
      <c r="B1497" s="1" t="s">
        <v>28</v>
      </c>
      <c r="C1497" s="2">
        <v>0.07</v>
      </c>
      <c r="D1497" s="2">
        <v>65.99</v>
      </c>
      <c r="E1497" s="2">
        <v>2630.0</v>
      </c>
      <c r="F1497" s="1" t="s">
        <v>1740</v>
      </c>
      <c r="G1497" s="1" t="s">
        <v>66</v>
      </c>
      <c r="H1497" s="1" t="s">
        <v>46</v>
      </c>
      <c r="I1497" s="1" t="s">
        <v>85</v>
      </c>
      <c r="J1497" s="1" t="s">
        <v>1741</v>
      </c>
      <c r="K1497" s="19" t="s">
        <v>68</v>
      </c>
      <c r="L1497" s="20" t="s">
        <v>35</v>
      </c>
      <c r="M1497" s="21">
        <f t="shared" si="1"/>
        <v>3</v>
      </c>
      <c r="N1497" s="2">
        <v>-139.18256</v>
      </c>
      <c r="O1497" s="2">
        <v>3.0</v>
      </c>
      <c r="P1497" s="2">
        <v>165.71</v>
      </c>
      <c r="Q1497" s="2">
        <v>85915.0</v>
      </c>
      <c r="R1497" s="15" t="b">
        <f>ISNUMBER(MATCH(Q1497,'Returned order'!A:A,0))</f>
        <v>0</v>
      </c>
      <c r="S1497" s="22">
        <v>42011.0</v>
      </c>
      <c r="T1497" s="15"/>
      <c r="U1497" s="15"/>
      <c r="V1497" s="15"/>
    </row>
    <row r="1498">
      <c r="A1498" s="2">
        <v>25594.0</v>
      </c>
      <c r="B1498" s="1" t="s">
        <v>170</v>
      </c>
      <c r="C1498" s="2">
        <v>0.05</v>
      </c>
      <c r="D1498" s="2">
        <v>100.97</v>
      </c>
      <c r="E1498" s="2">
        <v>2638.0</v>
      </c>
      <c r="F1498" s="1" t="s">
        <v>1742</v>
      </c>
      <c r="G1498" s="1" t="s">
        <v>22</v>
      </c>
      <c r="H1498" s="1" t="s">
        <v>46</v>
      </c>
      <c r="I1498" s="1" t="s">
        <v>47</v>
      </c>
      <c r="J1498" s="1" t="s">
        <v>1515</v>
      </c>
      <c r="K1498" s="19" t="s">
        <v>34</v>
      </c>
      <c r="L1498" s="20" t="s">
        <v>27</v>
      </c>
      <c r="M1498" s="21">
        <f t="shared" si="1"/>
        <v>1</v>
      </c>
      <c r="N1498" s="2">
        <v>881.4681</v>
      </c>
      <c r="O1498" s="2">
        <v>13.0</v>
      </c>
      <c r="P1498" s="2">
        <v>1277.49</v>
      </c>
      <c r="Q1498" s="2">
        <v>90951.0</v>
      </c>
      <c r="R1498" s="15" t="b">
        <f>ISNUMBER(MATCH(Q1498,'Returned order'!A:A,0))</f>
        <v>0</v>
      </c>
      <c r="S1498" s="22">
        <v>42163.0</v>
      </c>
      <c r="T1498" s="15"/>
      <c r="U1498" s="15"/>
      <c r="V1498" s="15"/>
    </row>
    <row r="1499">
      <c r="A1499" s="2">
        <v>21041.0</v>
      </c>
      <c r="B1499" s="1" t="s">
        <v>49</v>
      </c>
      <c r="C1499" s="2">
        <v>0.05</v>
      </c>
      <c r="D1499" s="2">
        <v>4.98</v>
      </c>
      <c r="E1499" s="2">
        <v>2639.0</v>
      </c>
      <c r="F1499" s="1" t="s">
        <v>1743</v>
      </c>
      <c r="G1499" s="1" t="s">
        <v>22</v>
      </c>
      <c r="H1499" s="1" t="s">
        <v>23</v>
      </c>
      <c r="I1499" s="1" t="s">
        <v>130</v>
      </c>
      <c r="J1499" s="1" t="s">
        <v>1074</v>
      </c>
      <c r="K1499" s="19" t="s">
        <v>34</v>
      </c>
      <c r="L1499" s="20" t="s">
        <v>70</v>
      </c>
      <c r="M1499" s="21">
        <f t="shared" si="1"/>
        <v>4</v>
      </c>
      <c r="N1499" s="2">
        <v>3.84</v>
      </c>
      <c r="O1499" s="2">
        <v>3.0</v>
      </c>
      <c r="P1499" s="2">
        <v>14.2</v>
      </c>
      <c r="Q1499" s="2">
        <v>90952.0</v>
      </c>
      <c r="R1499" s="15" t="b">
        <f>ISNUMBER(MATCH(Q1499,'Returned order'!A:A,0))</f>
        <v>0</v>
      </c>
      <c r="S1499" s="22">
        <v>42082.0</v>
      </c>
      <c r="T1499" s="15"/>
      <c r="U1499" s="15"/>
      <c r="V1499" s="15"/>
    </row>
    <row r="1500">
      <c r="A1500" s="2">
        <v>22438.0</v>
      </c>
      <c r="B1500" s="1" t="s">
        <v>170</v>
      </c>
      <c r="C1500" s="2">
        <v>0.1</v>
      </c>
      <c r="D1500" s="2">
        <v>10.98</v>
      </c>
      <c r="E1500" s="2">
        <v>2647.0</v>
      </c>
      <c r="F1500" s="1" t="s">
        <v>1744</v>
      </c>
      <c r="G1500" s="1" t="s">
        <v>32</v>
      </c>
      <c r="H1500" s="1" t="s">
        <v>23</v>
      </c>
      <c r="I1500" s="1" t="s">
        <v>151</v>
      </c>
      <c r="J1500" s="1" t="s">
        <v>1176</v>
      </c>
      <c r="K1500" s="19" t="s">
        <v>34</v>
      </c>
      <c r="L1500" s="20" t="s">
        <v>57</v>
      </c>
      <c r="M1500" s="21">
        <f t="shared" si="1"/>
        <v>2</v>
      </c>
      <c r="N1500" s="2">
        <v>-21.03</v>
      </c>
      <c r="O1500" s="2">
        <v>5.0</v>
      </c>
      <c r="P1500" s="2">
        <v>52.21</v>
      </c>
      <c r="Q1500" s="2">
        <v>91386.0</v>
      </c>
      <c r="R1500" s="15" t="b">
        <f>ISNUMBER(MATCH(Q1500,'Returned order'!A:A,0))</f>
        <v>0</v>
      </c>
      <c r="S1500" s="22">
        <v>42080.0</v>
      </c>
      <c r="T1500" s="15"/>
      <c r="U1500" s="15"/>
      <c r="V1500" s="15"/>
    </row>
    <row r="1501">
      <c r="A1501" s="2">
        <v>22439.0</v>
      </c>
      <c r="B1501" s="1" t="s">
        <v>170</v>
      </c>
      <c r="C1501" s="2">
        <v>0.01</v>
      </c>
      <c r="D1501" s="2">
        <v>39.98</v>
      </c>
      <c r="E1501" s="2">
        <v>2647.0</v>
      </c>
      <c r="F1501" s="1" t="s">
        <v>1744</v>
      </c>
      <c r="G1501" s="1" t="s">
        <v>32</v>
      </c>
      <c r="H1501" s="1" t="s">
        <v>37</v>
      </c>
      <c r="I1501" s="1" t="s">
        <v>42</v>
      </c>
      <c r="J1501" s="1" t="s">
        <v>1745</v>
      </c>
      <c r="K1501" s="19" t="s">
        <v>34</v>
      </c>
      <c r="L1501" s="20" t="s">
        <v>57</v>
      </c>
      <c r="M1501" s="21">
        <f t="shared" si="1"/>
        <v>2</v>
      </c>
      <c r="N1501" s="2">
        <v>117.5208</v>
      </c>
      <c r="O1501" s="2">
        <v>4.0</v>
      </c>
      <c r="P1501" s="2">
        <v>170.32</v>
      </c>
      <c r="Q1501" s="2">
        <v>91386.0</v>
      </c>
      <c r="R1501" s="15" t="b">
        <f>ISNUMBER(MATCH(Q1501,'Returned order'!A:A,0))</f>
        <v>0</v>
      </c>
      <c r="S1501" s="22">
        <v>42080.0</v>
      </c>
      <c r="T1501" s="15"/>
      <c r="U1501" s="15"/>
      <c r="V1501" s="15"/>
    </row>
    <row r="1502">
      <c r="A1502" s="2">
        <v>18720.0</v>
      </c>
      <c r="B1502" s="1" t="s">
        <v>28</v>
      </c>
      <c r="C1502" s="2">
        <v>0.01</v>
      </c>
      <c r="D1502" s="2">
        <v>39.98</v>
      </c>
      <c r="E1502" s="2">
        <v>2649.0</v>
      </c>
      <c r="F1502" s="1" t="s">
        <v>1746</v>
      </c>
      <c r="G1502" s="1" t="s">
        <v>32</v>
      </c>
      <c r="H1502" s="1" t="s">
        <v>46</v>
      </c>
      <c r="I1502" s="1" t="s">
        <v>47</v>
      </c>
      <c r="J1502" s="1" t="s">
        <v>293</v>
      </c>
      <c r="K1502" s="19" t="s">
        <v>26</v>
      </c>
      <c r="L1502" s="20" t="s">
        <v>70</v>
      </c>
      <c r="M1502" s="21">
        <f t="shared" si="1"/>
        <v>4</v>
      </c>
      <c r="N1502" s="2">
        <v>-30.808</v>
      </c>
      <c r="O1502" s="2">
        <v>5.0</v>
      </c>
      <c r="P1502" s="2">
        <v>203.29</v>
      </c>
      <c r="Q1502" s="2">
        <v>88814.0</v>
      </c>
      <c r="R1502" s="15" t="b">
        <f>ISNUMBER(MATCH(Q1502,'Returned order'!A:A,0))</f>
        <v>0</v>
      </c>
      <c r="S1502" s="22">
        <v>42166.0</v>
      </c>
      <c r="T1502" s="15"/>
      <c r="U1502" s="15"/>
      <c r="V1502" s="15"/>
    </row>
    <row r="1503">
      <c r="A1503" s="2">
        <v>22904.0</v>
      </c>
      <c r="B1503" s="1" t="s">
        <v>58</v>
      </c>
      <c r="C1503" s="2">
        <v>0.05</v>
      </c>
      <c r="D1503" s="2">
        <v>35.99</v>
      </c>
      <c r="E1503" s="2">
        <v>2650.0</v>
      </c>
      <c r="F1503" s="1" t="s">
        <v>199</v>
      </c>
      <c r="G1503" s="1" t="s">
        <v>32</v>
      </c>
      <c r="H1503" s="1" t="s">
        <v>46</v>
      </c>
      <c r="I1503" s="1" t="s">
        <v>85</v>
      </c>
      <c r="J1503" s="1" t="s">
        <v>200</v>
      </c>
      <c r="K1503" s="19" t="s">
        <v>26</v>
      </c>
      <c r="L1503" s="20" t="s">
        <v>27</v>
      </c>
      <c r="M1503" s="21">
        <f t="shared" si="1"/>
        <v>1</v>
      </c>
      <c r="N1503" s="2">
        <v>524.3172</v>
      </c>
      <c r="O1503" s="2">
        <v>26.0</v>
      </c>
      <c r="P1503" s="2">
        <v>759.88</v>
      </c>
      <c r="Q1503" s="2">
        <v>88815.0</v>
      </c>
      <c r="R1503" s="15" t="b">
        <f>ISNUMBER(MATCH(Q1503,'Returned order'!A:A,0))</f>
        <v>0</v>
      </c>
      <c r="S1503" s="22">
        <v>42128.0</v>
      </c>
      <c r="T1503" s="15"/>
      <c r="U1503" s="15"/>
      <c r="V1503" s="15"/>
    </row>
    <row r="1504">
      <c r="A1504" s="2">
        <v>18949.0</v>
      </c>
      <c r="B1504" s="1" t="s">
        <v>63</v>
      </c>
      <c r="C1504" s="2">
        <v>0.06</v>
      </c>
      <c r="D1504" s="2">
        <v>47.9</v>
      </c>
      <c r="E1504" s="2">
        <v>2652.0</v>
      </c>
      <c r="F1504" s="1" t="s">
        <v>1747</v>
      </c>
      <c r="G1504" s="1" t="s">
        <v>22</v>
      </c>
      <c r="H1504" s="1" t="s">
        <v>23</v>
      </c>
      <c r="I1504" s="1" t="s">
        <v>93</v>
      </c>
      <c r="J1504" s="1" t="s">
        <v>1409</v>
      </c>
      <c r="K1504" s="19" t="s">
        <v>34</v>
      </c>
      <c r="L1504" s="20" t="s">
        <v>27</v>
      </c>
      <c r="M1504" s="21">
        <f t="shared" si="1"/>
        <v>1</v>
      </c>
      <c r="N1504" s="2">
        <v>21.78</v>
      </c>
      <c r="O1504" s="2">
        <v>2.0</v>
      </c>
      <c r="P1504" s="2">
        <v>94.2</v>
      </c>
      <c r="Q1504" s="2">
        <v>89361.0</v>
      </c>
      <c r="R1504" s="15" t="b">
        <f>ISNUMBER(MATCH(Q1504,'Returned order'!A:A,0))</f>
        <v>0</v>
      </c>
      <c r="S1504" s="22">
        <v>42149.0</v>
      </c>
      <c r="T1504" s="15"/>
      <c r="U1504" s="15"/>
      <c r="V1504" s="15"/>
    </row>
    <row r="1505">
      <c r="A1505" s="2">
        <v>25662.0</v>
      </c>
      <c r="B1505" s="1" t="s">
        <v>49</v>
      </c>
      <c r="C1505" s="2">
        <v>0.05</v>
      </c>
      <c r="D1505" s="2">
        <v>4.98</v>
      </c>
      <c r="E1505" s="2">
        <v>2653.0</v>
      </c>
      <c r="F1505" s="1" t="s">
        <v>1748</v>
      </c>
      <c r="G1505" s="1" t="s">
        <v>22</v>
      </c>
      <c r="H1505" s="1" t="s">
        <v>46</v>
      </c>
      <c r="I1505" s="1" t="s">
        <v>47</v>
      </c>
      <c r="J1505" s="1" t="s">
        <v>144</v>
      </c>
      <c r="K1505" s="19" t="s">
        <v>68</v>
      </c>
      <c r="L1505" s="20" t="s">
        <v>61</v>
      </c>
      <c r="M1505" s="21">
        <f t="shared" si="1"/>
        <v>7</v>
      </c>
      <c r="N1505" s="2">
        <v>-98.35</v>
      </c>
      <c r="O1505" s="2">
        <v>7.0</v>
      </c>
      <c r="P1505" s="2">
        <v>34.32</v>
      </c>
      <c r="Q1505" s="2">
        <v>89360.0</v>
      </c>
      <c r="R1505" s="15" t="b">
        <f>ISNUMBER(MATCH(Q1505,'Returned order'!A:A,0))</f>
        <v>0</v>
      </c>
      <c r="S1505" s="22">
        <v>42057.0</v>
      </c>
      <c r="T1505" s="15"/>
      <c r="U1505" s="15"/>
      <c r="V1505" s="15"/>
    </row>
    <row r="1506">
      <c r="A1506" s="2">
        <v>25663.0</v>
      </c>
      <c r="B1506" s="1" t="s">
        <v>49</v>
      </c>
      <c r="C1506" s="2">
        <v>0.02</v>
      </c>
      <c r="D1506" s="2">
        <v>34.23</v>
      </c>
      <c r="E1506" s="2">
        <v>2653.0</v>
      </c>
      <c r="F1506" s="1" t="s">
        <v>1748</v>
      </c>
      <c r="G1506" s="1" t="s">
        <v>22</v>
      </c>
      <c r="H1506" s="1" t="s">
        <v>37</v>
      </c>
      <c r="I1506" s="1" t="s">
        <v>42</v>
      </c>
      <c r="J1506" s="1" t="s">
        <v>1038</v>
      </c>
      <c r="K1506" s="19" t="s">
        <v>68</v>
      </c>
      <c r="L1506" s="20" t="s">
        <v>61</v>
      </c>
      <c r="M1506" s="21">
        <f t="shared" si="1"/>
        <v>7</v>
      </c>
      <c r="N1506" s="2">
        <v>270.7905</v>
      </c>
      <c r="O1506" s="2">
        <v>11.0</v>
      </c>
      <c r="P1506" s="2">
        <v>392.45</v>
      </c>
      <c r="Q1506" s="2">
        <v>89360.0</v>
      </c>
      <c r="R1506" s="15" t="b">
        <f>ISNUMBER(MATCH(Q1506,'Returned order'!A:A,0))</f>
        <v>0</v>
      </c>
      <c r="S1506" s="22">
        <v>42057.0</v>
      </c>
      <c r="T1506" s="15"/>
      <c r="U1506" s="15"/>
      <c r="V1506" s="15"/>
    </row>
    <row r="1507">
      <c r="A1507" s="2">
        <v>19131.0</v>
      </c>
      <c r="B1507" s="1" t="s">
        <v>63</v>
      </c>
      <c r="C1507" s="2">
        <v>0.09</v>
      </c>
      <c r="D1507" s="2">
        <v>89.99</v>
      </c>
      <c r="E1507" s="2">
        <v>2655.0</v>
      </c>
      <c r="F1507" s="1" t="s">
        <v>1749</v>
      </c>
      <c r="G1507" s="1" t="s">
        <v>22</v>
      </c>
      <c r="H1507" s="1" t="s">
        <v>37</v>
      </c>
      <c r="I1507" s="1" t="s">
        <v>38</v>
      </c>
      <c r="J1507" s="1" t="s">
        <v>1750</v>
      </c>
      <c r="K1507" s="19" t="s">
        <v>229</v>
      </c>
      <c r="L1507" s="20" t="s">
        <v>53</v>
      </c>
      <c r="M1507" s="21">
        <f t="shared" si="1"/>
        <v>6</v>
      </c>
      <c r="N1507" s="2">
        <v>223.416</v>
      </c>
      <c r="O1507" s="2">
        <v>6.0</v>
      </c>
      <c r="P1507" s="2">
        <v>511.25</v>
      </c>
      <c r="Q1507" s="2">
        <v>86063.0</v>
      </c>
      <c r="R1507" s="15" t="b">
        <f>ISNUMBER(MATCH(Q1507,'Returned order'!A:A,0))</f>
        <v>0</v>
      </c>
      <c r="S1507" s="22">
        <v>42112.0</v>
      </c>
      <c r="T1507" s="15"/>
      <c r="U1507" s="15"/>
      <c r="V1507" s="15"/>
    </row>
    <row r="1508">
      <c r="A1508" s="2">
        <v>22938.0</v>
      </c>
      <c r="B1508" s="1" t="s">
        <v>58</v>
      </c>
      <c r="C1508" s="2">
        <v>0.07</v>
      </c>
      <c r="D1508" s="2">
        <v>2.94</v>
      </c>
      <c r="E1508" s="2">
        <v>2655.0</v>
      </c>
      <c r="F1508" s="1" t="s">
        <v>1749</v>
      </c>
      <c r="G1508" s="1" t="s">
        <v>32</v>
      </c>
      <c r="H1508" s="1" t="s">
        <v>23</v>
      </c>
      <c r="I1508" s="1" t="s">
        <v>29</v>
      </c>
      <c r="J1508" s="1" t="s">
        <v>1751</v>
      </c>
      <c r="K1508" s="19" t="s">
        <v>229</v>
      </c>
      <c r="L1508" s="20" t="s">
        <v>35</v>
      </c>
      <c r="M1508" s="21">
        <f t="shared" si="1"/>
        <v>3</v>
      </c>
      <c r="N1508" s="2">
        <v>-93.9274</v>
      </c>
      <c r="O1508" s="2">
        <v>10.0</v>
      </c>
      <c r="P1508" s="2">
        <v>29.88</v>
      </c>
      <c r="Q1508" s="2">
        <v>86064.0</v>
      </c>
      <c r="R1508" s="15" t="b">
        <f>ISNUMBER(MATCH(Q1508,'Returned order'!A:A,0))</f>
        <v>0</v>
      </c>
      <c r="S1508" s="22">
        <v>42102.0</v>
      </c>
      <c r="T1508" s="15"/>
      <c r="U1508" s="15"/>
      <c r="V1508" s="15"/>
    </row>
    <row r="1509">
      <c r="A1509" s="2">
        <v>19525.0</v>
      </c>
      <c r="B1509" s="1" t="s">
        <v>58</v>
      </c>
      <c r="C1509" s="2">
        <v>0.01</v>
      </c>
      <c r="D1509" s="2">
        <v>138.14</v>
      </c>
      <c r="E1509" s="2">
        <v>2660.0</v>
      </c>
      <c r="F1509" s="1" t="s">
        <v>1752</v>
      </c>
      <c r="G1509" s="1" t="s">
        <v>66</v>
      </c>
      <c r="H1509" s="1" t="s">
        <v>23</v>
      </c>
      <c r="I1509" s="1" t="s">
        <v>120</v>
      </c>
      <c r="J1509" s="1" t="s">
        <v>1753</v>
      </c>
      <c r="K1509" s="19" t="s">
        <v>26</v>
      </c>
      <c r="L1509" s="20" t="s">
        <v>57</v>
      </c>
      <c r="M1509" s="21">
        <f t="shared" si="1"/>
        <v>2</v>
      </c>
      <c r="N1509" s="2">
        <v>-321.51</v>
      </c>
      <c r="O1509" s="2">
        <v>4.0</v>
      </c>
      <c r="P1509" s="2">
        <v>599.03</v>
      </c>
      <c r="Q1509" s="2">
        <v>86486.0</v>
      </c>
      <c r="R1509" s="15" t="b">
        <f>ISNUMBER(MATCH(Q1509,'Returned order'!A:A,0))</f>
        <v>0</v>
      </c>
      <c r="S1509" s="22">
        <v>42059.0</v>
      </c>
      <c r="T1509" s="15"/>
      <c r="U1509" s="15"/>
      <c r="V1509" s="15"/>
    </row>
    <row r="1510">
      <c r="A1510" s="2">
        <v>18400.0</v>
      </c>
      <c r="B1510" s="1" t="s">
        <v>28</v>
      </c>
      <c r="C1510" s="2">
        <v>0.04</v>
      </c>
      <c r="D1510" s="2">
        <v>90.24</v>
      </c>
      <c r="E1510" s="2">
        <v>2667.0</v>
      </c>
      <c r="F1510" s="1" t="s">
        <v>1754</v>
      </c>
      <c r="G1510" s="1" t="s">
        <v>51</v>
      </c>
      <c r="H1510" s="1" t="s">
        <v>23</v>
      </c>
      <c r="I1510" s="1" t="s">
        <v>151</v>
      </c>
      <c r="J1510" s="1" t="s">
        <v>1755</v>
      </c>
      <c r="K1510" s="19" t="s">
        <v>26</v>
      </c>
      <c r="L1510" s="20" t="s">
        <v>70</v>
      </c>
      <c r="M1510" s="21">
        <f t="shared" si="1"/>
        <v>4</v>
      </c>
      <c r="N1510" s="2">
        <v>246.2748</v>
      </c>
      <c r="O1510" s="2">
        <v>4.0</v>
      </c>
      <c r="P1510" s="2">
        <v>356.92</v>
      </c>
      <c r="Q1510" s="2">
        <v>87831.0</v>
      </c>
      <c r="R1510" s="15" t="b">
        <f>ISNUMBER(MATCH(Q1510,'Returned order'!A:A,0))</f>
        <v>0</v>
      </c>
      <c r="S1510" s="22">
        <v>42096.0</v>
      </c>
      <c r="T1510" s="15"/>
      <c r="U1510" s="15"/>
      <c r="V1510" s="15"/>
    </row>
    <row r="1511">
      <c r="A1511" s="2">
        <v>18401.0</v>
      </c>
      <c r="B1511" s="1" t="s">
        <v>28</v>
      </c>
      <c r="C1511" s="2">
        <v>0.09</v>
      </c>
      <c r="D1511" s="2">
        <v>47.9</v>
      </c>
      <c r="E1511" s="2">
        <v>2667.0</v>
      </c>
      <c r="F1511" s="1" t="s">
        <v>1754</v>
      </c>
      <c r="G1511" s="1" t="s">
        <v>51</v>
      </c>
      <c r="H1511" s="1" t="s">
        <v>23</v>
      </c>
      <c r="I1511" s="1" t="s">
        <v>93</v>
      </c>
      <c r="J1511" s="1" t="s">
        <v>1409</v>
      </c>
      <c r="K1511" s="19" t="s">
        <v>26</v>
      </c>
      <c r="L1511" s="20" t="s">
        <v>70</v>
      </c>
      <c r="M1511" s="21">
        <f t="shared" si="1"/>
        <v>4</v>
      </c>
      <c r="N1511" s="2">
        <v>93.9504</v>
      </c>
      <c r="O1511" s="2">
        <v>3.0</v>
      </c>
      <c r="P1511" s="2">
        <v>136.16</v>
      </c>
      <c r="Q1511" s="2">
        <v>87831.0</v>
      </c>
      <c r="R1511" s="15" t="b">
        <f>ISNUMBER(MATCH(Q1511,'Returned order'!A:A,0))</f>
        <v>0</v>
      </c>
      <c r="S1511" s="22">
        <v>42096.0</v>
      </c>
      <c r="T1511" s="15"/>
      <c r="U1511" s="15"/>
      <c r="V1511" s="15"/>
    </row>
    <row r="1512">
      <c r="A1512" s="2">
        <v>19294.0</v>
      </c>
      <c r="B1512" s="1" t="s">
        <v>28</v>
      </c>
      <c r="C1512" s="2">
        <v>0.04</v>
      </c>
      <c r="D1512" s="2">
        <v>10.4</v>
      </c>
      <c r="E1512" s="2">
        <v>2668.0</v>
      </c>
      <c r="F1512" s="1" t="s">
        <v>1756</v>
      </c>
      <c r="G1512" s="1" t="s">
        <v>32</v>
      </c>
      <c r="H1512" s="1" t="s">
        <v>37</v>
      </c>
      <c r="I1512" s="1" t="s">
        <v>42</v>
      </c>
      <c r="J1512" s="1" t="s">
        <v>1757</v>
      </c>
      <c r="K1512" s="19" t="s">
        <v>68</v>
      </c>
      <c r="L1512" s="20" t="s">
        <v>53</v>
      </c>
      <c r="M1512" s="21">
        <f t="shared" si="1"/>
        <v>6</v>
      </c>
      <c r="N1512" s="2">
        <v>29.98</v>
      </c>
      <c r="O1512" s="2">
        <v>12.0</v>
      </c>
      <c r="P1512" s="2">
        <v>130.74</v>
      </c>
      <c r="Q1512" s="2">
        <v>87830.0</v>
      </c>
      <c r="R1512" s="15" t="b">
        <f>ISNUMBER(MATCH(Q1512,'Returned order'!A:A,0))</f>
        <v>0</v>
      </c>
      <c r="S1512" s="22">
        <v>42091.0</v>
      </c>
      <c r="T1512" s="15"/>
      <c r="U1512" s="15"/>
      <c r="V1512" s="15"/>
    </row>
    <row r="1513">
      <c r="A1513" s="2">
        <v>19295.0</v>
      </c>
      <c r="B1513" s="1" t="s">
        <v>28</v>
      </c>
      <c r="C1513" s="2">
        <v>0.08</v>
      </c>
      <c r="D1513" s="2">
        <v>4.28</v>
      </c>
      <c r="E1513" s="2">
        <v>2668.0</v>
      </c>
      <c r="F1513" s="1" t="s">
        <v>1756</v>
      </c>
      <c r="G1513" s="1" t="s">
        <v>32</v>
      </c>
      <c r="H1513" s="1" t="s">
        <v>23</v>
      </c>
      <c r="I1513" s="1" t="s">
        <v>93</v>
      </c>
      <c r="J1513" s="1" t="s">
        <v>1758</v>
      </c>
      <c r="K1513" s="19" t="s">
        <v>68</v>
      </c>
      <c r="L1513" s="20" t="s">
        <v>53</v>
      </c>
      <c r="M1513" s="21">
        <f t="shared" si="1"/>
        <v>6</v>
      </c>
      <c r="N1513" s="2">
        <v>-121.2</v>
      </c>
      <c r="O1513" s="2">
        <v>12.0</v>
      </c>
      <c r="P1513" s="2">
        <v>49.87</v>
      </c>
      <c r="Q1513" s="2">
        <v>87830.0</v>
      </c>
      <c r="R1513" s="15" t="b">
        <f>ISNUMBER(MATCH(Q1513,'Returned order'!A:A,0))</f>
        <v>0</v>
      </c>
      <c r="S1513" s="22">
        <v>42091.0</v>
      </c>
      <c r="T1513" s="15"/>
      <c r="U1513" s="15"/>
      <c r="V1513" s="15"/>
    </row>
    <row r="1514">
      <c r="A1514" s="2">
        <v>18870.0</v>
      </c>
      <c r="B1514" s="1" t="s">
        <v>49</v>
      </c>
      <c r="C1514" s="2">
        <v>0.06</v>
      </c>
      <c r="D1514" s="2">
        <v>3.93</v>
      </c>
      <c r="E1514" s="2">
        <v>2668.0</v>
      </c>
      <c r="F1514" s="1" t="s">
        <v>1756</v>
      </c>
      <c r="G1514" s="1" t="s">
        <v>51</v>
      </c>
      <c r="H1514" s="1" t="s">
        <v>23</v>
      </c>
      <c r="I1514" s="1" t="s">
        <v>81</v>
      </c>
      <c r="J1514" s="1" t="s">
        <v>1759</v>
      </c>
      <c r="K1514" s="19" t="s">
        <v>68</v>
      </c>
      <c r="L1514" s="20" t="s">
        <v>57</v>
      </c>
      <c r="M1514" s="21">
        <f t="shared" si="1"/>
        <v>2</v>
      </c>
      <c r="N1514" s="2">
        <v>10.7824</v>
      </c>
      <c r="O1514" s="2">
        <v>6.0</v>
      </c>
      <c r="P1514" s="2">
        <v>24.18</v>
      </c>
      <c r="Q1514" s="2">
        <v>87832.0</v>
      </c>
      <c r="R1514" s="15" t="b">
        <f>ISNUMBER(MATCH(Q1514,'Returned order'!A:A,0))</f>
        <v>0</v>
      </c>
      <c r="S1514" s="22">
        <v>42115.0</v>
      </c>
      <c r="T1514" s="15"/>
      <c r="U1514" s="15"/>
      <c r="V1514" s="15"/>
    </row>
    <row r="1515">
      <c r="A1515" s="2">
        <v>5338.0</v>
      </c>
      <c r="B1515" s="1" t="s">
        <v>28</v>
      </c>
      <c r="C1515" s="2">
        <v>0.05</v>
      </c>
      <c r="D1515" s="2">
        <v>165.2</v>
      </c>
      <c r="E1515" s="2">
        <v>2670.0</v>
      </c>
      <c r="F1515" s="1" t="s">
        <v>1760</v>
      </c>
      <c r="G1515" s="1" t="s">
        <v>51</v>
      </c>
      <c r="H1515" s="1" t="s">
        <v>23</v>
      </c>
      <c r="I1515" s="1" t="s">
        <v>120</v>
      </c>
      <c r="J1515" s="1" t="s">
        <v>497</v>
      </c>
      <c r="K1515" s="19" t="s">
        <v>34</v>
      </c>
      <c r="L1515" s="20" t="s">
        <v>76</v>
      </c>
      <c r="M1515" s="21">
        <f t="shared" si="1"/>
        <v>5</v>
      </c>
      <c r="N1515" s="2">
        <v>2008.71</v>
      </c>
      <c r="O1515" s="2">
        <v>167.0</v>
      </c>
      <c r="P1515" s="2">
        <v>27587.55</v>
      </c>
      <c r="Q1515" s="2">
        <v>37924.0</v>
      </c>
      <c r="R1515" s="15" t="b">
        <f>ISNUMBER(MATCH(Q1515,'Returned order'!A:A,0))</f>
        <v>1</v>
      </c>
      <c r="S1515" s="22">
        <v>42153.0</v>
      </c>
      <c r="T1515" s="15"/>
      <c r="U1515" s="15"/>
      <c r="V1515" s="15"/>
    </row>
    <row r="1516">
      <c r="A1516" s="2">
        <v>5339.0</v>
      </c>
      <c r="B1516" s="1" t="s">
        <v>28</v>
      </c>
      <c r="C1516" s="2">
        <v>0.09</v>
      </c>
      <c r="D1516" s="2">
        <v>17.99</v>
      </c>
      <c r="E1516" s="2">
        <v>2670.0</v>
      </c>
      <c r="F1516" s="1" t="s">
        <v>1760</v>
      </c>
      <c r="G1516" s="1" t="s">
        <v>51</v>
      </c>
      <c r="H1516" s="1" t="s">
        <v>23</v>
      </c>
      <c r="I1516" s="1" t="s">
        <v>29</v>
      </c>
      <c r="J1516" s="1" t="s">
        <v>1761</v>
      </c>
      <c r="K1516" s="19" t="s">
        <v>34</v>
      </c>
      <c r="L1516" s="20" t="s">
        <v>76</v>
      </c>
      <c r="M1516" s="21">
        <f t="shared" si="1"/>
        <v>5</v>
      </c>
      <c r="N1516" s="2">
        <v>-80.53</v>
      </c>
      <c r="O1516" s="2">
        <v>71.0</v>
      </c>
      <c r="P1516" s="2">
        <v>1191.58</v>
      </c>
      <c r="Q1516" s="2">
        <v>37924.0</v>
      </c>
      <c r="R1516" s="15" t="b">
        <f>ISNUMBER(MATCH(Q1516,'Returned order'!A:A,0))</f>
        <v>1</v>
      </c>
      <c r="S1516" s="22">
        <v>42153.0</v>
      </c>
      <c r="T1516" s="15"/>
      <c r="U1516" s="15"/>
      <c r="V1516" s="15"/>
    </row>
    <row r="1517">
      <c r="A1517" s="2">
        <v>23338.0</v>
      </c>
      <c r="B1517" s="1" t="s">
        <v>28</v>
      </c>
      <c r="C1517" s="2">
        <v>0.05</v>
      </c>
      <c r="D1517" s="2">
        <v>165.2</v>
      </c>
      <c r="E1517" s="2">
        <v>2671.0</v>
      </c>
      <c r="F1517" s="1" t="s">
        <v>1762</v>
      </c>
      <c r="G1517" s="1" t="s">
        <v>51</v>
      </c>
      <c r="H1517" s="1" t="s">
        <v>23</v>
      </c>
      <c r="I1517" s="1" t="s">
        <v>120</v>
      </c>
      <c r="J1517" s="1" t="s">
        <v>497</v>
      </c>
      <c r="K1517" s="19" t="s">
        <v>229</v>
      </c>
      <c r="L1517" s="20" t="s">
        <v>76</v>
      </c>
      <c r="M1517" s="21">
        <f t="shared" si="1"/>
        <v>5</v>
      </c>
      <c r="N1517" s="2">
        <v>-48.958</v>
      </c>
      <c r="O1517" s="2">
        <v>42.0</v>
      </c>
      <c r="P1517" s="2">
        <v>6938.19</v>
      </c>
      <c r="Q1517" s="2">
        <v>90551.0</v>
      </c>
      <c r="R1517" s="15" t="b">
        <f>ISNUMBER(MATCH(Q1517,'Returned order'!A:A,0))</f>
        <v>0</v>
      </c>
      <c r="S1517" s="22">
        <v>42153.0</v>
      </c>
      <c r="T1517" s="15"/>
      <c r="U1517" s="15"/>
      <c r="V1517" s="15"/>
    </row>
    <row r="1518">
      <c r="A1518" s="2">
        <v>18147.0</v>
      </c>
      <c r="B1518" s="1" t="s">
        <v>58</v>
      </c>
      <c r="C1518" s="2">
        <v>0.03</v>
      </c>
      <c r="D1518" s="2">
        <v>41.32</v>
      </c>
      <c r="E1518" s="2">
        <v>2677.0</v>
      </c>
      <c r="F1518" s="1" t="s">
        <v>1763</v>
      </c>
      <c r="G1518" s="1" t="s">
        <v>66</v>
      </c>
      <c r="H1518" s="1" t="s">
        <v>37</v>
      </c>
      <c r="I1518" s="1" t="s">
        <v>42</v>
      </c>
      <c r="J1518" s="1" t="s">
        <v>1764</v>
      </c>
      <c r="K1518" s="19" t="s">
        <v>229</v>
      </c>
      <c r="L1518" s="20" t="s">
        <v>57</v>
      </c>
      <c r="M1518" s="21">
        <f t="shared" si="1"/>
        <v>2</v>
      </c>
      <c r="N1518" s="2">
        <v>-32.816</v>
      </c>
      <c r="O1518" s="2">
        <v>10.0</v>
      </c>
      <c r="P1518" s="2">
        <v>419.27</v>
      </c>
      <c r="Q1518" s="2">
        <v>86633.0</v>
      </c>
      <c r="R1518" s="15" t="b">
        <f>ISNUMBER(MATCH(Q1518,'Returned order'!A:A,0))</f>
        <v>0</v>
      </c>
      <c r="S1518" s="22">
        <v>42171.0</v>
      </c>
      <c r="T1518" s="15"/>
      <c r="U1518" s="15"/>
      <c r="V1518" s="15"/>
    </row>
    <row r="1519">
      <c r="A1519" s="2">
        <v>18148.0</v>
      </c>
      <c r="B1519" s="1" t="s">
        <v>58</v>
      </c>
      <c r="C1519" s="2">
        <v>0.0</v>
      </c>
      <c r="D1519" s="2">
        <v>6.88</v>
      </c>
      <c r="E1519" s="2">
        <v>2677.0</v>
      </c>
      <c r="F1519" s="1" t="s">
        <v>1763</v>
      </c>
      <c r="G1519" s="1" t="s">
        <v>66</v>
      </c>
      <c r="H1519" s="1" t="s">
        <v>23</v>
      </c>
      <c r="I1519" s="1" t="s">
        <v>93</v>
      </c>
      <c r="J1519" s="1" t="s">
        <v>561</v>
      </c>
      <c r="K1519" s="19" t="s">
        <v>229</v>
      </c>
      <c r="L1519" s="20" t="s">
        <v>57</v>
      </c>
      <c r="M1519" s="21">
        <f t="shared" si="1"/>
        <v>2</v>
      </c>
      <c r="N1519" s="2">
        <v>-15.61</v>
      </c>
      <c r="O1519" s="2">
        <v>5.0</v>
      </c>
      <c r="P1519" s="2">
        <v>36.0</v>
      </c>
      <c r="Q1519" s="2">
        <v>86633.0</v>
      </c>
      <c r="R1519" s="15" t="b">
        <f>ISNUMBER(MATCH(Q1519,'Returned order'!A:A,0))</f>
        <v>0</v>
      </c>
      <c r="S1519" s="22">
        <v>42171.0</v>
      </c>
      <c r="T1519" s="15"/>
      <c r="U1519" s="15"/>
      <c r="V1519" s="15"/>
    </row>
    <row r="1520">
      <c r="A1520" s="2">
        <v>22848.0</v>
      </c>
      <c r="B1520" s="1" t="s">
        <v>170</v>
      </c>
      <c r="C1520" s="2">
        <v>0.09</v>
      </c>
      <c r="D1520" s="2">
        <v>8.74</v>
      </c>
      <c r="E1520" s="2">
        <v>2684.0</v>
      </c>
      <c r="F1520" s="1" t="s">
        <v>1765</v>
      </c>
      <c r="G1520" s="1" t="s">
        <v>66</v>
      </c>
      <c r="H1520" s="1" t="s">
        <v>23</v>
      </c>
      <c r="I1520" s="1" t="s">
        <v>88</v>
      </c>
      <c r="J1520" s="1" t="s">
        <v>1111</v>
      </c>
      <c r="K1520" s="19" t="s">
        <v>229</v>
      </c>
      <c r="L1520" s="20" t="s">
        <v>61</v>
      </c>
      <c r="M1520" s="21">
        <f t="shared" si="1"/>
        <v>7</v>
      </c>
      <c r="N1520" s="2">
        <v>23.616</v>
      </c>
      <c r="O1520" s="2">
        <v>1.0</v>
      </c>
      <c r="P1520" s="2">
        <v>11.78</v>
      </c>
      <c r="Q1520" s="2">
        <v>89146.0</v>
      </c>
      <c r="R1520" s="15" t="b">
        <f>ISNUMBER(MATCH(Q1520,'Returned order'!A:A,0))</f>
        <v>0</v>
      </c>
      <c r="S1520" s="22">
        <v>42050.0</v>
      </c>
      <c r="T1520" s="15"/>
      <c r="U1520" s="15"/>
      <c r="V1520" s="15"/>
    </row>
    <row r="1521">
      <c r="A1521" s="2">
        <v>22849.0</v>
      </c>
      <c r="B1521" s="1" t="s">
        <v>170</v>
      </c>
      <c r="C1521" s="2">
        <v>0.09</v>
      </c>
      <c r="D1521" s="2">
        <v>18.97</v>
      </c>
      <c r="E1521" s="2">
        <v>2684.0</v>
      </c>
      <c r="F1521" s="1" t="s">
        <v>1765</v>
      </c>
      <c r="G1521" s="1" t="s">
        <v>66</v>
      </c>
      <c r="H1521" s="1" t="s">
        <v>23</v>
      </c>
      <c r="I1521" s="1" t="s">
        <v>93</v>
      </c>
      <c r="J1521" s="1" t="s">
        <v>99</v>
      </c>
      <c r="K1521" s="19" t="s">
        <v>229</v>
      </c>
      <c r="L1521" s="20" t="s">
        <v>61</v>
      </c>
      <c r="M1521" s="21">
        <f t="shared" si="1"/>
        <v>7</v>
      </c>
      <c r="N1521" s="2">
        <v>-1748.012</v>
      </c>
      <c r="O1521" s="2">
        <v>1.0</v>
      </c>
      <c r="P1521" s="2">
        <v>20.96</v>
      </c>
      <c r="Q1521" s="2">
        <v>89146.0</v>
      </c>
      <c r="R1521" s="15" t="b">
        <f>ISNUMBER(MATCH(Q1521,'Returned order'!A:A,0))</f>
        <v>0</v>
      </c>
      <c r="S1521" s="22">
        <v>42050.0</v>
      </c>
      <c r="T1521" s="15"/>
      <c r="U1521" s="15"/>
      <c r="V1521" s="15"/>
    </row>
    <row r="1522">
      <c r="A1522" s="2">
        <v>25649.0</v>
      </c>
      <c r="B1522" s="1" t="s">
        <v>170</v>
      </c>
      <c r="C1522" s="2">
        <v>0.07</v>
      </c>
      <c r="D1522" s="2">
        <v>4.97</v>
      </c>
      <c r="E1522" s="2">
        <v>2684.0</v>
      </c>
      <c r="F1522" s="1" t="s">
        <v>1765</v>
      </c>
      <c r="G1522" s="1" t="s">
        <v>66</v>
      </c>
      <c r="H1522" s="1" t="s">
        <v>37</v>
      </c>
      <c r="I1522" s="1" t="s">
        <v>42</v>
      </c>
      <c r="J1522" s="1" t="s">
        <v>1766</v>
      </c>
      <c r="K1522" s="19" t="s">
        <v>229</v>
      </c>
      <c r="L1522" s="20" t="s">
        <v>76</v>
      </c>
      <c r="M1522" s="21">
        <f t="shared" si="1"/>
        <v>5</v>
      </c>
      <c r="N1522" s="2">
        <v>-180.152</v>
      </c>
      <c r="O1522" s="2">
        <v>5.0</v>
      </c>
      <c r="P1522" s="2">
        <v>26.66</v>
      </c>
      <c r="Q1522" s="2">
        <v>89148.0</v>
      </c>
      <c r="R1522" s="15" t="b">
        <f>ISNUMBER(MATCH(Q1522,'Returned order'!A:A,0))</f>
        <v>0</v>
      </c>
      <c r="S1522" s="22">
        <v>42104.0</v>
      </c>
      <c r="T1522" s="15"/>
      <c r="U1522" s="15"/>
      <c r="V1522" s="15"/>
    </row>
    <row r="1523">
      <c r="A1523" s="2">
        <v>25650.0</v>
      </c>
      <c r="B1523" s="1" t="s">
        <v>170</v>
      </c>
      <c r="C1523" s="2">
        <v>0.09</v>
      </c>
      <c r="D1523" s="2">
        <v>2.62</v>
      </c>
      <c r="E1523" s="2">
        <v>2684.0</v>
      </c>
      <c r="F1523" s="1" t="s">
        <v>1765</v>
      </c>
      <c r="G1523" s="1" t="s">
        <v>66</v>
      </c>
      <c r="H1523" s="1" t="s">
        <v>23</v>
      </c>
      <c r="I1523" s="1" t="s">
        <v>81</v>
      </c>
      <c r="J1523" s="1" t="s">
        <v>1066</v>
      </c>
      <c r="K1523" s="19" t="s">
        <v>229</v>
      </c>
      <c r="L1523" s="20" t="s">
        <v>76</v>
      </c>
      <c r="M1523" s="21">
        <f t="shared" si="1"/>
        <v>5</v>
      </c>
      <c r="N1523" s="2">
        <v>8.388</v>
      </c>
      <c r="O1523" s="2">
        <v>12.0</v>
      </c>
      <c r="P1523" s="2">
        <v>29.55</v>
      </c>
      <c r="Q1523" s="2">
        <v>89148.0</v>
      </c>
      <c r="R1523" s="15" t="b">
        <f>ISNUMBER(MATCH(Q1523,'Returned order'!A:A,0))</f>
        <v>0</v>
      </c>
      <c r="S1523" s="22">
        <v>42104.0</v>
      </c>
      <c r="T1523" s="15"/>
      <c r="U1523" s="15"/>
      <c r="V1523" s="15"/>
    </row>
    <row r="1524">
      <c r="A1524" s="2">
        <v>25651.0</v>
      </c>
      <c r="B1524" s="1" t="s">
        <v>170</v>
      </c>
      <c r="C1524" s="2">
        <v>0.03</v>
      </c>
      <c r="D1524" s="2">
        <v>65.99</v>
      </c>
      <c r="E1524" s="2">
        <v>2684.0</v>
      </c>
      <c r="F1524" s="1" t="s">
        <v>1765</v>
      </c>
      <c r="G1524" s="1" t="s">
        <v>66</v>
      </c>
      <c r="H1524" s="1" t="s">
        <v>46</v>
      </c>
      <c r="I1524" s="1" t="s">
        <v>85</v>
      </c>
      <c r="J1524" s="1">
        <v>6120.0</v>
      </c>
      <c r="K1524" s="19" t="s">
        <v>229</v>
      </c>
      <c r="L1524" s="20" t="s">
        <v>76</v>
      </c>
      <c r="M1524" s="21">
        <f t="shared" si="1"/>
        <v>5</v>
      </c>
      <c r="N1524" s="2">
        <v>9.9399</v>
      </c>
      <c r="O1524" s="2">
        <v>21.0</v>
      </c>
      <c r="P1524" s="2">
        <v>1237.4</v>
      </c>
      <c r="Q1524" s="2">
        <v>89148.0</v>
      </c>
      <c r="R1524" s="15" t="b">
        <f>ISNUMBER(MATCH(Q1524,'Returned order'!A:A,0))</f>
        <v>0</v>
      </c>
      <c r="S1524" s="22">
        <v>42104.0</v>
      </c>
      <c r="T1524" s="15"/>
      <c r="U1524" s="15"/>
      <c r="V1524" s="15"/>
    </row>
    <row r="1525">
      <c r="A1525" s="2">
        <v>21114.0</v>
      </c>
      <c r="B1525" s="1" t="s">
        <v>28</v>
      </c>
      <c r="C1525" s="2">
        <v>0.0</v>
      </c>
      <c r="D1525" s="2">
        <v>7.38</v>
      </c>
      <c r="E1525" s="2">
        <v>2685.0</v>
      </c>
      <c r="F1525" s="1" t="s">
        <v>1767</v>
      </c>
      <c r="G1525" s="1" t="s">
        <v>66</v>
      </c>
      <c r="H1525" s="1" t="s">
        <v>23</v>
      </c>
      <c r="I1525" s="1" t="s">
        <v>24</v>
      </c>
      <c r="J1525" s="1" t="s">
        <v>1768</v>
      </c>
      <c r="K1525" s="19" t="s">
        <v>26</v>
      </c>
      <c r="L1525" s="20" t="s">
        <v>53</v>
      </c>
      <c r="M1525" s="21">
        <f t="shared" si="1"/>
        <v>6</v>
      </c>
      <c r="N1525" s="2">
        <v>-66.171</v>
      </c>
      <c r="O1525" s="2">
        <v>2.0</v>
      </c>
      <c r="P1525" s="2">
        <v>17.64</v>
      </c>
      <c r="Q1525" s="2">
        <v>89147.0</v>
      </c>
      <c r="R1525" s="15" t="b">
        <f>ISNUMBER(MATCH(Q1525,'Returned order'!A:A,0))</f>
        <v>0</v>
      </c>
      <c r="S1525" s="22">
        <v>42098.0</v>
      </c>
      <c r="T1525" s="15"/>
      <c r="U1525" s="15"/>
      <c r="V1525" s="15"/>
    </row>
    <row r="1526">
      <c r="A1526" s="2">
        <v>23299.0</v>
      </c>
      <c r="B1526" s="1" t="s">
        <v>58</v>
      </c>
      <c r="C1526" s="2">
        <v>0.09</v>
      </c>
      <c r="D1526" s="2">
        <v>3.75</v>
      </c>
      <c r="E1526" s="2">
        <v>2689.0</v>
      </c>
      <c r="F1526" s="1" t="s">
        <v>201</v>
      </c>
      <c r="G1526" s="1" t="s">
        <v>51</v>
      </c>
      <c r="H1526" s="1" t="s">
        <v>23</v>
      </c>
      <c r="I1526" s="1" t="s">
        <v>130</v>
      </c>
      <c r="J1526" s="1" t="s">
        <v>202</v>
      </c>
      <c r="K1526" s="19" t="s">
        <v>26</v>
      </c>
      <c r="L1526" s="20" t="s">
        <v>27</v>
      </c>
      <c r="M1526" s="21">
        <f t="shared" si="1"/>
        <v>1</v>
      </c>
      <c r="N1526" s="2">
        <v>51.2187</v>
      </c>
      <c r="O1526" s="2">
        <v>21.0</v>
      </c>
      <c r="P1526" s="2">
        <v>74.23</v>
      </c>
      <c r="Q1526" s="2">
        <v>90624.0</v>
      </c>
      <c r="R1526" s="15" t="b">
        <f>ISNUMBER(MATCH(Q1526,'Returned order'!A:A,0))</f>
        <v>0</v>
      </c>
      <c r="S1526" s="22">
        <v>42128.0</v>
      </c>
      <c r="T1526" s="15"/>
      <c r="U1526" s="15"/>
      <c r="V1526" s="15"/>
    </row>
    <row r="1527">
      <c r="A1527" s="2">
        <v>23298.0</v>
      </c>
      <c r="B1527" s="1" t="s">
        <v>58</v>
      </c>
      <c r="C1527" s="2">
        <v>0.01</v>
      </c>
      <c r="D1527" s="2">
        <v>30.98</v>
      </c>
      <c r="E1527" s="2">
        <v>2693.0</v>
      </c>
      <c r="F1527" s="1" t="s">
        <v>203</v>
      </c>
      <c r="G1527" s="1" t="s">
        <v>51</v>
      </c>
      <c r="H1527" s="1" t="s">
        <v>23</v>
      </c>
      <c r="I1527" s="1" t="s">
        <v>93</v>
      </c>
      <c r="J1527" s="1" t="s">
        <v>205</v>
      </c>
      <c r="K1527" s="19" t="s">
        <v>26</v>
      </c>
      <c r="L1527" s="20" t="s">
        <v>27</v>
      </c>
      <c r="M1527" s="21">
        <f t="shared" si="1"/>
        <v>1</v>
      </c>
      <c r="N1527" s="2">
        <v>380.468</v>
      </c>
      <c r="O1527" s="2">
        <v>20.0</v>
      </c>
      <c r="P1527" s="2">
        <v>627.19</v>
      </c>
      <c r="Q1527" s="2">
        <v>90624.0</v>
      </c>
      <c r="R1527" s="15" t="b">
        <f>ISNUMBER(MATCH(Q1527,'Returned order'!A:A,0))</f>
        <v>0</v>
      </c>
      <c r="S1527" s="22">
        <v>42128.0</v>
      </c>
      <c r="T1527" s="15"/>
      <c r="U1527" s="15"/>
      <c r="V1527" s="15"/>
    </row>
    <row r="1528">
      <c r="A1528" s="2">
        <v>18354.0</v>
      </c>
      <c r="B1528" s="1" t="s">
        <v>58</v>
      </c>
      <c r="C1528" s="2">
        <v>0.05</v>
      </c>
      <c r="D1528" s="2">
        <v>107.53</v>
      </c>
      <c r="E1528" s="2">
        <v>2696.0</v>
      </c>
      <c r="F1528" s="1" t="s">
        <v>1769</v>
      </c>
      <c r="G1528" s="1" t="s">
        <v>51</v>
      </c>
      <c r="H1528" s="1" t="s">
        <v>37</v>
      </c>
      <c r="I1528" s="1" t="s">
        <v>42</v>
      </c>
      <c r="J1528" s="1" t="s">
        <v>1221</v>
      </c>
      <c r="K1528" s="19" t="s">
        <v>229</v>
      </c>
      <c r="L1528" s="20" t="s">
        <v>70</v>
      </c>
      <c r="M1528" s="21">
        <f t="shared" si="1"/>
        <v>4</v>
      </c>
      <c r="N1528" s="2">
        <v>-89.418</v>
      </c>
      <c r="O1528" s="2">
        <v>6.0</v>
      </c>
      <c r="P1528" s="2">
        <v>612.92</v>
      </c>
      <c r="Q1528" s="2">
        <v>87676.0</v>
      </c>
      <c r="R1528" s="15" t="b">
        <f>ISNUMBER(MATCH(Q1528,'Returned order'!A:A,0))</f>
        <v>0</v>
      </c>
      <c r="S1528" s="22">
        <v>42068.0</v>
      </c>
      <c r="T1528" s="15"/>
      <c r="U1528" s="15"/>
      <c r="V1528" s="15"/>
    </row>
    <row r="1529">
      <c r="A1529" s="2">
        <v>19506.0</v>
      </c>
      <c r="B1529" s="1" t="s">
        <v>58</v>
      </c>
      <c r="C1529" s="2">
        <v>0.04</v>
      </c>
      <c r="D1529" s="2">
        <v>1.74</v>
      </c>
      <c r="E1529" s="2">
        <v>2697.0</v>
      </c>
      <c r="F1529" s="1" t="s">
        <v>1770</v>
      </c>
      <c r="G1529" s="1" t="s">
        <v>32</v>
      </c>
      <c r="H1529" s="1" t="s">
        <v>37</v>
      </c>
      <c r="I1529" s="1" t="s">
        <v>42</v>
      </c>
      <c r="J1529" s="1" t="s">
        <v>274</v>
      </c>
      <c r="K1529" s="19" t="s">
        <v>229</v>
      </c>
      <c r="L1529" s="20" t="s">
        <v>27</v>
      </c>
      <c r="M1529" s="21">
        <f t="shared" si="1"/>
        <v>1</v>
      </c>
      <c r="N1529" s="2">
        <v>9.252</v>
      </c>
      <c r="O1529" s="2">
        <v>16.0</v>
      </c>
      <c r="P1529" s="2">
        <v>29.08</v>
      </c>
      <c r="Q1529" s="2">
        <v>87678.0</v>
      </c>
      <c r="R1529" s="15" t="b">
        <f>ISNUMBER(MATCH(Q1529,'Returned order'!A:A,0))</f>
        <v>0</v>
      </c>
      <c r="S1529" s="22">
        <v>42058.0</v>
      </c>
      <c r="T1529" s="15"/>
      <c r="U1529" s="15"/>
      <c r="V1529" s="15"/>
    </row>
    <row r="1530">
      <c r="A1530" s="2">
        <v>19507.0</v>
      </c>
      <c r="B1530" s="1" t="s">
        <v>58</v>
      </c>
      <c r="C1530" s="2">
        <v>0.01</v>
      </c>
      <c r="D1530" s="2">
        <v>119.99</v>
      </c>
      <c r="E1530" s="2">
        <v>2697.0</v>
      </c>
      <c r="F1530" s="1" t="s">
        <v>1770</v>
      </c>
      <c r="G1530" s="1" t="s">
        <v>32</v>
      </c>
      <c r="H1530" s="1" t="s">
        <v>46</v>
      </c>
      <c r="I1530" s="1" t="s">
        <v>103</v>
      </c>
      <c r="J1530" s="1" t="s">
        <v>104</v>
      </c>
      <c r="K1530" s="19" t="s">
        <v>229</v>
      </c>
      <c r="L1530" s="20" t="s">
        <v>27</v>
      </c>
      <c r="M1530" s="21">
        <f t="shared" si="1"/>
        <v>1</v>
      </c>
      <c r="N1530" s="2">
        <v>-1197.042</v>
      </c>
      <c r="O1530" s="2">
        <v>21.0</v>
      </c>
      <c r="P1530" s="2">
        <v>2569.57</v>
      </c>
      <c r="Q1530" s="2">
        <v>87678.0</v>
      </c>
      <c r="R1530" s="15" t="b">
        <f>ISNUMBER(MATCH(Q1530,'Returned order'!A:A,0))</f>
        <v>0</v>
      </c>
      <c r="S1530" s="22">
        <v>42058.0</v>
      </c>
      <c r="T1530" s="15"/>
      <c r="U1530" s="15"/>
      <c r="V1530" s="15"/>
    </row>
    <row r="1531">
      <c r="A1531" s="2">
        <v>21580.0</v>
      </c>
      <c r="B1531" s="1" t="s">
        <v>58</v>
      </c>
      <c r="C1531" s="2">
        <v>0.06</v>
      </c>
      <c r="D1531" s="2">
        <v>4.98</v>
      </c>
      <c r="E1531" s="2">
        <v>2699.0</v>
      </c>
      <c r="F1531" s="1" t="s">
        <v>1771</v>
      </c>
      <c r="G1531" s="1" t="s">
        <v>32</v>
      </c>
      <c r="H1531" s="1" t="s">
        <v>23</v>
      </c>
      <c r="I1531" s="1" t="s">
        <v>24</v>
      </c>
      <c r="J1531" s="1" t="s">
        <v>1772</v>
      </c>
      <c r="K1531" s="19" t="s">
        <v>34</v>
      </c>
      <c r="L1531" s="20" t="s">
        <v>76</v>
      </c>
      <c r="M1531" s="21">
        <f t="shared" si="1"/>
        <v>5</v>
      </c>
      <c r="N1531" s="2">
        <v>-103.224</v>
      </c>
      <c r="O1531" s="2">
        <v>16.0</v>
      </c>
      <c r="P1531" s="2">
        <v>78.99</v>
      </c>
      <c r="Q1531" s="2">
        <v>87677.0</v>
      </c>
      <c r="R1531" s="15" t="b">
        <f>ISNUMBER(MATCH(Q1531,'Returned order'!A:A,0))</f>
        <v>0</v>
      </c>
      <c r="S1531" s="22">
        <v>42146.0</v>
      </c>
      <c r="T1531" s="15"/>
      <c r="U1531" s="15"/>
      <c r="V1531" s="15"/>
    </row>
    <row r="1532">
      <c r="A1532" s="2">
        <v>20983.0</v>
      </c>
      <c r="B1532" s="1" t="s">
        <v>49</v>
      </c>
      <c r="C1532" s="2">
        <v>0.04</v>
      </c>
      <c r="D1532" s="2">
        <v>70.98</v>
      </c>
      <c r="E1532" s="2">
        <v>2699.0</v>
      </c>
      <c r="F1532" s="1" t="s">
        <v>1771</v>
      </c>
      <c r="G1532" s="1" t="s">
        <v>32</v>
      </c>
      <c r="H1532" s="1" t="s">
        <v>37</v>
      </c>
      <c r="I1532" s="1" t="s">
        <v>55</v>
      </c>
      <c r="J1532" s="1" t="s">
        <v>1773</v>
      </c>
      <c r="K1532" s="19" t="s">
        <v>34</v>
      </c>
      <c r="L1532" s="20" t="s">
        <v>35</v>
      </c>
      <c r="M1532" s="21">
        <f t="shared" si="1"/>
        <v>3</v>
      </c>
      <c r="N1532" s="2">
        <v>-84.6288</v>
      </c>
      <c r="O1532" s="2">
        <v>19.0</v>
      </c>
      <c r="P1532" s="2">
        <v>1345.33</v>
      </c>
      <c r="Q1532" s="2">
        <v>87679.0</v>
      </c>
      <c r="R1532" s="15" t="b">
        <f>ISNUMBER(MATCH(Q1532,'Returned order'!A:A,0))</f>
        <v>0</v>
      </c>
      <c r="S1532" s="22">
        <v>42102.0</v>
      </c>
      <c r="T1532" s="15"/>
      <c r="U1532" s="15"/>
      <c r="V1532" s="15"/>
    </row>
    <row r="1533">
      <c r="A1533" s="2">
        <v>24151.0</v>
      </c>
      <c r="B1533" s="1" t="s">
        <v>58</v>
      </c>
      <c r="C1533" s="2">
        <v>0.06</v>
      </c>
      <c r="D1533" s="2">
        <v>3.6</v>
      </c>
      <c r="E1533" s="2">
        <v>2704.0</v>
      </c>
      <c r="F1533" s="1" t="s">
        <v>1774</v>
      </c>
      <c r="G1533" s="1" t="s">
        <v>22</v>
      </c>
      <c r="H1533" s="1" t="s">
        <v>23</v>
      </c>
      <c r="I1533" s="1" t="s">
        <v>93</v>
      </c>
      <c r="J1533" s="1" t="s">
        <v>1232</v>
      </c>
      <c r="K1533" s="19" t="s">
        <v>229</v>
      </c>
      <c r="L1533" s="20" t="s">
        <v>70</v>
      </c>
      <c r="M1533" s="21">
        <f t="shared" si="1"/>
        <v>4</v>
      </c>
      <c r="N1533" s="2">
        <v>2755.6422</v>
      </c>
      <c r="O1533" s="2">
        <v>4.0</v>
      </c>
      <c r="P1533" s="2">
        <v>15.19</v>
      </c>
      <c r="Q1533" s="2">
        <v>91407.0</v>
      </c>
      <c r="R1533" s="15" t="b">
        <f>ISNUMBER(MATCH(Q1533,'Returned order'!A:A,0))</f>
        <v>0</v>
      </c>
      <c r="S1533" s="22">
        <v>42124.0</v>
      </c>
      <c r="T1533" s="15"/>
      <c r="U1533" s="15"/>
      <c r="V1533" s="15"/>
    </row>
    <row r="1534">
      <c r="A1534" s="2">
        <v>21979.0</v>
      </c>
      <c r="B1534" s="1" t="s">
        <v>170</v>
      </c>
      <c r="C1534" s="2">
        <v>0.03</v>
      </c>
      <c r="D1534" s="2">
        <v>13.48</v>
      </c>
      <c r="E1534" s="2">
        <v>2704.0</v>
      </c>
      <c r="F1534" s="1" t="s">
        <v>1774</v>
      </c>
      <c r="G1534" s="1" t="s">
        <v>22</v>
      </c>
      <c r="H1534" s="1" t="s">
        <v>23</v>
      </c>
      <c r="I1534" s="1" t="s">
        <v>120</v>
      </c>
      <c r="J1534" s="1" t="s">
        <v>1775</v>
      </c>
      <c r="K1534" s="19" t="s">
        <v>229</v>
      </c>
      <c r="L1534" s="20" t="s">
        <v>70</v>
      </c>
      <c r="M1534" s="21">
        <f t="shared" si="1"/>
        <v>4</v>
      </c>
      <c r="N1534" s="2">
        <v>-256.018</v>
      </c>
      <c r="O1534" s="2">
        <v>4.0</v>
      </c>
      <c r="P1534" s="2">
        <v>59.49</v>
      </c>
      <c r="Q1534" s="2">
        <v>91408.0</v>
      </c>
      <c r="R1534" s="15" t="b">
        <f>ISNUMBER(MATCH(Q1534,'Returned order'!A:A,0))</f>
        <v>0</v>
      </c>
      <c r="S1534" s="22">
        <v>42124.0</v>
      </c>
      <c r="T1534" s="15"/>
      <c r="U1534" s="15"/>
      <c r="V1534" s="15"/>
    </row>
    <row r="1535">
      <c r="A1535" s="2">
        <v>18898.0</v>
      </c>
      <c r="B1535" s="1" t="s">
        <v>63</v>
      </c>
      <c r="C1535" s="2">
        <v>0.07</v>
      </c>
      <c r="D1535" s="2">
        <v>60.97</v>
      </c>
      <c r="E1535" s="2">
        <v>2709.0</v>
      </c>
      <c r="F1535" s="1" t="s">
        <v>1776</v>
      </c>
      <c r="G1535" s="1" t="s">
        <v>22</v>
      </c>
      <c r="H1535" s="1" t="s">
        <v>23</v>
      </c>
      <c r="I1535" s="1" t="s">
        <v>151</v>
      </c>
      <c r="J1535" s="1" t="s">
        <v>1537</v>
      </c>
      <c r="K1535" s="19" t="s">
        <v>26</v>
      </c>
      <c r="L1535" s="20" t="s">
        <v>70</v>
      </c>
      <c r="M1535" s="21">
        <f t="shared" si="1"/>
        <v>4</v>
      </c>
      <c r="N1535" s="2">
        <v>-41.77</v>
      </c>
      <c r="O1535" s="2">
        <v>1.0</v>
      </c>
      <c r="P1535" s="2">
        <v>57.84</v>
      </c>
      <c r="Q1535" s="2">
        <v>89240.0</v>
      </c>
      <c r="R1535" s="15" t="b">
        <f>ISNUMBER(MATCH(Q1535,'Returned order'!A:A,0))</f>
        <v>0</v>
      </c>
      <c r="S1535" s="22">
        <v>42152.0</v>
      </c>
      <c r="T1535" s="15"/>
      <c r="U1535" s="15"/>
      <c r="V1535" s="15"/>
    </row>
    <row r="1536">
      <c r="A1536" s="2">
        <v>18899.0</v>
      </c>
      <c r="B1536" s="1" t="s">
        <v>63</v>
      </c>
      <c r="C1536" s="2">
        <v>0.0</v>
      </c>
      <c r="D1536" s="2">
        <v>90.98</v>
      </c>
      <c r="E1536" s="2">
        <v>2709.0</v>
      </c>
      <c r="F1536" s="1" t="s">
        <v>1776</v>
      </c>
      <c r="G1536" s="1" t="s">
        <v>22</v>
      </c>
      <c r="H1536" s="1" t="s">
        <v>37</v>
      </c>
      <c r="I1536" s="1" t="s">
        <v>42</v>
      </c>
      <c r="J1536" s="1" t="s">
        <v>175</v>
      </c>
      <c r="K1536" s="19" t="s">
        <v>26</v>
      </c>
      <c r="L1536" s="20" t="s">
        <v>70</v>
      </c>
      <c r="M1536" s="21">
        <f t="shared" si="1"/>
        <v>4</v>
      </c>
      <c r="N1536" s="2">
        <v>-1014.11</v>
      </c>
      <c r="O1536" s="2">
        <v>15.0</v>
      </c>
      <c r="P1536" s="2">
        <v>1425.71</v>
      </c>
      <c r="Q1536" s="2">
        <v>89240.0</v>
      </c>
      <c r="R1536" s="15" t="b">
        <f>ISNUMBER(MATCH(Q1536,'Returned order'!A:A,0))</f>
        <v>0</v>
      </c>
      <c r="S1536" s="22">
        <v>42152.0</v>
      </c>
      <c r="T1536" s="15"/>
      <c r="U1536" s="15"/>
      <c r="V1536" s="15"/>
    </row>
    <row r="1537">
      <c r="A1537" s="2">
        <v>18855.0</v>
      </c>
      <c r="B1537" s="1" t="s">
        <v>58</v>
      </c>
      <c r="C1537" s="2">
        <v>0.07</v>
      </c>
      <c r="D1537" s="2">
        <v>2.88</v>
      </c>
      <c r="E1537" s="2">
        <v>2713.0</v>
      </c>
      <c r="F1537" s="1" t="s">
        <v>1777</v>
      </c>
      <c r="G1537" s="1" t="s">
        <v>32</v>
      </c>
      <c r="H1537" s="1" t="s">
        <v>23</v>
      </c>
      <c r="I1537" s="1" t="s">
        <v>130</v>
      </c>
      <c r="J1537" s="1" t="s">
        <v>1778</v>
      </c>
      <c r="K1537" s="19" t="s">
        <v>68</v>
      </c>
      <c r="L1537" s="20" t="s">
        <v>61</v>
      </c>
      <c r="M1537" s="21">
        <f t="shared" si="1"/>
        <v>7</v>
      </c>
      <c r="N1537" s="2">
        <v>17.4294</v>
      </c>
      <c r="O1537" s="2">
        <v>9.0</v>
      </c>
      <c r="P1537" s="2">
        <v>25.26</v>
      </c>
      <c r="Q1537" s="2">
        <v>88701.0</v>
      </c>
      <c r="R1537" s="15" t="b">
        <f>ISNUMBER(MATCH(Q1537,'Returned order'!A:A,0))</f>
        <v>0</v>
      </c>
      <c r="S1537" s="22">
        <v>42176.0</v>
      </c>
      <c r="T1537" s="15"/>
      <c r="U1537" s="15"/>
      <c r="V1537" s="15"/>
    </row>
    <row r="1538">
      <c r="A1538" s="2">
        <v>18856.0</v>
      </c>
      <c r="B1538" s="1" t="s">
        <v>58</v>
      </c>
      <c r="C1538" s="2">
        <v>0.03</v>
      </c>
      <c r="D1538" s="2">
        <v>348.21</v>
      </c>
      <c r="E1538" s="2">
        <v>2713.0</v>
      </c>
      <c r="F1538" s="1" t="s">
        <v>1777</v>
      </c>
      <c r="G1538" s="1" t="s">
        <v>32</v>
      </c>
      <c r="H1538" s="1" t="s">
        <v>37</v>
      </c>
      <c r="I1538" s="1" t="s">
        <v>73</v>
      </c>
      <c r="J1538" s="1" t="s">
        <v>1172</v>
      </c>
      <c r="K1538" s="19" t="s">
        <v>68</v>
      </c>
      <c r="L1538" s="20" t="s">
        <v>61</v>
      </c>
      <c r="M1538" s="21">
        <f t="shared" si="1"/>
        <v>7</v>
      </c>
      <c r="N1538" s="2">
        <v>-178.8696</v>
      </c>
      <c r="O1538" s="2">
        <v>2.0</v>
      </c>
      <c r="P1538" s="2">
        <v>736.16</v>
      </c>
      <c r="Q1538" s="2">
        <v>88701.0</v>
      </c>
      <c r="R1538" s="15" t="b">
        <f>ISNUMBER(MATCH(Q1538,'Returned order'!A:A,0))</f>
        <v>0</v>
      </c>
      <c r="S1538" s="22">
        <v>42176.0</v>
      </c>
      <c r="T1538" s="15"/>
      <c r="U1538" s="15"/>
      <c r="V1538" s="15"/>
    </row>
    <row r="1539">
      <c r="A1539" s="2">
        <v>21690.0</v>
      </c>
      <c r="B1539" s="1" t="s">
        <v>170</v>
      </c>
      <c r="C1539" s="2">
        <v>0.01</v>
      </c>
      <c r="D1539" s="2">
        <v>29.89</v>
      </c>
      <c r="E1539" s="2">
        <v>2715.0</v>
      </c>
      <c r="F1539" s="1" t="s">
        <v>1779</v>
      </c>
      <c r="G1539" s="1" t="s">
        <v>32</v>
      </c>
      <c r="H1539" s="1" t="s">
        <v>46</v>
      </c>
      <c r="I1539" s="1" t="s">
        <v>47</v>
      </c>
      <c r="J1539" s="1" t="s">
        <v>995</v>
      </c>
      <c r="K1539" s="19" t="s">
        <v>68</v>
      </c>
      <c r="L1539" s="20" t="s">
        <v>27</v>
      </c>
      <c r="M1539" s="21">
        <f t="shared" si="1"/>
        <v>1</v>
      </c>
      <c r="N1539" s="2">
        <v>-74.64</v>
      </c>
      <c r="O1539" s="2">
        <v>1.0</v>
      </c>
      <c r="P1539" s="2">
        <v>31.96</v>
      </c>
      <c r="Q1539" s="2">
        <v>88702.0</v>
      </c>
      <c r="R1539" s="15" t="b">
        <f>ISNUMBER(MATCH(Q1539,'Returned order'!A:A,0))</f>
        <v>0</v>
      </c>
      <c r="S1539" s="22">
        <v>42016.0</v>
      </c>
      <c r="T1539" s="15"/>
      <c r="U1539" s="15"/>
      <c r="V1539" s="15"/>
    </row>
    <row r="1540">
      <c r="A1540" s="2">
        <v>21863.0</v>
      </c>
      <c r="B1540" s="1" t="s">
        <v>58</v>
      </c>
      <c r="C1540" s="2">
        <v>0.1</v>
      </c>
      <c r="D1540" s="2">
        <v>6.74</v>
      </c>
      <c r="E1540" s="2">
        <v>2718.0</v>
      </c>
      <c r="F1540" s="1" t="s">
        <v>1780</v>
      </c>
      <c r="G1540" s="1" t="s">
        <v>22</v>
      </c>
      <c r="H1540" s="1" t="s">
        <v>23</v>
      </c>
      <c r="I1540" s="1" t="s">
        <v>93</v>
      </c>
      <c r="J1540" s="1" t="s">
        <v>1781</v>
      </c>
      <c r="K1540" s="19" t="s">
        <v>68</v>
      </c>
      <c r="L1540" s="20" t="s">
        <v>61</v>
      </c>
      <c r="M1540" s="21">
        <f t="shared" si="1"/>
        <v>7</v>
      </c>
      <c r="N1540" s="2">
        <v>65.41</v>
      </c>
      <c r="O1540" s="2">
        <v>15.0</v>
      </c>
      <c r="P1540" s="2">
        <v>98.17</v>
      </c>
      <c r="Q1540" s="2">
        <v>89394.0</v>
      </c>
      <c r="R1540" s="15" t="b">
        <f>ISNUMBER(MATCH(Q1540,'Returned order'!A:A,0))</f>
        <v>0</v>
      </c>
      <c r="S1540" s="22">
        <v>42064.0</v>
      </c>
      <c r="T1540" s="15"/>
      <c r="U1540" s="15"/>
      <c r="V1540" s="15"/>
    </row>
    <row r="1541">
      <c r="A1541" s="2">
        <v>21399.0</v>
      </c>
      <c r="B1541" s="1" t="s">
        <v>58</v>
      </c>
      <c r="C1541" s="2">
        <v>0.0</v>
      </c>
      <c r="D1541" s="2">
        <v>40.48</v>
      </c>
      <c r="E1541" s="2">
        <v>2720.0</v>
      </c>
      <c r="F1541" s="1" t="s">
        <v>1782</v>
      </c>
      <c r="G1541" s="1" t="s">
        <v>66</v>
      </c>
      <c r="H1541" s="1" t="s">
        <v>46</v>
      </c>
      <c r="I1541" s="1" t="s">
        <v>47</v>
      </c>
      <c r="J1541" s="1" t="s">
        <v>676</v>
      </c>
      <c r="K1541" s="19" t="s">
        <v>229</v>
      </c>
      <c r="L1541" s="20" t="s">
        <v>57</v>
      </c>
      <c r="M1541" s="21">
        <f t="shared" si="1"/>
        <v>2</v>
      </c>
      <c r="N1541" s="2">
        <v>-25.634</v>
      </c>
      <c r="O1541" s="2">
        <v>6.0</v>
      </c>
      <c r="P1541" s="2">
        <v>264.95</v>
      </c>
      <c r="Q1541" s="2">
        <v>88766.0</v>
      </c>
      <c r="R1541" s="15" t="b">
        <f>ISNUMBER(MATCH(Q1541,'Returned order'!A:A,0))</f>
        <v>0</v>
      </c>
      <c r="S1541" s="22">
        <v>42171.0</v>
      </c>
      <c r="T1541" s="15"/>
      <c r="U1541" s="15"/>
      <c r="V1541" s="15"/>
    </row>
    <row r="1542">
      <c r="A1542" s="2">
        <v>19907.0</v>
      </c>
      <c r="B1542" s="1" t="s">
        <v>58</v>
      </c>
      <c r="C1542" s="2">
        <v>0.06</v>
      </c>
      <c r="D1542" s="2">
        <v>4.98</v>
      </c>
      <c r="E1542" s="2">
        <v>2724.0</v>
      </c>
      <c r="F1542" s="1" t="s">
        <v>1783</v>
      </c>
      <c r="G1542" s="1" t="s">
        <v>51</v>
      </c>
      <c r="H1542" s="1" t="s">
        <v>23</v>
      </c>
      <c r="I1542" s="1" t="s">
        <v>93</v>
      </c>
      <c r="J1542" s="1" t="s">
        <v>375</v>
      </c>
      <c r="K1542" s="19" t="s">
        <v>229</v>
      </c>
      <c r="L1542" s="20" t="s">
        <v>76</v>
      </c>
      <c r="M1542" s="21">
        <f t="shared" si="1"/>
        <v>5</v>
      </c>
      <c r="N1542" s="2">
        <v>-37.562</v>
      </c>
      <c r="O1542" s="2">
        <v>10.0</v>
      </c>
      <c r="P1542" s="2">
        <v>53.21</v>
      </c>
      <c r="Q1542" s="2">
        <v>88959.0</v>
      </c>
      <c r="R1542" s="15" t="b">
        <f>ISNUMBER(MATCH(Q1542,'Returned order'!A:A,0))</f>
        <v>0</v>
      </c>
      <c r="S1542" s="22">
        <v>42125.0</v>
      </c>
      <c r="T1542" s="15"/>
      <c r="U1542" s="15"/>
      <c r="V1542" s="15"/>
    </row>
    <row r="1543">
      <c r="A1543" s="2">
        <v>19908.0</v>
      </c>
      <c r="B1543" s="1" t="s">
        <v>58</v>
      </c>
      <c r="C1543" s="2">
        <v>0.01</v>
      </c>
      <c r="D1543" s="2">
        <v>6.48</v>
      </c>
      <c r="E1543" s="2">
        <v>2724.0</v>
      </c>
      <c r="F1543" s="1" t="s">
        <v>1783</v>
      </c>
      <c r="G1543" s="1" t="s">
        <v>51</v>
      </c>
      <c r="H1543" s="1" t="s">
        <v>23</v>
      </c>
      <c r="I1543" s="1" t="s">
        <v>93</v>
      </c>
      <c r="J1543" s="1" t="s">
        <v>596</v>
      </c>
      <c r="K1543" s="19" t="s">
        <v>229</v>
      </c>
      <c r="L1543" s="20" t="s">
        <v>76</v>
      </c>
      <c r="M1543" s="21">
        <f t="shared" si="1"/>
        <v>5</v>
      </c>
      <c r="N1543" s="2">
        <v>-449.694</v>
      </c>
      <c r="O1543" s="2">
        <v>18.0</v>
      </c>
      <c r="P1543" s="2">
        <v>122.8</v>
      </c>
      <c r="Q1543" s="2">
        <v>88959.0</v>
      </c>
      <c r="R1543" s="15" t="b">
        <f>ISNUMBER(MATCH(Q1543,'Returned order'!A:A,0))</f>
        <v>0</v>
      </c>
      <c r="S1543" s="22">
        <v>42125.0</v>
      </c>
      <c r="T1543" s="15"/>
      <c r="U1543" s="15"/>
      <c r="V1543" s="15"/>
    </row>
    <row r="1544">
      <c r="A1544" s="2">
        <v>22612.0</v>
      </c>
      <c r="B1544" s="1" t="s">
        <v>49</v>
      </c>
      <c r="C1544" s="2">
        <v>0.05</v>
      </c>
      <c r="D1544" s="2">
        <v>28.15</v>
      </c>
      <c r="E1544" s="2">
        <v>2725.0</v>
      </c>
      <c r="F1544" s="1" t="s">
        <v>1784</v>
      </c>
      <c r="G1544" s="1" t="s">
        <v>51</v>
      </c>
      <c r="H1544" s="1" t="s">
        <v>23</v>
      </c>
      <c r="I1544" s="1" t="s">
        <v>29</v>
      </c>
      <c r="J1544" s="1" t="s">
        <v>1667</v>
      </c>
      <c r="K1544" s="19" t="s">
        <v>229</v>
      </c>
      <c r="L1544" s="20" t="s">
        <v>53</v>
      </c>
      <c r="M1544" s="21">
        <f t="shared" si="1"/>
        <v>6</v>
      </c>
      <c r="N1544" s="2">
        <v>-66.248</v>
      </c>
      <c r="O1544" s="2">
        <v>10.0</v>
      </c>
      <c r="P1544" s="2">
        <v>282.38</v>
      </c>
      <c r="Q1544" s="2">
        <v>88958.0</v>
      </c>
      <c r="R1544" s="15" t="b">
        <f>ISNUMBER(MATCH(Q1544,'Returned order'!A:A,0))</f>
        <v>0</v>
      </c>
      <c r="S1544" s="22">
        <v>42021.0</v>
      </c>
      <c r="T1544" s="15"/>
      <c r="U1544" s="15"/>
      <c r="V1544" s="15"/>
    </row>
    <row r="1545">
      <c r="A1545" s="2">
        <v>21422.0</v>
      </c>
      <c r="B1545" s="1" t="s">
        <v>170</v>
      </c>
      <c r="C1545" s="2">
        <v>0.08</v>
      </c>
      <c r="D1545" s="2">
        <v>230.98</v>
      </c>
      <c r="E1545" s="2">
        <v>2729.0</v>
      </c>
      <c r="F1545" s="1" t="s">
        <v>1785</v>
      </c>
      <c r="G1545" s="1" t="s">
        <v>22</v>
      </c>
      <c r="H1545" s="1" t="s">
        <v>37</v>
      </c>
      <c r="I1545" s="1" t="s">
        <v>73</v>
      </c>
      <c r="J1545" s="1" t="s">
        <v>672</v>
      </c>
      <c r="K1545" s="19" t="s">
        <v>34</v>
      </c>
      <c r="L1545" s="20" t="s">
        <v>76</v>
      </c>
      <c r="M1545" s="21">
        <f t="shared" si="1"/>
        <v>5</v>
      </c>
      <c r="N1545" s="2">
        <v>501.69</v>
      </c>
      <c r="O1545" s="2">
        <v>4.0</v>
      </c>
      <c r="P1545" s="2">
        <v>924.8</v>
      </c>
      <c r="Q1545" s="2">
        <v>88114.0</v>
      </c>
      <c r="R1545" s="15" t="b">
        <f>ISNUMBER(MATCH(Q1545,'Returned order'!A:A,0))</f>
        <v>0</v>
      </c>
      <c r="S1545" s="22">
        <v>42069.0</v>
      </c>
      <c r="T1545" s="15"/>
      <c r="U1545" s="15"/>
      <c r="V1545" s="15"/>
    </row>
    <row r="1546">
      <c r="A1546" s="2">
        <v>19819.0</v>
      </c>
      <c r="B1546" s="1" t="s">
        <v>49</v>
      </c>
      <c r="C1546" s="2">
        <v>0.05</v>
      </c>
      <c r="D1546" s="2">
        <v>100.98</v>
      </c>
      <c r="E1546" s="2">
        <v>2737.0</v>
      </c>
      <c r="F1546" s="1" t="s">
        <v>206</v>
      </c>
      <c r="G1546" s="1" t="s">
        <v>66</v>
      </c>
      <c r="H1546" s="1" t="s">
        <v>46</v>
      </c>
      <c r="I1546" s="1" t="s">
        <v>47</v>
      </c>
      <c r="J1546" s="1" t="s">
        <v>1628</v>
      </c>
      <c r="K1546" s="19" t="s">
        <v>26</v>
      </c>
      <c r="L1546" s="20" t="s">
        <v>35</v>
      </c>
      <c r="M1546" s="21">
        <f t="shared" si="1"/>
        <v>3</v>
      </c>
      <c r="N1546" s="2">
        <v>566.6073</v>
      </c>
      <c r="O1546" s="2">
        <v>8.0</v>
      </c>
      <c r="P1546" s="2">
        <v>821.17</v>
      </c>
      <c r="Q1546" s="2">
        <v>89018.0</v>
      </c>
      <c r="R1546" s="15" t="b">
        <f>ISNUMBER(MATCH(Q1546,'Returned order'!A:A,0))</f>
        <v>0</v>
      </c>
      <c r="S1546" s="22">
        <v>42116.0</v>
      </c>
      <c r="T1546" s="15"/>
      <c r="U1546" s="15"/>
      <c r="V1546" s="15"/>
    </row>
    <row r="1547">
      <c r="A1547" s="2">
        <v>18790.0</v>
      </c>
      <c r="B1547" s="1" t="s">
        <v>63</v>
      </c>
      <c r="C1547" s="2">
        <v>0.03</v>
      </c>
      <c r="D1547" s="2">
        <v>15.31</v>
      </c>
      <c r="E1547" s="2">
        <v>2737.0</v>
      </c>
      <c r="F1547" s="1" t="s">
        <v>206</v>
      </c>
      <c r="G1547" s="1" t="s">
        <v>66</v>
      </c>
      <c r="H1547" s="1" t="s">
        <v>23</v>
      </c>
      <c r="I1547" s="1" t="s">
        <v>120</v>
      </c>
      <c r="J1547" s="1" t="s">
        <v>207</v>
      </c>
      <c r="K1547" s="19" t="s">
        <v>26</v>
      </c>
      <c r="L1547" s="20" t="s">
        <v>27</v>
      </c>
      <c r="M1547" s="21">
        <f t="shared" si="1"/>
        <v>1</v>
      </c>
      <c r="N1547" s="2">
        <v>-57.56</v>
      </c>
      <c r="O1547" s="2">
        <v>12.0</v>
      </c>
      <c r="P1547" s="2">
        <v>194.08</v>
      </c>
      <c r="Q1547" s="2">
        <v>89019.0</v>
      </c>
      <c r="R1547" s="15" t="b">
        <f>ISNUMBER(MATCH(Q1547,'Returned order'!A:A,0))</f>
        <v>0</v>
      </c>
      <c r="S1547" s="22">
        <v>42156.0</v>
      </c>
      <c r="T1547" s="15"/>
      <c r="U1547" s="15"/>
      <c r="V1547" s="15"/>
    </row>
    <row r="1548">
      <c r="A1548" s="2">
        <v>24278.0</v>
      </c>
      <c r="B1548" s="1" t="s">
        <v>58</v>
      </c>
      <c r="C1548" s="2">
        <v>0.02</v>
      </c>
      <c r="D1548" s="2">
        <v>33.98</v>
      </c>
      <c r="E1548" s="2">
        <v>2738.0</v>
      </c>
      <c r="F1548" s="1" t="s">
        <v>208</v>
      </c>
      <c r="G1548" s="1" t="s">
        <v>66</v>
      </c>
      <c r="H1548" s="1" t="s">
        <v>46</v>
      </c>
      <c r="I1548" s="1" t="s">
        <v>47</v>
      </c>
      <c r="J1548" s="1" t="s">
        <v>209</v>
      </c>
      <c r="K1548" s="19" t="s">
        <v>26</v>
      </c>
      <c r="L1548" s="20" t="s">
        <v>27</v>
      </c>
      <c r="M1548" s="21">
        <f t="shared" si="1"/>
        <v>1</v>
      </c>
      <c r="N1548" s="2">
        <v>164.0613</v>
      </c>
      <c r="O1548" s="2">
        <v>7.0</v>
      </c>
      <c r="P1548" s="2">
        <v>237.77</v>
      </c>
      <c r="Q1548" s="2">
        <v>89017.0</v>
      </c>
      <c r="R1548" s="15" t="b">
        <f>ISNUMBER(MATCH(Q1548,'Returned order'!A:A,0))</f>
        <v>0</v>
      </c>
      <c r="S1548" s="22">
        <v>42107.0</v>
      </c>
      <c r="T1548" s="15"/>
      <c r="U1548" s="15"/>
      <c r="V1548" s="15"/>
    </row>
    <row r="1549">
      <c r="A1549" s="2">
        <v>19987.0</v>
      </c>
      <c r="B1549" s="1" t="s">
        <v>170</v>
      </c>
      <c r="C1549" s="2">
        <v>0.01</v>
      </c>
      <c r="D1549" s="2">
        <v>35.99</v>
      </c>
      <c r="E1549" s="2">
        <v>2741.0</v>
      </c>
      <c r="F1549" s="1" t="s">
        <v>1786</v>
      </c>
      <c r="G1549" s="1" t="s">
        <v>66</v>
      </c>
      <c r="H1549" s="1" t="s">
        <v>46</v>
      </c>
      <c r="I1549" s="1" t="s">
        <v>85</v>
      </c>
      <c r="J1549" s="1" t="s">
        <v>200</v>
      </c>
      <c r="K1549" s="19" t="s">
        <v>34</v>
      </c>
      <c r="L1549" s="20" t="s">
        <v>70</v>
      </c>
      <c r="M1549" s="21">
        <f t="shared" si="1"/>
        <v>4</v>
      </c>
      <c r="N1549" s="2">
        <v>218.2332</v>
      </c>
      <c r="O1549" s="2">
        <v>10.0</v>
      </c>
      <c r="P1549" s="2">
        <v>316.28</v>
      </c>
      <c r="Q1549" s="2">
        <v>89481.0</v>
      </c>
      <c r="R1549" s="15" t="b">
        <f>ISNUMBER(MATCH(Q1549,'Returned order'!A:A,0))</f>
        <v>0</v>
      </c>
      <c r="S1549" s="22">
        <v>42075.0</v>
      </c>
      <c r="T1549" s="15"/>
      <c r="U1549" s="15"/>
      <c r="V1549" s="15"/>
    </row>
    <row r="1550">
      <c r="A1550" s="2">
        <v>21323.0</v>
      </c>
      <c r="B1550" s="1" t="s">
        <v>63</v>
      </c>
      <c r="C1550" s="2">
        <v>0.01</v>
      </c>
      <c r="D1550" s="2">
        <v>220.98</v>
      </c>
      <c r="E1550" s="2">
        <v>2745.0</v>
      </c>
      <c r="F1550" s="1" t="s">
        <v>1787</v>
      </c>
      <c r="G1550" s="1" t="s">
        <v>32</v>
      </c>
      <c r="H1550" s="1" t="s">
        <v>37</v>
      </c>
      <c r="I1550" s="1" t="s">
        <v>55</v>
      </c>
      <c r="J1550" s="1" t="s">
        <v>1788</v>
      </c>
      <c r="K1550" s="19" t="s">
        <v>34</v>
      </c>
      <c r="L1550" s="20" t="s">
        <v>35</v>
      </c>
      <c r="M1550" s="21">
        <f t="shared" si="1"/>
        <v>3</v>
      </c>
      <c r="N1550" s="2">
        <v>1049.03</v>
      </c>
      <c r="O1550" s="2">
        <v>11.0</v>
      </c>
      <c r="P1550" s="2">
        <v>2591.09</v>
      </c>
      <c r="Q1550" s="2">
        <v>86184.0</v>
      </c>
      <c r="R1550" s="15" t="b">
        <f>ISNUMBER(MATCH(Q1550,'Returned order'!A:A,0))</f>
        <v>0</v>
      </c>
      <c r="S1550" s="22">
        <v>42081.0</v>
      </c>
      <c r="T1550" s="15"/>
      <c r="U1550" s="15"/>
      <c r="V1550" s="15"/>
    </row>
    <row r="1551">
      <c r="A1551" s="2">
        <v>4949.0</v>
      </c>
      <c r="B1551" s="1" t="s">
        <v>63</v>
      </c>
      <c r="C1551" s="2">
        <v>0.08</v>
      </c>
      <c r="D1551" s="2">
        <v>9.98</v>
      </c>
      <c r="E1551" s="2">
        <v>2747.0</v>
      </c>
      <c r="F1551" s="1" t="s">
        <v>1789</v>
      </c>
      <c r="G1551" s="1" t="s">
        <v>32</v>
      </c>
      <c r="H1551" s="1" t="s">
        <v>37</v>
      </c>
      <c r="I1551" s="1" t="s">
        <v>42</v>
      </c>
      <c r="J1551" s="1" t="s">
        <v>1790</v>
      </c>
      <c r="K1551" s="19" t="s">
        <v>26</v>
      </c>
      <c r="L1551" s="20" t="s">
        <v>70</v>
      </c>
      <c r="M1551" s="21">
        <f t="shared" si="1"/>
        <v>4</v>
      </c>
      <c r="N1551" s="2">
        <v>-102.93</v>
      </c>
      <c r="O1551" s="2">
        <v>15.0</v>
      </c>
      <c r="P1551" s="2">
        <v>150.24</v>
      </c>
      <c r="Q1551" s="2">
        <v>35200.0</v>
      </c>
      <c r="R1551" s="15" t="b">
        <f>ISNUMBER(MATCH(Q1551,'Returned order'!A:A,0))</f>
        <v>0</v>
      </c>
      <c r="S1551" s="22">
        <v>42040.0</v>
      </c>
      <c r="T1551" s="15"/>
      <c r="U1551" s="15"/>
      <c r="V1551" s="15"/>
    </row>
    <row r="1552">
      <c r="A1552" s="2">
        <v>3323.0</v>
      </c>
      <c r="B1552" s="1" t="s">
        <v>63</v>
      </c>
      <c r="C1552" s="2">
        <v>0.01</v>
      </c>
      <c r="D1552" s="2">
        <v>220.98</v>
      </c>
      <c r="E1552" s="2">
        <v>2747.0</v>
      </c>
      <c r="F1552" s="1" t="s">
        <v>1789</v>
      </c>
      <c r="G1552" s="1" t="s">
        <v>32</v>
      </c>
      <c r="H1552" s="1" t="s">
        <v>37</v>
      </c>
      <c r="I1552" s="1" t="s">
        <v>55</v>
      </c>
      <c r="J1552" s="1" t="s">
        <v>1788</v>
      </c>
      <c r="K1552" s="19" t="s">
        <v>26</v>
      </c>
      <c r="L1552" s="20" t="s">
        <v>35</v>
      </c>
      <c r="M1552" s="21">
        <f t="shared" si="1"/>
        <v>3</v>
      </c>
      <c r="N1552" s="2">
        <v>1049.03</v>
      </c>
      <c r="O1552" s="2">
        <v>44.0</v>
      </c>
      <c r="P1552" s="2">
        <v>10364.36</v>
      </c>
      <c r="Q1552" s="2">
        <v>23751.0</v>
      </c>
      <c r="R1552" s="15" t="b">
        <f>ISNUMBER(MATCH(Q1552,'Returned order'!A:A,0))</f>
        <v>0</v>
      </c>
      <c r="S1552" s="22">
        <v>42081.0</v>
      </c>
      <c r="T1552" s="15"/>
      <c r="U1552" s="15"/>
      <c r="V1552" s="15"/>
    </row>
    <row r="1553">
      <c r="A1553" s="2">
        <v>23271.0</v>
      </c>
      <c r="B1553" s="1" t="s">
        <v>58</v>
      </c>
      <c r="C1553" s="2">
        <v>0.02</v>
      </c>
      <c r="D1553" s="2">
        <v>161.55</v>
      </c>
      <c r="E1553" s="2">
        <v>2750.0</v>
      </c>
      <c r="F1553" s="1" t="s">
        <v>1791</v>
      </c>
      <c r="G1553" s="1" t="s">
        <v>66</v>
      </c>
      <c r="H1553" s="1" t="s">
        <v>23</v>
      </c>
      <c r="I1553" s="1" t="s">
        <v>120</v>
      </c>
      <c r="J1553" s="1" t="s">
        <v>250</v>
      </c>
      <c r="K1553" s="19" t="s">
        <v>229</v>
      </c>
      <c r="L1553" s="20" t="s">
        <v>61</v>
      </c>
      <c r="M1553" s="21">
        <f t="shared" si="1"/>
        <v>7</v>
      </c>
      <c r="N1553" s="2">
        <v>664.518</v>
      </c>
      <c r="O1553" s="2">
        <v>4.0</v>
      </c>
      <c r="P1553" s="2">
        <v>657.61</v>
      </c>
      <c r="Q1553" s="2">
        <v>91424.0</v>
      </c>
      <c r="R1553" s="15" t="b">
        <f>ISNUMBER(MATCH(Q1553,'Returned order'!A:A,0))</f>
        <v>0</v>
      </c>
      <c r="S1553" s="22">
        <v>42071.0</v>
      </c>
      <c r="T1553" s="15"/>
      <c r="U1553" s="15"/>
      <c r="V1553" s="15"/>
    </row>
    <row r="1554">
      <c r="A1554" s="2">
        <v>21630.0</v>
      </c>
      <c r="B1554" s="1" t="s">
        <v>63</v>
      </c>
      <c r="C1554" s="2">
        <v>0.08</v>
      </c>
      <c r="D1554" s="2">
        <v>22.01</v>
      </c>
      <c r="E1554" s="2">
        <v>2760.0</v>
      </c>
      <c r="F1554" s="1" t="s">
        <v>1792</v>
      </c>
      <c r="G1554" s="1" t="s">
        <v>32</v>
      </c>
      <c r="H1554" s="1" t="s">
        <v>23</v>
      </c>
      <c r="I1554" s="1" t="s">
        <v>29</v>
      </c>
      <c r="J1554" s="1" t="s">
        <v>1486</v>
      </c>
      <c r="K1554" s="19" t="s">
        <v>26</v>
      </c>
      <c r="L1554" s="20" t="s">
        <v>35</v>
      </c>
      <c r="M1554" s="21">
        <f t="shared" si="1"/>
        <v>3</v>
      </c>
      <c r="N1554" s="2">
        <v>105.7</v>
      </c>
      <c r="O1554" s="2">
        <v>11.0</v>
      </c>
      <c r="P1554" s="2">
        <v>241.97</v>
      </c>
      <c r="Q1554" s="2">
        <v>90724.0</v>
      </c>
      <c r="R1554" s="15" t="b">
        <f>ISNUMBER(MATCH(Q1554,'Returned order'!A:A,0))</f>
        <v>0</v>
      </c>
      <c r="S1554" s="22">
        <v>42116.0</v>
      </c>
      <c r="T1554" s="15"/>
      <c r="U1554" s="15"/>
      <c r="V1554" s="15"/>
    </row>
    <row r="1555">
      <c r="A1555" s="2">
        <v>21629.0</v>
      </c>
      <c r="B1555" s="1" t="s">
        <v>63</v>
      </c>
      <c r="C1555" s="2">
        <v>0.02</v>
      </c>
      <c r="D1555" s="2">
        <v>29.74</v>
      </c>
      <c r="E1555" s="2">
        <v>2764.0</v>
      </c>
      <c r="F1555" s="1" t="s">
        <v>1793</v>
      </c>
      <c r="G1555" s="1" t="s">
        <v>32</v>
      </c>
      <c r="H1555" s="1" t="s">
        <v>23</v>
      </c>
      <c r="I1555" s="1" t="s">
        <v>120</v>
      </c>
      <c r="J1555" s="1" t="s">
        <v>1794</v>
      </c>
      <c r="K1555" s="19" t="s">
        <v>26</v>
      </c>
      <c r="L1555" s="20" t="s">
        <v>35</v>
      </c>
      <c r="M1555" s="21">
        <f t="shared" si="1"/>
        <v>3</v>
      </c>
      <c r="N1555" s="2">
        <v>-21.06</v>
      </c>
      <c r="O1555" s="2">
        <v>4.0</v>
      </c>
      <c r="P1555" s="2">
        <v>120.81</v>
      </c>
      <c r="Q1555" s="2">
        <v>90724.0</v>
      </c>
      <c r="R1555" s="15" t="b">
        <f>ISNUMBER(MATCH(Q1555,'Returned order'!A:A,0))</f>
        <v>0</v>
      </c>
      <c r="S1555" s="22">
        <v>42116.0</v>
      </c>
      <c r="T1555" s="15"/>
      <c r="U1555" s="15"/>
      <c r="V1555" s="15"/>
    </row>
    <row r="1556">
      <c r="A1556" s="2">
        <v>26156.0</v>
      </c>
      <c r="B1556" s="1" t="s">
        <v>170</v>
      </c>
      <c r="C1556" s="2">
        <v>0.03</v>
      </c>
      <c r="D1556" s="2">
        <v>5.85</v>
      </c>
      <c r="E1556" s="2">
        <v>2765.0</v>
      </c>
      <c r="F1556" s="1" t="s">
        <v>1795</v>
      </c>
      <c r="G1556" s="1" t="s">
        <v>32</v>
      </c>
      <c r="H1556" s="1" t="s">
        <v>23</v>
      </c>
      <c r="I1556" s="1" t="s">
        <v>29</v>
      </c>
      <c r="J1556" s="1" t="s">
        <v>1796</v>
      </c>
      <c r="K1556" s="19" t="s">
        <v>26</v>
      </c>
      <c r="L1556" s="20" t="s">
        <v>70</v>
      </c>
      <c r="M1556" s="21">
        <f t="shared" si="1"/>
        <v>4</v>
      </c>
      <c r="N1556" s="2">
        <v>-5.08</v>
      </c>
      <c r="O1556" s="2">
        <v>7.0</v>
      </c>
      <c r="P1556" s="2">
        <v>41.4</v>
      </c>
      <c r="Q1556" s="2">
        <v>90725.0</v>
      </c>
      <c r="R1556" s="15" t="b">
        <f>ISNUMBER(MATCH(Q1556,'Returned order'!A:A,0))</f>
        <v>0</v>
      </c>
      <c r="S1556" s="22">
        <v>42152.0</v>
      </c>
      <c r="T1556" s="15"/>
      <c r="U1556" s="15"/>
      <c r="V1556" s="15"/>
    </row>
    <row r="1557">
      <c r="A1557" s="2">
        <v>23342.0</v>
      </c>
      <c r="B1557" s="1" t="s">
        <v>58</v>
      </c>
      <c r="C1557" s="2">
        <v>0.02</v>
      </c>
      <c r="D1557" s="2">
        <v>11.55</v>
      </c>
      <c r="E1557" s="2">
        <v>2770.0</v>
      </c>
      <c r="F1557" s="1" t="s">
        <v>1797</v>
      </c>
      <c r="G1557" s="1" t="s">
        <v>32</v>
      </c>
      <c r="H1557" s="1" t="s">
        <v>23</v>
      </c>
      <c r="I1557" s="1" t="s">
        <v>29</v>
      </c>
      <c r="J1557" s="1" t="s">
        <v>330</v>
      </c>
      <c r="K1557" s="19" t="s">
        <v>229</v>
      </c>
      <c r="L1557" s="20" t="s">
        <v>61</v>
      </c>
      <c r="M1557" s="21">
        <f t="shared" si="1"/>
        <v>7</v>
      </c>
      <c r="N1557" s="2">
        <v>1289.382</v>
      </c>
      <c r="O1557" s="2">
        <v>14.0</v>
      </c>
      <c r="P1557" s="2">
        <v>159.53</v>
      </c>
      <c r="Q1557" s="2">
        <v>88975.0</v>
      </c>
      <c r="R1557" s="15" t="b">
        <f>ISNUMBER(MATCH(Q1557,'Returned order'!A:A,0))</f>
        <v>0</v>
      </c>
      <c r="S1557" s="22">
        <v>42071.0</v>
      </c>
      <c r="T1557" s="15"/>
      <c r="U1557" s="15"/>
      <c r="V1557" s="15"/>
    </row>
    <row r="1558">
      <c r="A1558" s="2">
        <v>26157.0</v>
      </c>
      <c r="B1558" s="1" t="s">
        <v>28</v>
      </c>
      <c r="C1558" s="2">
        <v>0.07</v>
      </c>
      <c r="D1558" s="2">
        <v>177.98</v>
      </c>
      <c r="E1558" s="2">
        <v>2771.0</v>
      </c>
      <c r="F1558" s="1" t="s">
        <v>1798</v>
      </c>
      <c r="G1558" s="1" t="s">
        <v>32</v>
      </c>
      <c r="H1558" s="1" t="s">
        <v>23</v>
      </c>
      <c r="I1558" s="1" t="s">
        <v>151</v>
      </c>
      <c r="J1558" s="1" t="s">
        <v>1121</v>
      </c>
      <c r="K1558" s="19" t="s">
        <v>229</v>
      </c>
      <c r="L1558" s="20" t="s">
        <v>53</v>
      </c>
      <c r="M1558" s="21">
        <f t="shared" si="1"/>
        <v>6</v>
      </c>
      <c r="N1558" s="2">
        <v>-191.548</v>
      </c>
      <c r="O1558" s="2">
        <v>3.0</v>
      </c>
      <c r="P1558" s="2">
        <v>536.29</v>
      </c>
      <c r="Q1558" s="2">
        <v>88974.0</v>
      </c>
      <c r="R1558" s="15" t="b">
        <f>ISNUMBER(MATCH(Q1558,'Returned order'!A:A,0))</f>
        <v>0</v>
      </c>
      <c r="S1558" s="22">
        <v>42168.0</v>
      </c>
      <c r="T1558" s="15"/>
      <c r="U1558" s="15"/>
      <c r="V1558" s="15"/>
    </row>
    <row r="1559">
      <c r="A1559" s="2">
        <v>24523.0</v>
      </c>
      <c r="B1559" s="1" t="s">
        <v>49</v>
      </c>
      <c r="C1559" s="2">
        <v>0.1</v>
      </c>
      <c r="D1559" s="2">
        <v>5.18</v>
      </c>
      <c r="E1559" s="2">
        <v>2773.0</v>
      </c>
      <c r="F1559" s="1" t="s">
        <v>1799</v>
      </c>
      <c r="G1559" s="1" t="s">
        <v>32</v>
      </c>
      <c r="H1559" s="1" t="s">
        <v>23</v>
      </c>
      <c r="I1559" s="1" t="s">
        <v>24</v>
      </c>
      <c r="J1559" s="1" t="s">
        <v>709</v>
      </c>
      <c r="K1559" s="19" t="s">
        <v>34</v>
      </c>
      <c r="L1559" s="20" t="s">
        <v>70</v>
      </c>
      <c r="M1559" s="21">
        <f t="shared" si="1"/>
        <v>4</v>
      </c>
      <c r="N1559" s="2">
        <v>-29.003</v>
      </c>
      <c r="O1559" s="2">
        <v>2.0</v>
      </c>
      <c r="P1559" s="2">
        <v>10.96</v>
      </c>
      <c r="Q1559" s="2">
        <v>91584.0</v>
      </c>
      <c r="R1559" s="15" t="b">
        <f>ISNUMBER(MATCH(Q1559,'Returned order'!A:A,0))</f>
        <v>0</v>
      </c>
      <c r="S1559" s="22">
        <v>42089.0</v>
      </c>
      <c r="T1559" s="15"/>
      <c r="U1559" s="15"/>
      <c r="V1559" s="15"/>
    </row>
    <row r="1560">
      <c r="A1560" s="2">
        <v>20956.0</v>
      </c>
      <c r="B1560" s="1" t="s">
        <v>170</v>
      </c>
      <c r="C1560" s="2">
        <v>0.07</v>
      </c>
      <c r="D1560" s="2">
        <v>574.74</v>
      </c>
      <c r="E1560" s="2">
        <v>2775.0</v>
      </c>
      <c r="F1560" s="1" t="s">
        <v>1800</v>
      </c>
      <c r="G1560" s="1" t="s">
        <v>22</v>
      </c>
      <c r="H1560" s="1" t="s">
        <v>46</v>
      </c>
      <c r="I1560" s="1" t="s">
        <v>103</v>
      </c>
      <c r="J1560" s="1" t="s">
        <v>304</v>
      </c>
      <c r="K1560" s="19" t="s">
        <v>68</v>
      </c>
      <c r="L1560" s="20" t="s">
        <v>76</v>
      </c>
      <c r="M1560" s="21">
        <f t="shared" si="1"/>
        <v>5</v>
      </c>
      <c r="N1560" s="2">
        <v>2860.9332</v>
      </c>
      <c r="O1560" s="2">
        <v>8.0</v>
      </c>
      <c r="P1560" s="2">
        <v>4146.28</v>
      </c>
      <c r="Q1560" s="2">
        <v>91229.0</v>
      </c>
      <c r="R1560" s="15" t="b">
        <f>ISNUMBER(MATCH(Q1560,'Returned order'!A:A,0))</f>
        <v>0</v>
      </c>
      <c r="S1560" s="22">
        <v>42034.0</v>
      </c>
      <c r="T1560" s="15"/>
      <c r="U1560" s="15"/>
      <c r="V1560" s="15"/>
    </row>
    <row r="1561">
      <c r="A1561" s="2">
        <v>24122.0</v>
      </c>
      <c r="B1561" s="1" t="s">
        <v>58</v>
      </c>
      <c r="C1561" s="2">
        <v>0.03</v>
      </c>
      <c r="D1561" s="2">
        <v>350.98</v>
      </c>
      <c r="E1561" s="2">
        <v>2776.0</v>
      </c>
      <c r="F1561" s="1" t="s">
        <v>210</v>
      </c>
      <c r="G1561" s="1" t="s">
        <v>22</v>
      </c>
      <c r="H1561" s="1" t="s">
        <v>37</v>
      </c>
      <c r="I1561" s="1" t="s">
        <v>38</v>
      </c>
      <c r="J1561" s="1" t="s">
        <v>106</v>
      </c>
      <c r="K1561" s="19" t="s">
        <v>26</v>
      </c>
      <c r="L1561" s="20" t="s">
        <v>27</v>
      </c>
      <c r="M1561" s="21">
        <f t="shared" si="1"/>
        <v>1</v>
      </c>
      <c r="N1561" s="2">
        <v>2692.4421</v>
      </c>
      <c r="O1561" s="2">
        <v>11.0</v>
      </c>
      <c r="P1561" s="2">
        <v>3902.09</v>
      </c>
      <c r="Q1561" s="2">
        <v>91228.0</v>
      </c>
      <c r="R1561" s="15" t="b">
        <f>ISNUMBER(MATCH(Q1561,'Returned order'!A:A,0))</f>
        <v>0</v>
      </c>
      <c r="S1561" s="22">
        <v>42016.0</v>
      </c>
      <c r="T1561" s="15"/>
      <c r="U1561" s="15"/>
      <c r="V1561" s="15"/>
    </row>
    <row r="1562">
      <c r="A1562" s="2">
        <v>24123.0</v>
      </c>
      <c r="B1562" s="1" t="s">
        <v>58</v>
      </c>
      <c r="C1562" s="2">
        <v>0.04</v>
      </c>
      <c r="D1562" s="2">
        <v>1.68</v>
      </c>
      <c r="E1562" s="2">
        <v>2776.0</v>
      </c>
      <c r="F1562" s="1" t="s">
        <v>210</v>
      </c>
      <c r="G1562" s="1" t="s">
        <v>22</v>
      </c>
      <c r="H1562" s="1" t="s">
        <v>23</v>
      </c>
      <c r="I1562" s="1" t="s">
        <v>29</v>
      </c>
      <c r="J1562" s="1" t="s">
        <v>211</v>
      </c>
      <c r="K1562" s="19" t="s">
        <v>26</v>
      </c>
      <c r="L1562" s="20" t="s">
        <v>27</v>
      </c>
      <c r="M1562" s="21">
        <f t="shared" si="1"/>
        <v>1</v>
      </c>
      <c r="N1562" s="2">
        <v>2.0672</v>
      </c>
      <c r="O1562" s="2">
        <v>8.0</v>
      </c>
      <c r="P1562" s="2">
        <v>14.18</v>
      </c>
      <c r="Q1562" s="2">
        <v>91228.0</v>
      </c>
      <c r="R1562" s="15" t="b">
        <f>ISNUMBER(MATCH(Q1562,'Returned order'!A:A,0))</f>
        <v>0</v>
      </c>
      <c r="S1562" s="22">
        <v>42016.0</v>
      </c>
      <c r="T1562" s="15"/>
      <c r="U1562" s="15"/>
      <c r="V1562" s="15"/>
    </row>
    <row r="1563">
      <c r="A1563" s="2">
        <v>20097.0</v>
      </c>
      <c r="B1563" s="1" t="s">
        <v>28</v>
      </c>
      <c r="C1563" s="2">
        <v>0.05</v>
      </c>
      <c r="D1563" s="2">
        <v>205.99</v>
      </c>
      <c r="E1563" s="2">
        <v>2778.0</v>
      </c>
      <c r="F1563" s="1" t="s">
        <v>1801</v>
      </c>
      <c r="G1563" s="1" t="s">
        <v>22</v>
      </c>
      <c r="H1563" s="1" t="s">
        <v>46</v>
      </c>
      <c r="I1563" s="1" t="s">
        <v>85</v>
      </c>
      <c r="J1563" s="1" t="s">
        <v>1802</v>
      </c>
      <c r="K1563" s="19" t="s">
        <v>229</v>
      </c>
      <c r="L1563" s="20" t="s">
        <v>35</v>
      </c>
      <c r="M1563" s="21">
        <f t="shared" si="1"/>
        <v>3</v>
      </c>
      <c r="N1563" s="2">
        <v>111.0525</v>
      </c>
      <c r="O1563" s="2">
        <v>12.0</v>
      </c>
      <c r="P1563" s="2">
        <v>2118.99</v>
      </c>
      <c r="Q1563" s="2">
        <v>87160.0</v>
      </c>
      <c r="R1563" s="15" t="b">
        <f>ISNUMBER(MATCH(Q1563,'Returned order'!A:A,0))</f>
        <v>0</v>
      </c>
      <c r="S1563" s="22">
        <v>42046.0</v>
      </c>
      <c r="T1563" s="15"/>
      <c r="U1563" s="15"/>
      <c r="V1563" s="15"/>
    </row>
    <row r="1564">
      <c r="A1564" s="2">
        <v>20098.0</v>
      </c>
      <c r="B1564" s="1" t="s">
        <v>28</v>
      </c>
      <c r="C1564" s="2">
        <v>0.08</v>
      </c>
      <c r="D1564" s="2">
        <v>205.99</v>
      </c>
      <c r="E1564" s="2">
        <v>2778.0</v>
      </c>
      <c r="F1564" s="1" t="s">
        <v>1801</v>
      </c>
      <c r="G1564" s="1" t="s">
        <v>22</v>
      </c>
      <c r="H1564" s="1" t="s">
        <v>46</v>
      </c>
      <c r="I1564" s="1" t="s">
        <v>85</v>
      </c>
      <c r="J1564" s="1" t="s">
        <v>172</v>
      </c>
      <c r="K1564" s="19" t="s">
        <v>229</v>
      </c>
      <c r="L1564" s="20" t="s">
        <v>35</v>
      </c>
      <c r="M1564" s="21">
        <f t="shared" si="1"/>
        <v>3</v>
      </c>
      <c r="N1564" s="2">
        <v>-1963.752</v>
      </c>
      <c r="O1564" s="2">
        <v>5.0</v>
      </c>
      <c r="P1564" s="2">
        <v>837.64</v>
      </c>
      <c r="Q1564" s="2">
        <v>87160.0</v>
      </c>
      <c r="R1564" s="15" t="b">
        <f>ISNUMBER(MATCH(Q1564,'Returned order'!A:A,0))</f>
        <v>0</v>
      </c>
      <c r="S1564" s="22">
        <v>42046.0</v>
      </c>
      <c r="T1564" s="15"/>
      <c r="U1564" s="15"/>
      <c r="V1564" s="15"/>
    </row>
    <row r="1565">
      <c r="A1565" s="2">
        <v>21707.0</v>
      </c>
      <c r="B1565" s="1" t="s">
        <v>58</v>
      </c>
      <c r="C1565" s="2">
        <v>0.01</v>
      </c>
      <c r="D1565" s="2">
        <v>35.99</v>
      </c>
      <c r="E1565" s="2">
        <v>2779.0</v>
      </c>
      <c r="F1565" s="1" t="s">
        <v>1803</v>
      </c>
      <c r="G1565" s="1" t="s">
        <v>32</v>
      </c>
      <c r="H1565" s="1" t="s">
        <v>46</v>
      </c>
      <c r="I1565" s="1" t="s">
        <v>85</v>
      </c>
      <c r="J1565" s="1" t="s">
        <v>200</v>
      </c>
      <c r="K1565" s="19" t="s">
        <v>229</v>
      </c>
      <c r="L1565" s="20" t="s">
        <v>70</v>
      </c>
      <c r="M1565" s="21">
        <f t="shared" si="1"/>
        <v>4</v>
      </c>
      <c r="N1565" s="2">
        <v>-60.704</v>
      </c>
      <c r="O1565" s="2">
        <v>11.0</v>
      </c>
      <c r="P1565" s="2">
        <v>345.07</v>
      </c>
      <c r="Q1565" s="2">
        <v>87161.0</v>
      </c>
      <c r="R1565" s="15" t="b">
        <f>ISNUMBER(MATCH(Q1565,'Returned order'!A:A,0))</f>
        <v>0</v>
      </c>
      <c r="S1565" s="22">
        <v>42166.0</v>
      </c>
      <c r="T1565" s="15"/>
      <c r="U1565" s="15"/>
      <c r="V1565" s="15"/>
    </row>
    <row r="1566">
      <c r="A1566" s="2">
        <v>22095.0</v>
      </c>
      <c r="B1566" s="1" t="s">
        <v>170</v>
      </c>
      <c r="C1566" s="2">
        <v>0.09</v>
      </c>
      <c r="D1566" s="2">
        <v>2.16</v>
      </c>
      <c r="E1566" s="2">
        <v>2781.0</v>
      </c>
      <c r="F1566" s="1" t="s">
        <v>1804</v>
      </c>
      <c r="G1566" s="1" t="s">
        <v>22</v>
      </c>
      <c r="H1566" s="1" t="s">
        <v>23</v>
      </c>
      <c r="I1566" s="1" t="s">
        <v>24</v>
      </c>
      <c r="J1566" s="1" t="s">
        <v>1148</v>
      </c>
      <c r="K1566" s="19" t="s">
        <v>34</v>
      </c>
      <c r="L1566" s="20" t="s">
        <v>53</v>
      </c>
      <c r="M1566" s="21">
        <f t="shared" si="1"/>
        <v>6</v>
      </c>
      <c r="N1566" s="2">
        <v>-37.789</v>
      </c>
      <c r="O1566" s="2">
        <v>2.0</v>
      </c>
      <c r="P1566" s="2">
        <v>5.48</v>
      </c>
      <c r="Q1566" s="2">
        <v>87162.0</v>
      </c>
      <c r="R1566" s="15" t="b">
        <f>ISNUMBER(MATCH(Q1566,'Returned order'!A:A,0))</f>
        <v>0</v>
      </c>
      <c r="S1566" s="22">
        <v>42035.0</v>
      </c>
      <c r="T1566" s="15"/>
      <c r="U1566" s="15"/>
      <c r="V1566" s="15"/>
    </row>
    <row r="1567">
      <c r="A1567" s="2">
        <v>22096.0</v>
      </c>
      <c r="B1567" s="1" t="s">
        <v>170</v>
      </c>
      <c r="C1567" s="2">
        <v>0.03</v>
      </c>
      <c r="D1567" s="2">
        <v>808.49</v>
      </c>
      <c r="E1567" s="2">
        <v>2781.0</v>
      </c>
      <c r="F1567" s="1" t="s">
        <v>1804</v>
      </c>
      <c r="G1567" s="1" t="s">
        <v>22</v>
      </c>
      <c r="H1567" s="1" t="s">
        <v>46</v>
      </c>
      <c r="I1567" s="1" t="s">
        <v>103</v>
      </c>
      <c r="J1567" s="1" t="s">
        <v>1805</v>
      </c>
      <c r="K1567" s="19" t="s">
        <v>34</v>
      </c>
      <c r="L1567" s="20" t="s">
        <v>53</v>
      </c>
      <c r="M1567" s="21">
        <f t="shared" si="1"/>
        <v>6</v>
      </c>
      <c r="N1567" s="2">
        <v>7576.11</v>
      </c>
      <c r="O1567" s="2">
        <v>11.0</v>
      </c>
      <c r="P1567" s="2">
        <v>8201.33</v>
      </c>
      <c r="Q1567" s="2">
        <v>87162.0</v>
      </c>
      <c r="R1567" s="15" t="b">
        <f>ISNUMBER(MATCH(Q1567,'Returned order'!A:A,0))</f>
        <v>0</v>
      </c>
      <c r="S1567" s="22">
        <v>42035.0</v>
      </c>
      <c r="T1567" s="15"/>
      <c r="U1567" s="15"/>
      <c r="V1567" s="15"/>
    </row>
    <row r="1568">
      <c r="A1568" s="2">
        <v>22097.0</v>
      </c>
      <c r="B1568" s="1" t="s">
        <v>170</v>
      </c>
      <c r="C1568" s="2">
        <v>0.0</v>
      </c>
      <c r="D1568" s="2">
        <v>6.48</v>
      </c>
      <c r="E1568" s="2">
        <v>2781.0</v>
      </c>
      <c r="F1568" s="1" t="s">
        <v>1804</v>
      </c>
      <c r="G1568" s="1" t="s">
        <v>22</v>
      </c>
      <c r="H1568" s="1" t="s">
        <v>23</v>
      </c>
      <c r="I1568" s="1" t="s">
        <v>93</v>
      </c>
      <c r="J1568" s="1" t="s">
        <v>1806</v>
      </c>
      <c r="K1568" s="19" t="s">
        <v>34</v>
      </c>
      <c r="L1568" s="20" t="s">
        <v>53</v>
      </c>
      <c r="M1568" s="21">
        <f t="shared" si="1"/>
        <v>6</v>
      </c>
      <c r="N1568" s="2">
        <v>-43.26</v>
      </c>
      <c r="O1568" s="2">
        <v>3.0</v>
      </c>
      <c r="P1568" s="2">
        <v>22.67</v>
      </c>
      <c r="Q1568" s="2">
        <v>87162.0</v>
      </c>
      <c r="R1568" s="15" t="b">
        <f>ISNUMBER(MATCH(Q1568,'Returned order'!A:A,0))</f>
        <v>0</v>
      </c>
      <c r="S1568" s="22">
        <v>42035.0</v>
      </c>
      <c r="T1568" s="15"/>
      <c r="U1568" s="15"/>
      <c r="V1568" s="15"/>
    </row>
    <row r="1569">
      <c r="A1569" s="2">
        <v>21587.0</v>
      </c>
      <c r="B1569" s="1" t="s">
        <v>49</v>
      </c>
      <c r="C1569" s="2">
        <v>0.01</v>
      </c>
      <c r="D1569" s="2">
        <v>47.98</v>
      </c>
      <c r="E1569" s="2">
        <v>2787.0</v>
      </c>
      <c r="F1569" s="1" t="s">
        <v>1807</v>
      </c>
      <c r="G1569" s="1" t="s">
        <v>22</v>
      </c>
      <c r="H1569" s="1" t="s">
        <v>46</v>
      </c>
      <c r="I1569" s="1" t="s">
        <v>47</v>
      </c>
      <c r="J1569" s="1" t="s">
        <v>801</v>
      </c>
      <c r="K1569" s="19" t="s">
        <v>229</v>
      </c>
      <c r="L1569" s="20" t="s">
        <v>70</v>
      </c>
      <c r="M1569" s="21">
        <f t="shared" si="1"/>
        <v>4</v>
      </c>
      <c r="N1569" s="2">
        <v>-44.436</v>
      </c>
      <c r="O1569" s="2">
        <v>8.0</v>
      </c>
      <c r="P1569" s="2">
        <v>393.98</v>
      </c>
      <c r="Q1569" s="2">
        <v>91316.0</v>
      </c>
      <c r="R1569" s="15" t="b">
        <f>ISNUMBER(MATCH(Q1569,'Returned order'!A:A,0))</f>
        <v>0</v>
      </c>
      <c r="S1569" s="22">
        <v>42075.0</v>
      </c>
      <c r="T1569" s="15"/>
      <c r="U1569" s="15"/>
      <c r="V1569" s="15"/>
    </row>
    <row r="1570">
      <c r="A1570" s="2">
        <v>19860.0</v>
      </c>
      <c r="B1570" s="1" t="s">
        <v>58</v>
      </c>
      <c r="C1570" s="2">
        <v>0.09</v>
      </c>
      <c r="D1570" s="2">
        <v>2.88</v>
      </c>
      <c r="E1570" s="2">
        <v>2791.0</v>
      </c>
      <c r="F1570" s="1" t="s">
        <v>1808</v>
      </c>
      <c r="G1570" s="1" t="s">
        <v>32</v>
      </c>
      <c r="H1570" s="1" t="s">
        <v>23</v>
      </c>
      <c r="I1570" s="1" t="s">
        <v>29</v>
      </c>
      <c r="J1570" s="1" t="s">
        <v>1809</v>
      </c>
      <c r="K1570" s="19" t="s">
        <v>68</v>
      </c>
      <c r="L1570" s="20" t="s">
        <v>70</v>
      </c>
      <c r="M1570" s="21">
        <f t="shared" si="1"/>
        <v>4</v>
      </c>
      <c r="N1570" s="2">
        <v>4.85</v>
      </c>
      <c r="O1570" s="2">
        <v>7.0</v>
      </c>
      <c r="P1570" s="2">
        <v>19.29</v>
      </c>
      <c r="Q1570" s="2">
        <v>88758.0</v>
      </c>
      <c r="R1570" s="15" t="b">
        <f>ISNUMBER(MATCH(Q1570,'Returned order'!A:A,0))</f>
        <v>0</v>
      </c>
      <c r="S1570" s="22">
        <v>42019.0</v>
      </c>
      <c r="T1570" s="15"/>
      <c r="U1570" s="15"/>
      <c r="V1570" s="15"/>
    </row>
    <row r="1571">
      <c r="A1571" s="2">
        <v>18361.0</v>
      </c>
      <c r="B1571" s="1" t="s">
        <v>63</v>
      </c>
      <c r="C1571" s="2">
        <v>0.06</v>
      </c>
      <c r="D1571" s="2">
        <v>2.61</v>
      </c>
      <c r="E1571" s="2">
        <v>2794.0</v>
      </c>
      <c r="F1571" s="1" t="s">
        <v>1810</v>
      </c>
      <c r="G1571" s="1" t="s">
        <v>32</v>
      </c>
      <c r="H1571" s="1" t="s">
        <v>23</v>
      </c>
      <c r="I1571" s="1" t="s">
        <v>130</v>
      </c>
      <c r="J1571" s="1" t="s">
        <v>716</v>
      </c>
      <c r="K1571" s="19" t="s">
        <v>68</v>
      </c>
      <c r="L1571" s="20" t="s">
        <v>76</v>
      </c>
      <c r="M1571" s="21">
        <f t="shared" si="1"/>
        <v>5</v>
      </c>
      <c r="N1571" s="2">
        <v>3.5949</v>
      </c>
      <c r="O1571" s="2">
        <v>2.0</v>
      </c>
      <c r="P1571" s="2">
        <v>5.21</v>
      </c>
      <c r="Q1571" s="2">
        <v>87554.0</v>
      </c>
      <c r="R1571" s="15" t="b">
        <f>ISNUMBER(MATCH(Q1571,'Returned order'!A:A,0))</f>
        <v>0</v>
      </c>
      <c r="S1571" s="22">
        <v>42083.0</v>
      </c>
      <c r="T1571" s="15"/>
      <c r="U1571" s="15"/>
      <c r="V1571" s="15"/>
    </row>
    <row r="1572">
      <c r="A1572" s="2">
        <v>18895.0</v>
      </c>
      <c r="B1572" s="1" t="s">
        <v>28</v>
      </c>
      <c r="C1572" s="2">
        <v>0.07</v>
      </c>
      <c r="D1572" s="2">
        <v>4.76</v>
      </c>
      <c r="E1572" s="2">
        <v>2794.0</v>
      </c>
      <c r="F1572" s="1" t="s">
        <v>1810</v>
      </c>
      <c r="G1572" s="1" t="s">
        <v>32</v>
      </c>
      <c r="H1572" s="1" t="s">
        <v>23</v>
      </c>
      <c r="I1572" s="1" t="s">
        <v>93</v>
      </c>
      <c r="J1572" s="1" t="s">
        <v>1811</v>
      </c>
      <c r="K1572" s="19" t="s">
        <v>68</v>
      </c>
      <c r="L1572" s="20" t="s">
        <v>61</v>
      </c>
      <c r="M1572" s="21">
        <f t="shared" si="1"/>
        <v>7</v>
      </c>
      <c r="N1572" s="2">
        <v>15.8148</v>
      </c>
      <c r="O1572" s="2">
        <v>5.0</v>
      </c>
      <c r="P1572" s="2">
        <v>22.92</v>
      </c>
      <c r="Q1572" s="2">
        <v>87555.0</v>
      </c>
      <c r="R1572" s="15" t="b">
        <f>ISNUMBER(MATCH(Q1572,'Returned order'!A:A,0))</f>
        <v>0</v>
      </c>
      <c r="S1572" s="22">
        <v>42162.0</v>
      </c>
      <c r="T1572" s="15"/>
      <c r="U1572" s="15"/>
      <c r="V1572" s="15"/>
    </row>
    <row r="1573">
      <c r="A1573" s="2">
        <v>19486.0</v>
      </c>
      <c r="B1573" s="1" t="s">
        <v>170</v>
      </c>
      <c r="C1573" s="2">
        <v>0.04</v>
      </c>
      <c r="D1573" s="2">
        <v>3.57</v>
      </c>
      <c r="E1573" s="2">
        <v>2795.0</v>
      </c>
      <c r="F1573" s="1" t="s">
        <v>1812</v>
      </c>
      <c r="G1573" s="1" t="s">
        <v>32</v>
      </c>
      <c r="H1573" s="1" t="s">
        <v>23</v>
      </c>
      <c r="I1573" s="1" t="s">
        <v>29</v>
      </c>
      <c r="J1573" s="1" t="s">
        <v>245</v>
      </c>
      <c r="K1573" s="19" t="s">
        <v>68</v>
      </c>
      <c r="L1573" s="20" t="s">
        <v>27</v>
      </c>
      <c r="M1573" s="21">
        <f t="shared" si="1"/>
        <v>1</v>
      </c>
      <c r="N1573" s="2">
        <v>-69.91</v>
      </c>
      <c r="O1573" s="2">
        <v>8.0</v>
      </c>
      <c r="P1573" s="2">
        <v>30.9</v>
      </c>
      <c r="Q1573" s="2">
        <v>87556.0</v>
      </c>
      <c r="R1573" s="15" t="b">
        <f>ISNUMBER(MATCH(Q1573,'Returned order'!A:A,0))</f>
        <v>0</v>
      </c>
      <c r="S1573" s="22">
        <v>42030.0</v>
      </c>
      <c r="T1573" s="15"/>
      <c r="U1573" s="15"/>
      <c r="V1573" s="15"/>
    </row>
    <row r="1574">
      <c r="A1574" s="2">
        <v>19487.0</v>
      </c>
      <c r="B1574" s="1" t="s">
        <v>170</v>
      </c>
      <c r="C1574" s="2">
        <v>0.05</v>
      </c>
      <c r="D1574" s="2">
        <v>200.99</v>
      </c>
      <c r="E1574" s="2">
        <v>2795.0</v>
      </c>
      <c r="F1574" s="1" t="s">
        <v>1812</v>
      </c>
      <c r="G1574" s="1" t="s">
        <v>32</v>
      </c>
      <c r="H1574" s="1" t="s">
        <v>46</v>
      </c>
      <c r="I1574" s="1" t="s">
        <v>85</v>
      </c>
      <c r="J1574" s="1" t="s">
        <v>486</v>
      </c>
      <c r="K1574" s="19" t="s">
        <v>68</v>
      </c>
      <c r="L1574" s="20" t="s">
        <v>27</v>
      </c>
      <c r="M1574" s="21">
        <f t="shared" si="1"/>
        <v>1</v>
      </c>
      <c r="N1574" s="2">
        <v>1630.5252</v>
      </c>
      <c r="O1574" s="2">
        <v>14.0</v>
      </c>
      <c r="P1574" s="2">
        <v>2363.08</v>
      </c>
      <c r="Q1574" s="2">
        <v>87556.0</v>
      </c>
      <c r="R1574" s="15" t="b">
        <f>ISNUMBER(MATCH(Q1574,'Returned order'!A:A,0))</f>
        <v>0</v>
      </c>
      <c r="S1574" s="22">
        <v>42030.0</v>
      </c>
      <c r="T1574" s="15"/>
      <c r="U1574" s="15"/>
      <c r="V1574" s="15"/>
    </row>
    <row r="1575">
      <c r="A1575" s="2">
        <v>19488.0</v>
      </c>
      <c r="B1575" s="1" t="s">
        <v>170</v>
      </c>
      <c r="C1575" s="2">
        <v>0.07</v>
      </c>
      <c r="D1575" s="2">
        <v>195.99</v>
      </c>
      <c r="E1575" s="2">
        <v>2795.0</v>
      </c>
      <c r="F1575" s="1" t="s">
        <v>1812</v>
      </c>
      <c r="G1575" s="1" t="s">
        <v>32</v>
      </c>
      <c r="H1575" s="1" t="s">
        <v>46</v>
      </c>
      <c r="I1575" s="1" t="s">
        <v>85</v>
      </c>
      <c r="J1575" s="1" t="s">
        <v>1813</v>
      </c>
      <c r="K1575" s="19" t="s">
        <v>68</v>
      </c>
      <c r="L1575" s="20" t="s">
        <v>27</v>
      </c>
      <c r="M1575" s="21">
        <f t="shared" si="1"/>
        <v>1</v>
      </c>
      <c r="N1575" s="2">
        <v>-457.16</v>
      </c>
      <c r="O1575" s="2">
        <v>2.0</v>
      </c>
      <c r="P1575" s="2">
        <v>328.45</v>
      </c>
      <c r="Q1575" s="2">
        <v>87556.0</v>
      </c>
      <c r="R1575" s="15" t="b">
        <f>ISNUMBER(MATCH(Q1575,'Returned order'!A:A,0))</f>
        <v>0</v>
      </c>
      <c r="S1575" s="22">
        <v>42030.0</v>
      </c>
      <c r="T1575" s="15"/>
      <c r="U1575" s="15"/>
      <c r="V1575" s="15"/>
    </row>
    <row r="1576">
      <c r="A1576" s="2">
        <v>23351.0</v>
      </c>
      <c r="B1576" s="1" t="s">
        <v>63</v>
      </c>
      <c r="C1576" s="2">
        <v>0.02</v>
      </c>
      <c r="D1576" s="2">
        <v>30.44</v>
      </c>
      <c r="E1576" s="2">
        <v>2796.0</v>
      </c>
      <c r="F1576" s="1" t="s">
        <v>1814</v>
      </c>
      <c r="G1576" s="1" t="s">
        <v>32</v>
      </c>
      <c r="H1576" s="1" t="s">
        <v>23</v>
      </c>
      <c r="I1576" s="1" t="s">
        <v>24</v>
      </c>
      <c r="J1576" s="1" t="s">
        <v>1815</v>
      </c>
      <c r="K1576" s="19" t="s">
        <v>68</v>
      </c>
      <c r="L1576" s="20" t="s">
        <v>35</v>
      </c>
      <c r="M1576" s="21">
        <f t="shared" si="1"/>
        <v>3</v>
      </c>
      <c r="N1576" s="2">
        <v>266.7609</v>
      </c>
      <c r="O1576" s="2">
        <v>12.0</v>
      </c>
      <c r="P1576" s="2">
        <v>386.61</v>
      </c>
      <c r="Q1576" s="2">
        <v>87553.0</v>
      </c>
      <c r="R1576" s="15" t="b">
        <f>ISNUMBER(MATCH(Q1576,'Returned order'!A:A,0))</f>
        <v>0</v>
      </c>
      <c r="S1576" s="22">
        <v>42025.0</v>
      </c>
      <c r="T1576" s="15"/>
      <c r="U1576" s="15"/>
      <c r="V1576" s="15"/>
    </row>
    <row r="1577">
      <c r="A1577" s="2">
        <v>22787.0</v>
      </c>
      <c r="B1577" s="1" t="s">
        <v>63</v>
      </c>
      <c r="C1577" s="2">
        <v>0.0</v>
      </c>
      <c r="D1577" s="2">
        <v>5.02</v>
      </c>
      <c r="E1577" s="2">
        <v>2797.0</v>
      </c>
      <c r="F1577" s="1" t="s">
        <v>1816</v>
      </c>
      <c r="G1577" s="1" t="s">
        <v>22</v>
      </c>
      <c r="H1577" s="1" t="s">
        <v>46</v>
      </c>
      <c r="I1577" s="1" t="s">
        <v>47</v>
      </c>
      <c r="J1577" s="1" t="s">
        <v>685</v>
      </c>
      <c r="K1577" s="19" t="s">
        <v>26</v>
      </c>
      <c r="L1577" s="20" t="s">
        <v>53</v>
      </c>
      <c r="M1577" s="21">
        <f t="shared" si="1"/>
        <v>6</v>
      </c>
      <c r="N1577" s="2">
        <v>-159.3028</v>
      </c>
      <c r="O1577" s="2">
        <v>8.0</v>
      </c>
      <c r="P1577" s="2">
        <v>43.94</v>
      </c>
      <c r="Q1577" s="2">
        <v>87552.0</v>
      </c>
      <c r="R1577" s="15" t="b">
        <f>ISNUMBER(MATCH(Q1577,'Returned order'!A:A,0))</f>
        <v>0</v>
      </c>
      <c r="S1577" s="22">
        <v>42014.0</v>
      </c>
      <c r="T1577" s="15"/>
      <c r="U1577" s="15"/>
      <c r="V1577" s="15"/>
    </row>
    <row r="1578">
      <c r="A1578" s="2">
        <v>23350.0</v>
      </c>
      <c r="B1578" s="1" t="s">
        <v>63</v>
      </c>
      <c r="C1578" s="2">
        <v>0.02</v>
      </c>
      <c r="D1578" s="2">
        <v>4.91</v>
      </c>
      <c r="E1578" s="2">
        <v>2797.0</v>
      </c>
      <c r="F1578" s="1" t="s">
        <v>1816</v>
      </c>
      <c r="G1578" s="1" t="s">
        <v>32</v>
      </c>
      <c r="H1578" s="1" t="s">
        <v>23</v>
      </c>
      <c r="I1578" s="1" t="s">
        <v>130</v>
      </c>
      <c r="J1578" s="1" t="s">
        <v>1165</v>
      </c>
      <c r="K1578" s="19" t="s">
        <v>26</v>
      </c>
      <c r="L1578" s="20" t="s">
        <v>35</v>
      </c>
      <c r="M1578" s="21">
        <f t="shared" si="1"/>
        <v>3</v>
      </c>
      <c r="N1578" s="2">
        <v>29.8839</v>
      </c>
      <c r="O1578" s="2">
        <v>9.0</v>
      </c>
      <c r="P1578" s="2">
        <v>43.31</v>
      </c>
      <c r="Q1578" s="2">
        <v>87553.0</v>
      </c>
      <c r="R1578" s="15" t="b">
        <f>ISNUMBER(MATCH(Q1578,'Returned order'!A:A,0))</f>
        <v>0</v>
      </c>
      <c r="S1578" s="22">
        <v>42025.0</v>
      </c>
      <c r="T1578" s="15"/>
      <c r="U1578" s="15"/>
      <c r="V1578" s="15"/>
    </row>
    <row r="1579">
      <c r="A1579" s="2">
        <v>20618.0</v>
      </c>
      <c r="B1579" s="1" t="s">
        <v>170</v>
      </c>
      <c r="C1579" s="2">
        <v>0.0</v>
      </c>
      <c r="D1579" s="2">
        <v>17.52</v>
      </c>
      <c r="E1579" s="2">
        <v>2801.0</v>
      </c>
      <c r="F1579" s="1" t="s">
        <v>1817</v>
      </c>
      <c r="G1579" s="1" t="s">
        <v>51</v>
      </c>
      <c r="H1579" s="1" t="s">
        <v>23</v>
      </c>
      <c r="I1579" s="1" t="s">
        <v>151</v>
      </c>
      <c r="J1579" s="1" t="s">
        <v>1818</v>
      </c>
      <c r="K1579" s="19" t="s">
        <v>34</v>
      </c>
      <c r="L1579" s="20" t="s">
        <v>61</v>
      </c>
      <c r="M1579" s="21">
        <f t="shared" si="1"/>
        <v>7</v>
      </c>
      <c r="N1579" s="2">
        <v>52.764</v>
      </c>
      <c r="O1579" s="2">
        <v>15.0</v>
      </c>
      <c r="P1579" s="2">
        <v>284.34</v>
      </c>
      <c r="Q1579" s="2">
        <v>91049.0</v>
      </c>
      <c r="R1579" s="15" t="b">
        <f>ISNUMBER(MATCH(Q1579,'Returned order'!A:A,0))</f>
        <v>0</v>
      </c>
      <c r="S1579" s="22">
        <v>42183.0</v>
      </c>
      <c r="T1579" s="15"/>
      <c r="U1579" s="15"/>
      <c r="V1579" s="15"/>
    </row>
    <row r="1580">
      <c r="A1580" s="2">
        <v>18070.0</v>
      </c>
      <c r="B1580" s="1" t="s">
        <v>63</v>
      </c>
      <c r="C1580" s="2">
        <v>0.07</v>
      </c>
      <c r="D1580" s="2">
        <v>500.98</v>
      </c>
      <c r="E1580" s="2">
        <v>2803.0</v>
      </c>
      <c r="F1580" s="1" t="s">
        <v>1819</v>
      </c>
      <c r="G1580" s="1" t="s">
        <v>66</v>
      </c>
      <c r="H1580" s="1" t="s">
        <v>46</v>
      </c>
      <c r="I1580" s="1" t="s">
        <v>103</v>
      </c>
      <c r="J1580" s="1" t="s">
        <v>1820</v>
      </c>
      <c r="K1580" s="19" t="s">
        <v>34</v>
      </c>
      <c r="L1580" s="20" t="s">
        <v>70</v>
      </c>
      <c r="M1580" s="21">
        <f t="shared" si="1"/>
        <v>4</v>
      </c>
      <c r="N1580" s="2">
        <v>2699.9838</v>
      </c>
      <c r="O1580" s="2">
        <v>10.0</v>
      </c>
      <c r="P1580" s="2">
        <v>3913.02</v>
      </c>
      <c r="Q1580" s="2">
        <v>86227.0</v>
      </c>
      <c r="R1580" s="15" t="b">
        <f>ISNUMBER(MATCH(Q1580,'Returned order'!A:A,0))</f>
        <v>0</v>
      </c>
      <c r="S1580" s="22">
        <v>42040.0</v>
      </c>
      <c r="T1580" s="15"/>
      <c r="U1580" s="15"/>
      <c r="V1580" s="15"/>
    </row>
    <row r="1581">
      <c r="A1581" s="2">
        <v>18071.0</v>
      </c>
      <c r="B1581" s="1" t="s">
        <v>63</v>
      </c>
      <c r="C1581" s="2">
        <v>0.1</v>
      </c>
      <c r="D1581" s="2">
        <v>178.47</v>
      </c>
      <c r="E1581" s="2">
        <v>2803.0</v>
      </c>
      <c r="F1581" s="1" t="s">
        <v>1819</v>
      </c>
      <c r="G1581" s="1" t="s">
        <v>66</v>
      </c>
      <c r="H1581" s="1" t="s">
        <v>23</v>
      </c>
      <c r="I1581" s="1" t="s">
        <v>120</v>
      </c>
      <c r="J1581" s="1" t="s">
        <v>474</v>
      </c>
      <c r="K1581" s="19" t="s">
        <v>34</v>
      </c>
      <c r="L1581" s="20" t="s">
        <v>70</v>
      </c>
      <c r="M1581" s="21">
        <f t="shared" si="1"/>
        <v>4</v>
      </c>
      <c r="N1581" s="2">
        <v>-170.98</v>
      </c>
      <c r="O1581" s="2">
        <v>1.0</v>
      </c>
      <c r="P1581" s="2">
        <v>180.14</v>
      </c>
      <c r="Q1581" s="2">
        <v>86227.0</v>
      </c>
      <c r="R1581" s="15" t="b">
        <f>ISNUMBER(MATCH(Q1581,'Returned order'!A:A,0))</f>
        <v>0</v>
      </c>
      <c r="S1581" s="22">
        <v>42040.0</v>
      </c>
      <c r="T1581" s="15"/>
      <c r="U1581" s="15"/>
      <c r="V1581" s="15"/>
    </row>
    <row r="1582">
      <c r="A1582" s="2">
        <v>24604.0</v>
      </c>
      <c r="B1582" s="1" t="s">
        <v>63</v>
      </c>
      <c r="C1582" s="2">
        <v>0.07</v>
      </c>
      <c r="D1582" s="2">
        <v>30.56</v>
      </c>
      <c r="E1582" s="2">
        <v>2813.0</v>
      </c>
      <c r="F1582" s="1" t="s">
        <v>1821</v>
      </c>
      <c r="G1582" s="1" t="s">
        <v>32</v>
      </c>
      <c r="H1582" s="1" t="s">
        <v>23</v>
      </c>
      <c r="I1582" s="1" t="s">
        <v>24</v>
      </c>
      <c r="J1582" s="1" t="s">
        <v>1822</v>
      </c>
      <c r="K1582" s="19" t="s">
        <v>229</v>
      </c>
      <c r="L1582" s="20" t="s">
        <v>53</v>
      </c>
      <c r="M1582" s="21">
        <f t="shared" si="1"/>
        <v>6</v>
      </c>
      <c r="N1582" s="2">
        <v>-95.6186</v>
      </c>
      <c r="O1582" s="2">
        <v>12.0</v>
      </c>
      <c r="P1582" s="2">
        <v>364.92</v>
      </c>
      <c r="Q1582" s="2">
        <v>88819.0</v>
      </c>
      <c r="R1582" s="15" t="b">
        <f>ISNUMBER(MATCH(Q1582,'Returned order'!A:A,0))</f>
        <v>0</v>
      </c>
      <c r="S1582" s="22">
        <v>42042.0</v>
      </c>
      <c r="T1582" s="15"/>
      <c r="U1582" s="15"/>
      <c r="V1582" s="15"/>
    </row>
    <row r="1583">
      <c r="A1583" s="2">
        <v>24044.0</v>
      </c>
      <c r="B1583" s="1" t="s">
        <v>28</v>
      </c>
      <c r="C1583" s="2">
        <v>0.05</v>
      </c>
      <c r="D1583" s="2">
        <v>4.71</v>
      </c>
      <c r="E1583" s="2">
        <v>2817.0</v>
      </c>
      <c r="F1583" s="1" t="s">
        <v>212</v>
      </c>
      <c r="G1583" s="1" t="s">
        <v>32</v>
      </c>
      <c r="H1583" s="1" t="s">
        <v>23</v>
      </c>
      <c r="I1583" s="1" t="s">
        <v>81</v>
      </c>
      <c r="J1583" s="1" t="s">
        <v>213</v>
      </c>
      <c r="K1583" s="19" t="s">
        <v>26</v>
      </c>
      <c r="L1583" s="20" t="s">
        <v>27</v>
      </c>
      <c r="M1583" s="21">
        <f t="shared" si="1"/>
        <v>1</v>
      </c>
      <c r="N1583" s="2">
        <v>-2.376</v>
      </c>
      <c r="O1583" s="2">
        <v>2.0</v>
      </c>
      <c r="P1583" s="2">
        <v>12.16</v>
      </c>
      <c r="Q1583" s="2">
        <v>89743.0</v>
      </c>
      <c r="R1583" s="15" t="b">
        <f>ISNUMBER(MATCH(Q1583,'Returned order'!A:A,0))</f>
        <v>0</v>
      </c>
      <c r="S1583" s="22">
        <v>42156.0</v>
      </c>
      <c r="T1583" s="15"/>
      <c r="U1583" s="15"/>
      <c r="V1583" s="15"/>
    </row>
    <row r="1584">
      <c r="A1584" s="2">
        <v>24045.0</v>
      </c>
      <c r="B1584" s="1" t="s">
        <v>28</v>
      </c>
      <c r="C1584" s="2">
        <v>0.04</v>
      </c>
      <c r="D1584" s="2">
        <v>55.99</v>
      </c>
      <c r="E1584" s="2">
        <v>2817.0</v>
      </c>
      <c r="F1584" s="1" t="s">
        <v>212</v>
      </c>
      <c r="G1584" s="1" t="s">
        <v>32</v>
      </c>
      <c r="H1584" s="1" t="s">
        <v>46</v>
      </c>
      <c r="I1584" s="1" t="s">
        <v>85</v>
      </c>
      <c r="J1584" s="1" t="s">
        <v>214</v>
      </c>
      <c r="K1584" s="19" t="s">
        <v>26</v>
      </c>
      <c r="L1584" s="20" t="s">
        <v>27</v>
      </c>
      <c r="M1584" s="21">
        <f t="shared" si="1"/>
        <v>1</v>
      </c>
      <c r="N1584" s="2">
        <v>-18.3216</v>
      </c>
      <c r="O1584" s="2">
        <v>3.0</v>
      </c>
      <c r="P1584" s="2">
        <v>147.56</v>
      </c>
      <c r="Q1584" s="2">
        <v>89743.0</v>
      </c>
      <c r="R1584" s="15" t="b">
        <f>ISNUMBER(MATCH(Q1584,'Returned order'!A:A,0))</f>
        <v>0</v>
      </c>
      <c r="S1584" s="22">
        <v>42156.0</v>
      </c>
      <c r="T1584" s="15"/>
      <c r="U1584" s="15"/>
      <c r="V1584" s="15"/>
    </row>
    <row r="1585">
      <c r="A1585" s="2">
        <v>24373.0</v>
      </c>
      <c r="B1585" s="1" t="s">
        <v>170</v>
      </c>
      <c r="C1585" s="2">
        <v>0.08</v>
      </c>
      <c r="D1585" s="2">
        <v>6.48</v>
      </c>
      <c r="E1585" s="2">
        <v>2820.0</v>
      </c>
      <c r="F1585" s="1" t="s">
        <v>1823</v>
      </c>
      <c r="G1585" s="1" t="s">
        <v>51</v>
      </c>
      <c r="H1585" s="1" t="s">
        <v>46</v>
      </c>
      <c r="I1585" s="1" t="s">
        <v>47</v>
      </c>
      <c r="J1585" s="1" t="s">
        <v>1227</v>
      </c>
      <c r="K1585" s="19" t="s">
        <v>68</v>
      </c>
      <c r="L1585" s="20" t="s">
        <v>61</v>
      </c>
      <c r="M1585" s="21">
        <f t="shared" si="1"/>
        <v>7</v>
      </c>
      <c r="N1585" s="2">
        <v>-82.64</v>
      </c>
      <c r="O1585" s="2">
        <v>18.0</v>
      </c>
      <c r="P1585" s="2">
        <v>113.68</v>
      </c>
      <c r="Q1585" s="2">
        <v>87899.0</v>
      </c>
      <c r="R1585" s="15" t="b">
        <f>ISNUMBER(MATCH(Q1585,'Returned order'!A:A,0))</f>
        <v>0</v>
      </c>
      <c r="S1585" s="22">
        <v>42134.0</v>
      </c>
      <c r="T1585" s="15"/>
      <c r="U1585" s="15"/>
      <c r="V1585" s="15"/>
    </row>
    <row r="1586">
      <c r="A1586" s="2">
        <v>24746.0</v>
      </c>
      <c r="B1586" s="1" t="s">
        <v>49</v>
      </c>
      <c r="C1586" s="2">
        <v>0.1</v>
      </c>
      <c r="D1586" s="2">
        <v>22.01</v>
      </c>
      <c r="E1586" s="2">
        <v>2820.0</v>
      </c>
      <c r="F1586" s="1" t="s">
        <v>1823</v>
      </c>
      <c r="G1586" s="1" t="s">
        <v>51</v>
      </c>
      <c r="H1586" s="1" t="s">
        <v>23</v>
      </c>
      <c r="I1586" s="1" t="s">
        <v>29</v>
      </c>
      <c r="J1586" s="1" t="s">
        <v>1486</v>
      </c>
      <c r="K1586" s="19" t="s">
        <v>68</v>
      </c>
      <c r="L1586" s="20" t="s">
        <v>35</v>
      </c>
      <c r="M1586" s="21">
        <f t="shared" si="1"/>
        <v>3</v>
      </c>
      <c r="N1586" s="2">
        <v>31.59</v>
      </c>
      <c r="O1586" s="2">
        <v>14.0</v>
      </c>
      <c r="P1586" s="2">
        <v>281.75</v>
      </c>
      <c r="Q1586" s="2">
        <v>87900.0</v>
      </c>
      <c r="R1586" s="15" t="b">
        <f>ISNUMBER(MATCH(Q1586,'Returned order'!A:A,0))</f>
        <v>0</v>
      </c>
      <c r="S1586" s="22">
        <v>42018.0</v>
      </c>
      <c r="T1586" s="15"/>
      <c r="U1586" s="15"/>
      <c r="V1586" s="15"/>
    </row>
    <row r="1587">
      <c r="A1587" s="2">
        <v>23803.0</v>
      </c>
      <c r="B1587" s="1" t="s">
        <v>170</v>
      </c>
      <c r="C1587" s="2">
        <v>0.02</v>
      </c>
      <c r="D1587" s="2">
        <v>21.98</v>
      </c>
      <c r="E1587" s="2">
        <v>2823.0</v>
      </c>
      <c r="F1587" s="1" t="s">
        <v>1824</v>
      </c>
      <c r="G1587" s="1" t="s">
        <v>32</v>
      </c>
      <c r="H1587" s="1" t="s">
        <v>23</v>
      </c>
      <c r="I1587" s="1" t="s">
        <v>29</v>
      </c>
      <c r="J1587" s="1" t="s">
        <v>1825</v>
      </c>
      <c r="K1587" s="19" t="s">
        <v>34</v>
      </c>
      <c r="L1587" s="20" t="s">
        <v>70</v>
      </c>
      <c r="M1587" s="21">
        <f t="shared" si="1"/>
        <v>4</v>
      </c>
      <c r="N1587" s="2">
        <v>165.6345</v>
      </c>
      <c r="O1587" s="2">
        <v>11.0</v>
      </c>
      <c r="P1587" s="2">
        <v>240.05</v>
      </c>
      <c r="Q1587" s="2">
        <v>87240.0</v>
      </c>
      <c r="R1587" s="15" t="b">
        <f>ISNUMBER(MATCH(Q1587,'Returned order'!A:A,0))</f>
        <v>0</v>
      </c>
      <c r="S1587" s="22">
        <v>42124.0</v>
      </c>
      <c r="T1587" s="15"/>
      <c r="U1587" s="15"/>
      <c r="V1587" s="15"/>
    </row>
    <row r="1588">
      <c r="A1588" s="2">
        <v>22660.0</v>
      </c>
      <c r="B1588" s="1" t="s">
        <v>170</v>
      </c>
      <c r="C1588" s="2">
        <v>0.02</v>
      </c>
      <c r="D1588" s="2">
        <v>27.48</v>
      </c>
      <c r="E1588" s="2">
        <v>2825.0</v>
      </c>
      <c r="F1588" s="1" t="s">
        <v>1826</v>
      </c>
      <c r="G1588" s="1" t="s">
        <v>22</v>
      </c>
      <c r="H1588" s="1" t="s">
        <v>46</v>
      </c>
      <c r="I1588" s="1" t="s">
        <v>47</v>
      </c>
      <c r="J1588" s="1" t="s">
        <v>111</v>
      </c>
      <c r="K1588" s="19" t="s">
        <v>34</v>
      </c>
      <c r="L1588" s="20" t="s">
        <v>35</v>
      </c>
      <c r="M1588" s="21">
        <f t="shared" si="1"/>
        <v>3</v>
      </c>
      <c r="N1588" s="2">
        <v>19.308</v>
      </c>
      <c r="O1588" s="2">
        <v>3.0</v>
      </c>
      <c r="P1588" s="2">
        <v>87.21</v>
      </c>
      <c r="Q1588" s="2">
        <v>89497.0</v>
      </c>
      <c r="R1588" s="15" t="b">
        <f>ISNUMBER(MATCH(Q1588,'Returned order'!A:A,0))</f>
        <v>0</v>
      </c>
      <c r="S1588" s="22">
        <v>42144.0</v>
      </c>
      <c r="T1588" s="15"/>
      <c r="U1588" s="15"/>
      <c r="V1588" s="15"/>
    </row>
    <row r="1589">
      <c r="A1589" s="2">
        <v>22661.0</v>
      </c>
      <c r="B1589" s="1" t="s">
        <v>170</v>
      </c>
      <c r="C1589" s="2">
        <v>0.08</v>
      </c>
      <c r="D1589" s="2">
        <v>10.06</v>
      </c>
      <c r="E1589" s="2">
        <v>2825.0</v>
      </c>
      <c r="F1589" s="1" t="s">
        <v>1826</v>
      </c>
      <c r="G1589" s="1" t="s">
        <v>22</v>
      </c>
      <c r="H1589" s="1" t="s">
        <v>23</v>
      </c>
      <c r="I1589" s="1" t="s">
        <v>93</v>
      </c>
      <c r="J1589" s="1" t="s">
        <v>310</v>
      </c>
      <c r="K1589" s="19" t="s">
        <v>34</v>
      </c>
      <c r="L1589" s="20" t="s">
        <v>35</v>
      </c>
      <c r="M1589" s="21">
        <f t="shared" si="1"/>
        <v>3</v>
      </c>
      <c r="N1589" s="2">
        <v>0.33</v>
      </c>
      <c r="O1589" s="2">
        <v>4.0</v>
      </c>
      <c r="P1589" s="2">
        <v>40.15</v>
      </c>
      <c r="Q1589" s="2">
        <v>89497.0</v>
      </c>
      <c r="R1589" s="15" t="b">
        <f>ISNUMBER(MATCH(Q1589,'Returned order'!A:A,0))</f>
        <v>0</v>
      </c>
      <c r="S1589" s="22">
        <v>42144.0</v>
      </c>
      <c r="T1589" s="15"/>
      <c r="U1589" s="15"/>
      <c r="V1589" s="15"/>
    </row>
    <row r="1590">
      <c r="A1590" s="2">
        <v>24607.0</v>
      </c>
      <c r="B1590" s="1" t="s">
        <v>28</v>
      </c>
      <c r="C1590" s="2">
        <v>0.05</v>
      </c>
      <c r="D1590" s="2">
        <v>11.29</v>
      </c>
      <c r="E1590" s="2">
        <v>2828.0</v>
      </c>
      <c r="F1590" s="1" t="s">
        <v>1827</v>
      </c>
      <c r="G1590" s="1" t="s">
        <v>32</v>
      </c>
      <c r="H1590" s="1" t="s">
        <v>23</v>
      </c>
      <c r="I1590" s="1" t="s">
        <v>120</v>
      </c>
      <c r="J1590" s="1" t="s">
        <v>1095</v>
      </c>
      <c r="K1590" s="19" t="s">
        <v>34</v>
      </c>
      <c r="L1590" s="20" t="s">
        <v>70</v>
      </c>
      <c r="M1590" s="21">
        <f t="shared" si="1"/>
        <v>4</v>
      </c>
      <c r="N1590" s="2">
        <v>-35.26</v>
      </c>
      <c r="O1590" s="2">
        <v>8.0</v>
      </c>
      <c r="P1590" s="2">
        <v>90.46</v>
      </c>
      <c r="Q1590" s="2">
        <v>87720.0</v>
      </c>
      <c r="R1590" s="15" t="b">
        <f>ISNUMBER(MATCH(Q1590,'Returned order'!A:A,0))</f>
        <v>0</v>
      </c>
      <c r="S1590" s="22">
        <v>42054.0</v>
      </c>
      <c r="T1590" s="15"/>
      <c r="U1590" s="15"/>
      <c r="V1590" s="15"/>
    </row>
    <row r="1591">
      <c r="A1591" s="2">
        <v>23431.0</v>
      </c>
      <c r="B1591" s="1" t="s">
        <v>63</v>
      </c>
      <c r="C1591" s="2">
        <v>0.07</v>
      </c>
      <c r="D1591" s="2">
        <v>39.48</v>
      </c>
      <c r="E1591" s="2">
        <v>2828.0</v>
      </c>
      <c r="F1591" s="1" t="s">
        <v>1827</v>
      </c>
      <c r="G1591" s="1" t="s">
        <v>32</v>
      </c>
      <c r="H1591" s="1" t="s">
        <v>46</v>
      </c>
      <c r="I1591" s="1" t="s">
        <v>47</v>
      </c>
      <c r="J1591" s="1" t="s">
        <v>588</v>
      </c>
      <c r="K1591" s="19" t="s">
        <v>34</v>
      </c>
      <c r="L1591" s="20" t="s">
        <v>27</v>
      </c>
      <c r="M1591" s="21">
        <f t="shared" si="1"/>
        <v>1</v>
      </c>
      <c r="N1591" s="2">
        <v>322.2507</v>
      </c>
      <c r="O1591" s="2">
        <v>12.0</v>
      </c>
      <c r="P1591" s="2">
        <v>467.03</v>
      </c>
      <c r="Q1591" s="2">
        <v>87721.0</v>
      </c>
      <c r="R1591" s="15" t="b">
        <f>ISNUMBER(MATCH(Q1591,'Returned order'!A:A,0))</f>
        <v>0</v>
      </c>
      <c r="S1591" s="22">
        <v>42156.0</v>
      </c>
      <c r="T1591" s="15"/>
      <c r="U1591" s="15"/>
      <c r="V1591" s="15"/>
    </row>
    <row r="1592">
      <c r="A1592" s="2">
        <v>20594.0</v>
      </c>
      <c r="B1592" s="1" t="s">
        <v>49</v>
      </c>
      <c r="C1592" s="2">
        <v>0.03</v>
      </c>
      <c r="D1592" s="2">
        <v>140.98</v>
      </c>
      <c r="E1592" s="2">
        <v>2833.0</v>
      </c>
      <c r="F1592" s="1" t="s">
        <v>1828</v>
      </c>
      <c r="G1592" s="1" t="s">
        <v>66</v>
      </c>
      <c r="H1592" s="1" t="s">
        <v>37</v>
      </c>
      <c r="I1592" s="1" t="s">
        <v>55</v>
      </c>
      <c r="J1592" s="1" t="s">
        <v>1020</v>
      </c>
      <c r="K1592" s="19" t="s">
        <v>68</v>
      </c>
      <c r="L1592" s="20" t="s">
        <v>35</v>
      </c>
      <c r="M1592" s="21">
        <f t="shared" si="1"/>
        <v>3</v>
      </c>
      <c r="N1592" s="2">
        <v>-221.5</v>
      </c>
      <c r="O1592" s="2">
        <v>4.0</v>
      </c>
      <c r="P1592" s="2">
        <v>608.81</v>
      </c>
      <c r="Q1592" s="2">
        <v>91030.0</v>
      </c>
      <c r="R1592" s="15" t="b">
        <f>ISNUMBER(MATCH(Q1592,'Returned order'!A:A,0))</f>
        <v>0</v>
      </c>
      <c r="S1592" s="22">
        <v>42088.0</v>
      </c>
      <c r="T1592" s="15"/>
      <c r="U1592" s="15"/>
      <c r="V1592" s="15"/>
    </row>
    <row r="1593">
      <c r="A1593" s="2">
        <v>20595.0</v>
      </c>
      <c r="B1593" s="1" t="s">
        <v>49</v>
      </c>
      <c r="C1593" s="2">
        <v>0.08</v>
      </c>
      <c r="D1593" s="2">
        <v>65.99</v>
      </c>
      <c r="E1593" s="2">
        <v>2833.0</v>
      </c>
      <c r="F1593" s="1" t="s">
        <v>1828</v>
      </c>
      <c r="G1593" s="1" t="s">
        <v>66</v>
      </c>
      <c r="H1593" s="1" t="s">
        <v>46</v>
      </c>
      <c r="I1593" s="1" t="s">
        <v>85</v>
      </c>
      <c r="J1593" s="1" t="s">
        <v>527</v>
      </c>
      <c r="K1593" s="19" t="s">
        <v>68</v>
      </c>
      <c r="L1593" s="20" t="s">
        <v>35</v>
      </c>
      <c r="M1593" s="21">
        <f t="shared" si="1"/>
        <v>3</v>
      </c>
      <c r="N1593" s="2">
        <v>206.352</v>
      </c>
      <c r="O1593" s="2">
        <v>15.0</v>
      </c>
      <c r="P1593" s="2">
        <v>808.61</v>
      </c>
      <c r="Q1593" s="2">
        <v>91030.0</v>
      </c>
      <c r="R1593" s="15" t="b">
        <f>ISNUMBER(MATCH(Q1593,'Returned order'!A:A,0))</f>
        <v>0</v>
      </c>
      <c r="S1593" s="22">
        <v>42088.0</v>
      </c>
      <c r="T1593" s="15"/>
      <c r="U1593" s="15"/>
      <c r="V1593" s="15"/>
    </row>
    <row r="1594">
      <c r="A1594" s="2">
        <v>19191.0</v>
      </c>
      <c r="B1594" s="1" t="s">
        <v>28</v>
      </c>
      <c r="C1594" s="2">
        <v>0.07</v>
      </c>
      <c r="D1594" s="2">
        <v>51.98</v>
      </c>
      <c r="E1594" s="2">
        <v>2837.0</v>
      </c>
      <c r="F1594" s="1" t="s">
        <v>1829</v>
      </c>
      <c r="G1594" s="1" t="s">
        <v>51</v>
      </c>
      <c r="H1594" s="1" t="s">
        <v>46</v>
      </c>
      <c r="I1594" s="1" t="s">
        <v>103</v>
      </c>
      <c r="J1594" s="1" t="s">
        <v>884</v>
      </c>
      <c r="K1594" s="19" t="s">
        <v>68</v>
      </c>
      <c r="L1594" s="20" t="s">
        <v>61</v>
      </c>
      <c r="M1594" s="21">
        <f t="shared" si="1"/>
        <v>7</v>
      </c>
      <c r="N1594" s="2">
        <v>439.7853</v>
      </c>
      <c r="O1594" s="2">
        <v>13.0</v>
      </c>
      <c r="P1594" s="2">
        <v>637.37</v>
      </c>
      <c r="Q1594" s="2">
        <v>89801.0</v>
      </c>
      <c r="R1594" s="15" t="b">
        <f>ISNUMBER(MATCH(Q1594,'Returned order'!A:A,0))</f>
        <v>0</v>
      </c>
      <c r="S1594" s="22">
        <v>42071.0</v>
      </c>
      <c r="T1594" s="15"/>
      <c r="U1594" s="15"/>
      <c r="V1594" s="15"/>
    </row>
    <row r="1595">
      <c r="A1595" s="2">
        <v>19192.0</v>
      </c>
      <c r="B1595" s="1" t="s">
        <v>28</v>
      </c>
      <c r="C1595" s="2">
        <v>0.1</v>
      </c>
      <c r="D1595" s="2">
        <v>80.97</v>
      </c>
      <c r="E1595" s="2">
        <v>2837.0</v>
      </c>
      <c r="F1595" s="1" t="s">
        <v>1829</v>
      </c>
      <c r="G1595" s="1" t="s">
        <v>51</v>
      </c>
      <c r="H1595" s="1" t="s">
        <v>46</v>
      </c>
      <c r="I1595" s="1" t="s">
        <v>103</v>
      </c>
      <c r="J1595" s="1" t="s">
        <v>1474</v>
      </c>
      <c r="K1595" s="19" t="s">
        <v>68</v>
      </c>
      <c r="L1595" s="20" t="s">
        <v>61</v>
      </c>
      <c r="M1595" s="21">
        <f t="shared" si="1"/>
        <v>7</v>
      </c>
      <c r="N1595" s="2">
        <v>-149.4573</v>
      </c>
      <c r="O1595" s="2">
        <v>3.0</v>
      </c>
      <c r="P1595" s="2">
        <v>232.16</v>
      </c>
      <c r="Q1595" s="2">
        <v>89801.0</v>
      </c>
      <c r="R1595" s="15" t="b">
        <f>ISNUMBER(MATCH(Q1595,'Returned order'!A:A,0))</f>
        <v>0</v>
      </c>
      <c r="S1595" s="22">
        <v>42071.0</v>
      </c>
      <c r="T1595" s="15"/>
      <c r="U1595" s="15"/>
      <c r="V1595" s="15"/>
    </row>
    <row r="1596">
      <c r="A1596" s="2">
        <v>18416.0</v>
      </c>
      <c r="B1596" s="1" t="s">
        <v>28</v>
      </c>
      <c r="C1596" s="2">
        <v>0.0</v>
      </c>
      <c r="D1596" s="2">
        <v>21.98</v>
      </c>
      <c r="E1596" s="2">
        <v>2840.0</v>
      </c>
      <c r="F1596" s="1" t="s">
        <v>1830</v>
      </c>
      <c r="G1596" s="1" t="s">
        <v>32</v>
      </c>
      <c r="H1596" s="1" t="s">
        <v>23</v>
      </c>
      <c r="I1596" s="1" t="s">
        <v>29</v>
      </c>
      <c r="J1596" s="1" t="s">
        <v>1825</v>
      </c>
      <c r="K1596" s="19" t="s">
        <v>229</v>
      </c>
      <c r="L1596" s="20" t="s">
        <v>70</v>
      </c>
      <c r="M1596" s="21">
        <f t="shared" si="1"/>
        <v>4</v>
      </c>
      <c r="N1596" s="2">
        <v>21.096</v>
      </c>
      <c r="O1596" s="2">
        <v>16.0</v>
      </c>
      <c r="P1596" s="2">
        <v>360.03</v>
      </c>
      <c r="Q1596" s="2">
        <v>87884.0</v>
      </c>
      <c r="R1596" s="15" t="b">
        <f>ISNUMBER(MATCH(Q1596,'Returned order'!A:A,0))</f>
        <v>0</v>
      </c>
      <c r="S1596" s="22">
        <v>42082.0</v>
      </c>
      <c r="T1596" s="15"/>
      <c r="U1596" s="15"/>
      <c r="V1596" s="15"/>
    </row>
    <row r="1597">
      <c r="A1597" s="2">
        <v>18419.0</v>
      </c>
      <c r="B1597" s="1" t="s">
        <v>63</v>
      </c>
      <c r="C1597" s="2">
        <v>0.05</v>
      </c>
      <c r="D1597" s="2">
        <v>15.68</v>
      </c>
      <c r="E1597" s="2">
        <v>2840.0</v>
      </c>
      <c r="F1597" s="1" t="s">
        <v>1830</v>
      </c>
      <c r="G1597" s="1" t="s">
        <v>32</v>
      </c>
      <c r="H1597" s="1" t="s">
        <v>37</v>
      </c>
      <c r="I1597" s="1" t="s">
        <v>42</v>
      </c>
      <c r="J1597" s="1" t="s">
        <v>1694</v>
      </c>
      <c r="K1597" s="19" t="s">
        <v>229</v>
      </c>
      <c r="L1597" s="20" t="s">
        <v>70</v>
      </c>
      <c r="M1597" s="21">
        <f t="shared" si="1"/>
        <v>4</v>
      </c>
      <c r="N1597" s="2">
        <v>1166.628</v>
      </c>
      <c r="O1597" s="2">
        <v>17.0</v>
      </c>
      <c r="P1597" s="2">
        <v>260.01</v>
      </c>
      <c r="Q1597" s="2">
        <v>87885.0</v>
      </c>
      <c r="R1597" s="15" t="b">
        <f>ISNUMBER(MATCH(Q1597,'Returned order'!A:A,0))</f>
        <v>0</v>
      </c>
      <c r="S1597" s="22">
        <v>42166.0</v>
      </c>
      <c r="T1597" s="15"/>
      <c r="U1597" s="15"/>
      <c r="V1597" s="15"/>
    </row>
    <row r="1598">
      <c r="A1598" s="2">
        <v>18420.0</v>
      </c>
      <c r="B1598" s="1" t="s">
        <v>63</v>
      </c>
      <c r="C1598" s="2">
        <v>0.0</v>
      </c>
      <c r="D1598" s="2">
        <v>14.98</v>
      </c>
      <c r="E1598" s="2">
        <v>2840.0</v>
      </c>
      <c r="F1598" s="1" t="s">
        <v>1830</v>
      </c>
      <c r="G1598" s="1" t="s">
        <v>32</v>
      </c>
      <c r="H1598" s="1" t="s">
        <v>37</v>
      </c>
      <c r="I1598" s="1" t="s">
        <v>42</v>
      </c>
      <c r="J1598" s="1" t="s">
        <v>1831</v>
      </c>
      <c r="K1598" s="19" t="s">
        <v>229</v>
      </c>
      <c r="L1598" s="20" t="s">
        <v>70</v>
      </c>
      <c r="M1598" s="21">
        <f t="shared" si="1"/>
        <v>4</v>
      </c>
      <c r="N1598" s="2">
        <v>-40.6042</v>
      </c>
      <c r="O1598" s="2">
        <v>18.0</v>
      </c>
      <c r="P1598" s="2">
        <v>273.79</v>
      </c>
      <c r="Q1598" s="2">
        <v>87885.0</v>
      </c>
      <c r="R1598" s="15" t="b">
        <f>ISNUMBER(MATCH(Q1598,'Returned order'!A:A,0))</f>
        <v>0</v>
      </c>
      <c r="S1598" s="22">
        <v>42166.0</v>
      </c>
      <c r="T1598" s="15"/>
      <c r="U1598" s="15"/>
      <c r="V1598" s="15"/>
    </row>
    <row r="1599">
      <c r="A1599" s="2">
        <v>18421.0</v>
      </c>
      <c r="B1599" s="1" t="s">
        <v>63</v>
      </c>
      <c r="C1599" s="2">
        <v>0.02</v>
      </c>
      <c r="D1599" s="2">
        <v>38.76</v>
      </c>
      <c r="E1599" s="2">
        <v>2840.0</v>
      </c>
      <c r="F1599" s="1" t="s">
        <v>1830</v>
      </c>
      <c r="G1599" s="1" t="s">
        <v>32</v>
      </c>
      <c r="H1599" s="1" t="s">
        <v>23</v>
      </c>
      <c r="I1599" s="1" t="s">
        <v>93</v>
      </c>
      <c r="J1599" s="1" t="s">
        <v>1832</v>
      </c>
      <c r="K1599" s="19" t="s">
        <v>229</v>
      </c>
      <c r="L1599" s="20" t="s">
        <v>70</v>
      </c>
      <c r="M1599" s="21">
        <f t="shared" si="1"/>
        <v>4</v>
      </c>
      <c r="N1599" s="2">
        <v>-294.084</v>
      </c>
      <c r="O1599" s="2">
        <v>1.0</v>
      </c>
      <c r="P1599" s="2">
        <v>44.62</v>
      </c>
      <c r="Q1599" s="2">
        <v>87885.0</v>
      </c>
      <c r="R1599" s="15" t="b">
        <f>ISNUMBER(MATCH(Q1599,'Returned order'!A:A,0))</f>
        <v>0</v>
      </c>
      <c r="S1599" s="22">
        <v>42166.0</v>
      </c>
      <c r="T1599" s="15"/>
      <c r="U1599" s="15"/>
      <c r="V1599" s="15"/>
    </row>
    <row r="1600">
      <c r="A1600" s="2">
        <v>21855.0</v>
      </c>
      <c r="B1600" s="1" t="s">
        <v>49</v>
      </c>
      <c r="C1600" s="2">
        <v>0.04</v>
      </c>
      <c r="D1600" s="2">
        <v>90.48</v>
      </c>
      <c r="E1600" s="2">
        <v>2847.0</v>
      </c>
      <c r="F1600" s="1" t="s">
        <v>1833</v>
      </c>
      <c r="G1600" s="1" t="s">
        <v>32</v>
      </c>
      <c r="H1600" s="1" t="s">
        <v>23</v>
      </c>
      <c r="I1600" s="1" t="s">
        <v>88</v>
      </c>
      <c r="J1600" s="1" t="s">
        <v>1344</v>
      </c>
      <c r="K1600" s="19" t="s">
        <v>229</v>
      </c>
      <c r="L1600" s="20" t="s">
        <v>70</v>
      </c>
      <c r="M1600" s="21">
        <f t="shared" si="1"/>
        <v>4</v>
      </c>
      <c r="N1600" s="2">
        <v>55.5552</v>
      </c>
      <c r="O1600" s="2">
        <v>3.0</v>
      </c>
      <c r="P1600" s="2">
        <v>268.64</v>
      </c>
      <c r="Q1600" s="2">
        <v>85928.0</v>
      </c>
      <c r="R1600" s="15" t="b">
        <f>ISNUMBER(MATCH(Q1600,'Returned order'!A:A,0))</f>
        <v>0</v>
      </c>
      <c r="S1600" s="22">
        <v>42103.0</v>
      </c>
      <c r="T1600" s="15"/>
      <c r="U1600" s="15"/>
      <c r="V1600" s="15"/>
    </row>
    <row r="1601">
      <c r="A1601" s="2">
        <v>21856.0</v>
      </c>
      <c r="B1601" s="1" t="s">
        <v>49</v>
      </c>
      <c r="C1601" s="2">
        <v>0.02</v>
      </c>
      <c r="D1601" s="2">
        <v>9.77</v>
      </c>
      <c r="E1601" s="2">
        <v>2847.0</v>
      </c>
      <c r="F1601" s="1" t="s">
        <v>1833</v>
      </c>
      <c r="G1601" s="1" t="s">
        <v>32</v>
      </c>
      <c r="H1601" s="1" t="s">
        <v>37</v>
      </c>
      <c r="I1601" s="1" t="s">
        <v>42</v>
      </c>
      <c r="J1601" s="1" t="s">
        <v>158</v>
      </c>
      <c r="K1601" s="19" t="s">
        <v>229</v>
      </c>
      <c r="L1601" s="20" t="s">
        <v>70</v>
      </c>
      <c r="M1601" s="21">
        <f t="shared" si="1"/>
        <v>4</v>
      </c>
      <c r="N1601" s="2">
        <v>-535.332</v>
      </c>
      <c r="O1601" s="2">
        <v>9.0</v>
      </c>
      <c r="P1601" s="2">
        <v>87.68</v>
      </c>
      <c r="Q1601" s="2">
        <v>85928.0</v>
      </c>
      <c r="R1601" s="15" t="b">
        <f>ISNUMBER(MATCH(Q1601,'Returned order'!A:A,0))</f>
        <v>0</v>
      </c>
      <c r="S1601" s="22">
        <v>42103.0</v>
      </c>
      <c r="T1601" s="15"/>
      <c r="U1601" s="15"/>
      <c r="V1601" s="15"/>
    </row>
    <row r="1602">
      <c r="A1602" s="2">
        <v>21857.0</v>
      </c>
      <c r="B1602" s="1" t="s">
        <v>49</v>
      </c>
      <c r="C1602" s="2">
        <v>0.09</v>
      </c>
      <c r="D1602" s="2">
        <v>34.99</v>
      </c>
      <c r="E1602" s="2">
        <v>2847.0</v>
      </c>
      <c r="F1602" s="1" t="s">
        <v>1833</v>
      </c>
      <c r="G1602" s="1" t="s">
        <v>32</v>
      </c>
      <c r="H1602" s="1" t="s">
        <v>23</v>
      </c>
      <c r="I1602" s="1" t="s">
        <v>29</v>
      </c>
      <c r="J1602" s="1" t="s">
        <v>157</v>
      </c>
      <c r="K1602" s="19" t="s">
        <v>229</v>
      </c>
      <c r="L1602" s="20" t="s">
        <v>70</v>
      </c>
      <c r="M1602" s="21">
        <f t="shared" si="1"/>
        <v>4</v>
      </c>
      <c r="N1602" s="2">
        <v>-208.7204</v>
      </c>
      <c r="O1602" s="2">
        <v>1.0</v>
      </c>
      <c r="P1602" s="2">
        <v>37.62</v>
      </c>
      <c r="Q1602" s="2">
        <v>85928.0</v>
      </c>
      <c r="R1602" s="15" t="b">
        <f>ISNUMBER(MATCH(Q1602,'Returned order'!A:A,0))</f>
        <v>0</v>
      </c>
      <c r="S1602" s="22">
        <v>42103.0</v>
      </c>
      <c r="T1602" s="15"/>
      <c r="U1602" s="15"/>
      <c r="V1602" s="15"/>
    </row>
    <row r="1603">
      <c r="A1603" s="2">
        <v>24455.0</v>
      </c>
      <c r="B1603" s="1" t="s">
        <v>63</v>
      </c>
      <c r="C1603" s="2">
        <v>0.0</v>
      </c>
      <c r="D1603" s="2">
        <v>49.99</v>
      </c>
      <c r="E1603" s="2">
        <v>2848.0</v>
      </c>
      <c r="F1603" s="1" t="s">
        <v>1834</v>
      </c>
      <c r="G1603" s="1" t="s">
        <v>32</v>
      </c>
      <c r="H1603" s="1" t="s">
        <v>46</v>
      </c>
      <c r="I1603" s="1" t="s">
        <v>47</v>
      </c>
      <c r="J1603" s="1" t="s">
        <v>307</v>
      </c>
      <c r="K1603" s="19" t="s">
        <v>229</v>
      </c>
      <c r="L1603" s="20" t="s">
        <v>53</v>
      </c>
      <c r="M1603" s="21">
        <f t="shared" si="1"/>
        <v>6</v>
      </c>
      <c r="N1603" s="2">
        <v>38.886</v>
      </c>
      <c r="O1603" s="2">
        <v>16.0</v>
      </c>
      <c r="P1603" s="2">
        <v>832.97</v>
      </c>
      <c r="Q1603" s="2">
        <v>85929.0</v>
      </c>
      <c r="R1603" s="15" t="b">
        <f>ISNUMBER(MATCH(Q1603,'Returned order'!A:A,0))</f>
        <v>0</v>
      </c>
      <c r="S1603" s="22">
        <v>42161.0</v>
      </c>
      <c r="T1603" s="15"/>
      <c r="U1603" s="15"/>
      <c r="V1603" s="15"/>
    </row>
    <row r="1604">
      <c r="A1604" s="2">
        <v>23622.0</v>
      </c>
      <c r="B1604" s="1" t="s">
        <v>170</v>
      </c>
      <c r="C1604" s="2">
        <v>0.05</v>
      </c>
      <c r="D1604" s="2">
        <v>115.99</v>
      </c>
      <c r="E1604" s="2">
        <v>2851.0</v>
      </c>
      <c r="F1604" s="1" t="s">
        <v>1835</v>
      </c>
      <c r="G1604" s="1" t="s">
        <v>22</v>
      </c>
      <c r="H1604" s="1" t="s">
        <v>46</v>
      </c>
      <c r="I1604" s="1" t="s">
        <v>85</v>
      </c>
      <c r="J1604" s="1">
        <v>5185.0</v>
      </c>
      <c r="K1604" s="19" t="s">
        <v>68</v>
      </c>
      <c r="L1604" s="20" t="s">
        <v>70</v>
      </c>
      <c r="M1604" s="21">
        <f t="shared" si="1"/>
        <v>4</v>
      </c>
      <c r="N1604" s="2">
        <v>719.3526</v>
      </c>
      <c r="O1604" s="2">
        <v>11.0</v>
      </c>
      <c r="P1604" s="2">
        <v>1042.54</v>
      </c>
      <c r="Q1604" s="2">
        <v>86454.0</v>
      </c>
      <c r="R1604" s="15" t="b">
        <f>ISNUMBER(MATCH(Q1604,'Returned order'!A:A,0))</f>
        <v>0</v>
      </c>
      <c r="S1604" s="22">
        <v>42103.0</v>
      </c>
      <c r="T1604" s="15"/>
      <c r="U1604" s="15"/>
      <c r="V1604" s="15"/>
    </row>
    <row r="1605">
      <c r="A1605" s="2">
        <v>23042.0</v>
      </c>
      <c r="B1605" s="1" t="s">
        <v>63</v>
      </c>
      <c r="C1605" s="2">
        <v>0.08</v>
      </c>
      <c r="D1605" s="2">
        <v>7.84</v>
      </c>
      <c r="E1605" s="2">
        <v>2855.0</v>
      </c>
      <c r="F1605" s="1" t="s">
        <v>1836</v>
      </c>
      <c r="G1605" s="1" t="s">
        <v>32</v>
      </c>
      <c r="H1605" s="1" t="s">
        <v>23</v>
      </c>
      <c r="I1605" s="1" t="s">
        <v>24</v>
      </c>
      <c r="J1605" s="1" t="s">
        <v>1623</v>
      </c>
      <c r="K1605" s="19" t="s">
        <v>34</v>
      </c>
      <c r="L1605" s="20" t="s">
        <v>35</v>
      </c>
      <c r="M1605" s="21">
        <f t="shared" si="1"/>
        <v>3</v>
      </c>
      <c r="N1605" s="2">
        <v>-12.87678</v>
      </c>
      <c r="O1605" s="2">
        <v>10.0</v>
      </c>
      <c r="P1605" s="2">
        <v>76.16</v>
      </c>
      <c r="Q1605" s="2">
        <v>87316.0</v>
      </c>
      <c r="R1605" s="15" t="b">
        <f>ISNUMBER(MATCH(Q1605,'Returned order'!A:A,0))</f>
        <v>0</v>
      </c>
      <c r="S1605" s="22">
        <v>42025.0</v>
      </c>
      <c r="T1605" s="15"/>
      <c r="U1605" s="15"/>
      <c r="V1605" s="15"/>
    </row>
    <row r="1606">
      <c r="A1606" s="2">
        <v>23043.0</v>
      </c>
      <c r="B1606" s="1" t="s">
        <v>63</v>
      </c>
      <c r="C1606" s="2">
        <v>0.03</v>
      </c>
      <c r="D1606" s="2">
        <v>105.34</v>
      </c>
      <c r="E1606" s="2">
        <v>2855.0</v>
      </c>
      <c r="F1606" s="1" t="s">
        <v>1836</v>
      </c>
      <c r="G1606" s="1" t="s">
        <v>32</v>
      </c>
      <c r="H1606" s="1" t="s">
        <v>37</v>
      </c>
      <c r="I1606" s="1" t="s">
        <v>42</v>
      </c>
      <c r="J1606" s="1" t="s">
        <v>1837</v>
      </c>
      <c r="K1606" s="19" t="s">
        <v>34</v>
      </c>
      <c r="L1606" s="20" t="s">
        <v>35</v>
      </c>
      <c r="M1606" s="21">
        <f t="shared" si="1"/>
        <v>3</v>
      </c>
      <c r="N1606" s="2">
        <v>618.1308</v>
      </c>
      <c r="O1606" s="2">
        <v>10.0</v>
      </c>
      <c r="P1606" s="2">
        <v>1038.14</v>
      </c>
      <c r="Q1606" s="2">
        <v>87316.0</v>
      </c>
      <c r="R1606" s="15" t="b">
        <f>ISNUMBER(MATCH(Q1606,'Returned order'!A:A,0))</f>
        <v>0</v>
      </c>
      <c r="S1606" s="22">
        <v>42025.0</v>
      </c>
      <c r="T1606" s="15"/>
      <c r="U1606" s="15"/>
      <c r="V1606" s="15"/>
    </row>
    <row r="1607">
      <c r="A1607" s="2">
        <v>23213.0</v>
      </c>
      <c r="B1607" s="1" t="s">
        <v>170</v>
      </c>
      <c r="C1607" s="2">
        <v>0.09</v>
      </c>
      <c r="D1607" s="2">
        <v>6783.02</v>
      </c>
      <c r="E1607" s="2">
        <v>2855.0</v>
      </c>
      <c r="F1607" s="1" t="s">
        <v>1836</v>
      </c>
      <c r="G1607" s="1" t="s">
        <v>22</v>
      </c>
      <c r="H1607" s="1" t="s">
        <v>46</v>
      </c>
      <c r="I1607" s="1" t="s">
        <v>103</v>
      </c>
      <c r="J1607" s="1" t="s">
        <v>973</v>
      </c>
      <c r="K1607" s="19" t="s">
        <v>34</v>
      </c>
      <c r="L1607" s="20" t="s">
        <v>57</v>
      </c>
      <c r="M1607" s="21">
        <f t="shared" si="1"/>
        <v>2</v>
      </c>
      <c r="N1607" s="2">
        <v>-14140.7016</v>
      </c>
      <c r="O1607" s="2">
        <v>1.0</v>
      </c>
      <c r="P1607" s="2">
        <v>6296.0</v>
      </c>
      <c r="Q1607" s="2">
        <v>87317.0</v>
      </c>
      <c r="R1607" s="15" t="b">
        <f>ISNUMBER(MATCH(Q1607,'Returned order'!A:A,0))</f>
        <v>0</v>
      </c>
      <c r="S1607" s="22">
        <v>42073.0</v>
      </c>
      <c r="T1607" s="15"/>
      <c r="U1607" s="15"/>
      <c r="V1607" s="15"/>
    </row>
    <row r="1608">
      <c r="A1608" s="2">
        <v>18516.0</v>
      </c>
      <c r="B1608" s="1" t="s">
        <v>63</v>
      </c>
      <c r="C1608" s="2">
        <v>0.06</v>
      </c>
      <c r="D1608" s="2">
        <v>2.94</v>
      </c>
      <c r="E1608" s="2">
        <v>2858.0</v>
      </c>
      <c r="F1608" s="1" t="s">
        <v>1838</v>
      </c>
      <c r="G1608" s="1" t="s">
        <v>32</v>
      </c>
      <c r="H1608" s="1" t="s">
        <v>23</v>
      </c>
      <c r="I1608" s="1" t="s">
        <v>29</v>
      </c>
      <c r="J1608" s="1" t="s">
        <v>515</v>
      </c>
      <c r="K1608" s="19" t="s">
        <v>229</v>
      </c>
      <c r="L1608" s="20" t="s">
        <v>61</v>
      </c>
      <c r="M1608" s="21">
        <f t="shared" si="1"/>
        <v>7</v>
      </c>
      <c r="N1608" s="2">
        <v>-8.876</v>
      </c>
      <c r="O1608" s="2">
        <v>3.0</v>
      </c>
      <c r="P1608" s="2">
        <v>8.79</v>
      </c>
      <c r="Q1608" s="2">
        <v>88279.0</v>
      </c>
      <c r="R1608" s="15" t="b">
        <f>ISNUMBER(MATCH(Q1608,'Returned order'!A:A,0))</f>
        <v>0</v>
      </c>
      <c r="S1608" s="22">
        <v>42141.0</v>
      </c>
      <c r="T1608" s="15"/>
      <c r="U1608" s="15"/>
      <c r="V1608" s="15"/>
    </row>
    <row r="1609">
      <c r="A1609" s="2">
        <v>18506.0</v>
      </c>
      <c r="B1609" s="1" t="s">
        <v>170</v>
      </c>
      <c r="C1609" s="2">
        <v>0.04</v>
      </c>
      <c r="D1609" s="2">
        <v>67.28</v>
      </c>
      <c r="E1609" s="2">
        <v>2858.0</v>
      </c>
      <c r="F1609" s="1" t="s">
        <v>1838</v>
      </c>
      <c r="G1609" s="1" t="s">
        <v>32</v>
      </c>
      <c r="H1609" s="1" t="s">
        <v>23</v>
      </c>
      <c r="I1609" s="1" t="s">
        <v>24</v>
      </c>
      <c r="J1609" s="1" t="s">
        <v>568</v>
      </c>
      <c r="K1609" s="19" t="s">
        <v>229</v>
      </c>
      <c r="L1609" s="20" t="s">
        <v>53</v>
      </c>
      <c r="M1609" s="21">
        <f t="shared" si="1"/>
        <v>6</v>
      </c>
      <c r="N1609" s="2">
        <v>14.754</v>
      </c>
      <c r="O1609" s="2">
        <v>30.0</v>
      </c>
      <c r="P1609" s="2">
        <v>2051.68</v>
      </c>
      <c r="Q1609" s="2">
        <v>88282.0</v>
      </c>
      <c r="R1609" s="15" t="b">
        <f>ISNUMBER(MATCH(Q1609,'Returned order'!A:A,0))</f>
        <v>0</v>
      </c>
      <c r="S1609" s="22">
        <v>42147.0</v>
      </c>
      <c r="T1609" s="15"/>
      <c r="U1609" s="15"/>
      <c r="V1609" s="15"/>
    </row>
    <row r="1610">
      <c r="A1610" s="2">
        <v>18507.0</v>
      </c>
      <c r="B1610" s="1" t="s">
        <v>170</v>
      </c>
      <c r="C1610" s="2">
        <v>0.1</v>
      </c>
      <c r="D1610" s="2">
        <v>130.98</v>
      </c>
      <c r="E1610" s="2">
        <v>2858.0</v>
      </c>
      <c r="F1610" s="1" t="s">
        <v>1838</v>
      </c>
      <c r="G1610" s="1" t="s">
        <v>32</v>
      </c>
      <c r="H1610" s="1" t="s">
        <v>37</v>
      </c>
      <c r="I1610" s="1" t="s">
        <v>55</v>
      </c>
      <c r="J1610" s="1" t="s">
        <v>388</v>
      </c>
      <c r="K1610" s="19" t="s">
        <v>229</v>
      </c>
      <c r="L1610" s="20" t="s">
        <v>53</v>
      </c>
      <c r="M1610" s="21">
        <f t="shared" si="1"/>
        <v>6</v>
      </c>
      <c r="N1610" s="2">
        <v>669.612</v>
      </c>
      <c r="O1610" s="2">
        <v>42.0</v>
      </c>
      <c r="P1610" s="2">
        <v>5295.03</v>
      </c>
      <c r="Q1610" s="2">
        <v>88282.0</v>
      </c>
      <c r="R1610" s="15" t="b">
        <f>ISNUMBER(MATCH(Q1610,'Returned order'!A:A,0))</f>
        <v>0</v>
      </c>
      <c r="S1610" s="22">
        <v>42147.0</v>
      </c>
      <c r="T1610" s="15"/>
      <c r="U1610" s="15"/>
      <c r="V1610" s="15"/>
    </row>
    <row r="1611">
      <c r="A1611" s="2">
        <v>18508.0</v>
      </c>
      <c r="B1611" s="1" t="s">
        <v>170</v>
      </c>
      <c r="C1611" s="2">
        <v>0.04</v>
      </c>
      <c r="D1611" s="2">
        <v>2.78</v>
      </c>
      <c r="E1611" s="2">
        <v>2858.0</v>
      </c>
      <c r="F1611" s="1" t="s">
        <v>1838</v>
      </c>
      <c r="G1611" s="1" t="s">
        <v>32</v>
      </c>
      <c r="H1611" s="1" t="s">
        <v>23</v>
      </c>
      <c r="I1611" s="1" t="s">
        <v>29</v>
      </c>
      <c r="J1611" s="1" t="s">
        <v>1582</v>
      </c>
      <c r="K1611" s="19" t="s">
        <v>229</v>
      </c>
      <c r="L1611" s="20" t="s">
        <v>53</v>
      </c>
      <c r="M1611" s="21">
        <f t="shared" si="1"/>
        <v>6</v>
      </c>
      <c r="N1611" s="2">
        <v>213.0</v>
      </c>
      <c r="O1611" s="2">
        <v>28.0</v>
      </c>
      <c r="P1611" s="2">
        <v>80.27</v>
      </c>
      <c r="Q1611" s="2">
        <v>88282.0</v>
      </c>
      <c r="R1611" s="15" t="b">
        <f>ISNUMBER(MATCH(Q1611,'Returned order'!A:A,0))</f>
        <v>0</v>
      </c>
      <c r="S1611" s="22">
        <v>42147.0</v>
      </c>
      <c r="T1611" s="15"/>
      <c r="U1611" s="15"/>
      <c r="V1611" s="15"/>
    </row>
    <row r="1612">
      <c r="A1612" s="2">
        <v>20270.0</v>
      </c>
      <c r="B1612" s="1" t="s">
        <v>49</v>
      </c>
      <c r="C1612" s="2">
        <v>0.03</v>
      </c>
      <c r="D1612" s="2">
        <v>142.86</v>
      </c>
      <c r="E1612" s="2">
        <v>2859.0</v>
      </c>
      <c r="F1612" s="1" t="s">
        <v>1839</v>
      </c>
      <c r="G1612" s="1" t="s">
        <v>32</v>
      </c>
      <c r="H1612" s="1" t="s">
        <v>23</v>
      </c>
      <c r="I1612" s="1" t="s">
        <v>120</v>
      </c>
      <c r="J1612" s="1" t="s">
        <v>1235</v>
      </c>
      <c r="K1612" s="19" t="s">
        <v>229</v>
      </c>
      <c r="L1612" s="20" t="s">
        <v>35</v>
      </c>
      <c r="M1612" s="21">
        <f t="shared" si="1"/>
        <v>3</v>
      </c>
      <c r="N1612" s="2">
        <v>-8.3881</v>
      </c>
      <c r="O1612" s="2">
        <v>23.0</v>
      </c>
      <c r="P1612" s="2">
        <v>3292.02</v>
      </c>
      <c r="Q1612" s="2">
        <v>88281.0</v>
      </c>
      <c r="R1612" s="15" t="b">
        <f>ISNUMBER(MATCH(Q1612,'Returned order'!A:A,0))</f>
        <v>0</v>
      </c>
      <c r="S1612" s="22">
        <v>42095.0</v>
      </c>
      <c r="T1612" s="15"/>
      <c r="U1612" s="15"/>
      <c r="V1612" s="15"/>
    </row>
    <row r="1613">
      <c r="A1613" s="2">
        <v>23238.0</v>
      </c>
      <c r="B1613" s="1" t="s">
        <v>63</v>
      </c>
      <c r="C1613" s="2">
        <v>0.05</v>
      </c>
      <c r="D1613" s="2">
        <v>20.99</v>
      </c>
      <c r="E1613" s="2">
        <v>2861.0</v>
      </c>
      <c r="F1613" s="1" t="s">
        <v>1840</v>
      </c>
      <c r="G1613" s="1" t="s">
        <v>32</v>
      </c>
      <c r="H1613" s="1" t="s">
        <v>46</v>
      </c>
      <c r="I1613" s="1" t="s">
        <v>85</v>
      </c>
      <c r="J1613" s="1" t="s">
        <v>440</v>
      </c>
      <c r="K1613" s="19" t="s">
        <v>68</v>
      </c>
      <c r="L1613" s="20" t="s">
        <v>53</v>
      </c>
      <c r="M1613" s="21">
        <f t="shared" si="1"/>
        <v>6</v>
      </c>
      <c r="N1613" s="2">
        <v>4.90176</v>
      </c>
      <c r="O1613" s="2">
        <v>11.0</v>
      </c>
      <c r="P1613" s="2">
        <v>199.43</v>
      </c>
      <c r="Q1613" s="2">
        <v>88280.0</v>
      </c>
      <c r="R1613" s="15" t="b">
        <f>ISNUMBER(MATCH(Q1613,'Returned order'!A:A,0))</f>
        <v>0</v>
      </c>
      <c r="S1613" s="22">
        <v>42063.0</v>
      </c>
      <c r="T1613" s="15"/>
      <c r="U1613" s="15"/>
      <c r="V1613" s="15"/>
    </row>
    <row r="1614">
      <c r="A1614" s="2">
        <v>25932.0</v>
      </c>
      <c r="B1614" s="1" t="s">
        <v>28</v>
      </c>
      <c r="C1614" s="2">
        <v>0.0</v>
      </c>
      <c r="D1614" s="2">
        <v>12.22</v>
      </c>
      <c r="E1614" s="2">
        <v>2862.0</v>
      </c>
      <c r="F1614" s="1" t="s">
        <v>1841</v>
      </c>
      <c r="G1614" s="1" t="s">
        <v>32</v>
      </c>
      <c r="H1614" s="1" t="s">
        <v>37</v>
      </c>
      <c r="I1614" s="1" t="s">
        <v>42</v>
      </c>
      <c r="J1614" s="1" t="s">
        <v>1707</v>
      </c>
      <c r="K1614" s="19" t="s">
        <v>68</v>
      </c>
      <c r="L1614" s="20" t="s">
        <v>53</v>
      </c>
      <c r="M1614" s="21">
        <f t="shared" si="1"/>
        <v>6</v>
      </c>
      <c r="N1614" s="2">
        <v>76.3899</v>
      </c>
      <c r="O1614" s="2">
        <v>9.0</v>
      </c>
      <c r="P1614" s="2">
        <v>110.71</v>
      </c>
      <c r="Q1614" s="2">
        <v>88278.0</v>
      </c>
      <c r="R1614" s="15" t="b">
        <f>ISNUMBER(MATCH(Q1614,'Returned order'!A:A,0))</f>
        <v>0</v>
      </c>
      <c r="S1614" s="22">
        <v>42105.0</v>
      </c>
      <c r="T1614" s="15"/>
      <c r="U1614" s="15"/>
      <c r="V1614" s="15"/>
    </row>
    <row r="1615">
      <c r="A1615" s="2">
        <v>23136.0</v>
      </c>
      <c r="B1615" s="1" t="s">
        <v>58</v>
      </c>
      <c r="C1615" s="2">
        <v>0.01</v>
      </c>
      <c r="D1615" s="2">
        <v>13.79</v>
      </c>
      <c r="E1615" s="2">
        <v>2865.0</v>
      </c>
      <c r="F1615" s="1" t="s">
        <v>1842</v>
      </c>
      <c r="G1615" s="1" t="s">
        <v>32</v>
      </c>
      <c r="H1615" s="1" t="s">
        <v>37</v>
      </c>
      <c r="I1615" s="1" t="s">
        <v>42</v>
      </c>
      <c r="J1615" s="1" t="s">
        <v>587</v>
      </c>
      <c r="K1615" s="19" t="s">
        <v>68</v>
      </c>
      <c r="L1615" s="20" t="s">
        <v>27</v>
      </c>
      <c r="M1615" s="21">
        <f t="shared" si="1"/>
        <v>1</v>
      </c>
      <c r="N1615" s="2">
        <v>-36.77</v>
      </c>
      <c r="O1615" s="2">
        <v>4.0</v>
      </c>
      <c r="P1615" s="2">
        <v>56.68</v>
      </c>
      <c r="Q1615" s="2">
        <v>90871.0</v>
      </c>
      <c r="R1615" s="15" t="b">
        <f>ISNUMBER(MATCH(Q1615,'Returned order'!A:A,0))</f>
        <v>0</v>
      </c>
      <c r="S1615" s="22">
        <v>42058.0</v>
      </c>
      <c r="T1615" s="15"/>
      <c r="U1615" s="15"/>
      <c r="V1615" s="15"/>
    </row>
    <row r="1616">
      <c r="A1616" s="2">
        <v>23137.0</v>
      </c>
      <c r="B1616" s="1" t="s">
        <v>58</v>
      </c>
      <c r="C1616" s="2">
        <v>0.04</v>
      </c>
      <c r="D1616" s="2">
        <v>33.29</v>
      </c>
      <c r="E1616" s="2">
        <v>2865.0</v>
      </c>
      <c r="F1616" s="1" t="s">
        <v>1842</v>
      </c>
      <c r="G1616" s="1" t="s">
        <v>32</v>
      </c>
      <c r="H1616" s="1" t="s">
        <v>23</v>
      </c>
      <c r="I1616" s="1" t="s">
        <v>120</v>
      </c>
      <c r="J1616" s="1" t="s">
        <v>1843</v>
      </c>
      <c r="K1616" s="19" t="s">
        <v>68</v>
      </c>
      <c r="L1616" s="20" t="s">
        <v>27</v>
      </c>
      <c r="M1616" s="21">
        <f t="shared" si="1"/>
        <v>1</v>
      </c>
      <c r="N1616" s="2">
        <v>87.03</v>
      </c>
      <c r="O1616" s="2">
        <v>8.0</v>
      </c>
      <c r="P1616" s="2">
        <v>273.34</v>
      </c>
      <c r="Q1616" s="2">
        <v>90871.0</v>
      </c>
      <c r="R1616" s="15" t="b">
        <f>ISNUMBER(MATCH(Q1616,'Returned order'!A:A,0))</f>
        <v>0</v>
      </c>
      <c r="S1616" s="22">
        <v>42058.0</v>
      </c>
      <c r="T1616" s="15"/>
      <c r="U1616" s="15"/>
      <c r="V1616" s="15"/>
    </row>
    <row r="1617">
      <c r="A1617" s="2">
        <v>1529.0</v>
      </c>
      <c r="B1617" s="1" t="s">
        <v>28</v>
      </c>
      <c r="C1617" s="2">
        <v>0.01</v>
      </c>
      <c r="D1617" s="2">
        <v>125.99</v>
      </c>
      <c r="E1617" s="2">
        <v>2867.0</v>
      </c>
      <c r="F1617" s="1" t="s">
        <v>1844</v>
      </c>
      <c r="G1617" s="1" t="s">
        <v>32</v>
      </c>
      <c r="H1617" s="1" t="s">
        <v>46</v>
      </c>
      <c r="I1617" s="1" t="s">
        <v>85</v>
      </c>
      <c r="J1617" s="1" t="s">
        <v>434</v>
      </c>
      <c r="K1617" s="19" t="s">
        <v>26</v>
      </c>
      <c r="L1617" s="20" t="s">
        <v>76</v>
      </c>
      <c r="M1617" s="21">
        <f t="shared" si="1"/>
        <v>5</v>
      </c>
      <c r="N1617" s="2">
        <v>-582.648</v>
      </c>
      <c r="O1617" s="2">
        <v>2.0</v>
      </c>
      <c r="P1617" s="2">
        <v>226.88</v>
      </c>
      <c r="Q1617" s="2">
        <v>11013.0</v>
      </c>
      <c r="R1617" s="15" t="b">
        <f>ISNUMBER(MATCH(Q1617,'Returned order'!A:A,0))</f>
        <v>0</v>
      </c>
      <c r="S1617" s="22">
        <v>42111.0</v>
      </c>
      <c r="T1617" s="15"/>
      <c r="U1617" s="15"/>
      <c r="V1617" s="15"/>
    </row>
    <row r="1618">
      <c r="A1618" s="2">
        <v>18998.0</v>
      </c>
      <c r="B1618" s="1" t="s">
        <v>28</v>
      </c>
      <c r="C1618" s="2">
        <v>0.03</v>
      </c>
      <c r="D1618" s="2">
        <v>896.99</v>
      </c>
      <c r="E1618" s="2">
        <v>2868.0</v>
      </c>
      <c r="F1618" s="1" t="s">
        <v>1845</v>
      </c>
      <c r="G1618" s="1" t="s">
        <v>32</v>
      </c>
      <c r="H1618" s="1" t="s">
        <v>23</v>
      </c>
      <c r="I1618" s="1" t="s">
        <v>24</v>
      </c>
      <c r="J1618" s="1" t="s">
        <v>44</v>
      </c>
      <c r="K1618" s="19" t="s">
        <v>34</v>
      </c>
      <c r="L1618" s="20" t="s">
        <v>70</v>
      </c>
      <c r="M1618" s="21">
        <f t="shared" si="1"/>
        <v>4</v>
      </c>
      <c r="N1618" s="2">
        <v>3602.1312</v>
      </c>
      <c r="O1618" s="2">
        <v>6.0</v>
      </c>
      <c r="P1618" s="2">
        <v>5220.48</v>
      </c>
      <c r="Q1618" s="2">
        <v>85826.0</v>
      </c>
      <c r="R1618" s="15" t="b">
        <f>ISNUMBER(MATCH(Q1618,'Returned order'!A:A,0))</f>
        <v>0</v>
      </c>
      <c r="S1618" s="22">
        <v>42012.0</v>
      </c>
      <c r="T1618" s="15"/>
      <c r="U1618" s="15"/>
      <c r="V1618" s="15"/>
    </row>
    <row r="1619">
      <c r="A1619" s="2">
        <v>19529.0</v>
      </c>
      <c r="B1619" s="1" t="s">
        <v>28</v>
      </c>
      <c r="C1619" s="2">
        <v>0.01</v>
      </c>
      <c r="D1619" s="2">
        <v>125.99</v>
      </c>
      <c r="E1619" s="2">
        <v>2868.0</v>
      </c>
      <c r="F1619" s="1" t="s">
        <v>1845</v>
      </c>
      <c r="G1619" s="1" t="s">
        <v>32</v>
      </c>
      <c r="H1619" s="1" t="s">
        <v>46</v>
      </c>
      <c r="I1619" s="1" t="s">
        <v>85</v>
      </c>
      <c r="J1619" s="1" t="s">
        <v>434</v>
      </c>
      <c r="K1619" s="19" t="s">
        <v>34</v>
      </c>
      <c r="L1619" s="20" t="s">
        <v>76</v>
      </c>
      <c r="M1619" s="21">
        <f t="shared" si="1"/>
        <v>5</v>
      </c>
      <c r="N1619" s="2">
        <v>-582.648</v>
      </c>
      <c r="O1619" s="2">
        <v>1.0</v>
      </c>
      <c r="P1619" s="2">
        <v>113.44</v>
      </c>
      <c r="Q1619" s="2">
        <v>85827.0</v>
      </c>
      <c r="R1619" s="15" t="b">
        <f>ISNUMBER(MATCH(Q1619,'Returned order'!A:A,0))</f>
        <v>0</v>
      </c>
      <c r="S1619" s="22">
        <v>42111.0</v>
      </c>
      <c r="T1619" s="15"/>
      <c r="U1619" s="15"/>
      <c r="V1619" s="15"/>
    </row>
    <row r="1620">
      <c r="A1620" s="2">
        <v>19293.0</v>
      </c>
      <c r="B1620" s="1" t="s">
        <v>49</v>
      </c>
      <c r="C1620" s="2">
        <v>0.08</v>
      </c>
      <c r="D1620" s="2">
        <v>15.99</v>
      </c>
      <c r="E1620" s="2">
        <v>2868.0</v>
      </c>
      <c r="F1620" s="1" t="s">
        <v>1845</v>
      </c>
      <c r="G1620" s="1" t="s">
        <v>32</v>
      </c>
      <c r="H1620" s="1" t="s">
        <v>23</v>
      </c>
      <c r="I1620" s="1" t="s">
        <v>24</v>
      </c>
      <c r="J1620" s="1" t="s">
        <v>546</v>
      </c>
      <c r="K1620" s="19" t="s">
        <v>34</v>
      </c>
      <c r="L1620" s="20" t="s">
        <v>27</v>
      </c>
      <c r="M1620" s="21">
        <f t="shared" si="1"/>
        <v>1</v>
      </c>
      <c r="N1620" s="2">
        <v>-66.585</v>
      </c>
      <c r="O1620" s="2">
        <v>4.0</v>
      </c>
      <c r="P1620" s="2">
        <v>66.02</v>
      </c>
      <c r="Q1620" s="2">
        <v>85828.0</v>
      </c>
      <c r="R1620" s="15" t="b">
        <f>ISNUMBER(MATCH(Q1620,'Returned order'!A:A,0))</f>
        <v>0</v>
      </c>
      <c r="S1620" s="22">
        <v>42149.0</v>
      </c>
      <c r="T1620" s="15"/>
      <c r="U1620" s="15"/>
      <c r="V1620" s="15"/>
    </row>
    <row r="1621">
      <c r="A1621" s="2">
        <v>25724.0</v>
      </c>
      <c r="B1621" s="1" t="s">
        <v>63</v>
      </c>
      <c r="C1621" s="2">
        <v>0.07</v>
      </c>
      <c r="D1621" s="2">
        <v>2.89</v>
      </c>
      <c r="E1621" s="2">
        <v>2873.0</v>
      </c>
      <c r="F1621" s="1" t="s">
        <v>1846</v>
      </c>
      <c r="G1621" s="1" t="s">
        <v>66</v>
      </c>
      <c r="H1621" s="1" t="s">
        <v>23</v>
      </c>
      <c r="I1621" s="1" t="s">
        <v>130</v>
      </c>
      <c r="J1621" s="1" t="s">
        <v>645</v>
      </c>
      <c r="K1621" s="19" t="s">
        <v>229</v>
      </c>
      <c r="L1621" s="20" t="s">
        <v>70</v>
      </c>
      <c r="M1621" s="21">
        <f t="shared" si="1"/>
        <v>4</v>
      </c>
      <c r="N1621" s="2">
        <v>441.594</v>
      </c>
      <c r="O1621" s="2">
        <v>12.0</v>
      </c>
      <c r="P1621" s="2">
        <v>33.02</v>
      </c>
      <c r="Q1621" s="2">
        <v>89872.0</v>
      </c>
      <c r="R1621" s="15" t="b">
        <f>ISNUMBER(MATCH(Q1621,'Returned order'!A:A,0))</f>
        <v>0</v>
      </c>
      <c r="S1621" s="22">
        <v>42026.0</v>
      </c>
      <c r="T1621" s="15"/>
      <c r="U1621" s="15"/>
      <c r="V1621" s="15"/>
    </row>
    <row r="1622">
      <c r="A1622" s="2">
        <v>25725.0</v>
      </c>
      <c r="B1622" s="1" t="s">
        <v>63</v>
      </c>
      <c r="C1622" s="2">
        <v>0.0</v>
      </c>
      <c r="D1622" s="2">
        <v>217.85</v>
      </c>
      <c r="E1622" s="2">
        <v>2873.0</v>
      </c>
      <c r="F1622" s="1" t="s">
        <v>1846</v>
      </c>
      <c r="G1622" s="1" t="s">
        <v>66</v>
      </c>
      <c r="H1622" s="1" t="s">
        <v>37</v>
      </c>
      <c r="I1622" s="1" t="s">
        <v>73</v>
      </c>
      <c r="J1622" s="1" t="s">
        <v>1847</v>
      </c>
      <c r="K1622" s="19" t="s">
        <v>229</v>
      </c>
      <c r="L1622" s="20" t="s">
        <v>70</v>
      </c>
      <c r="M1622" s="21">
        <f t="shared" si="1"/>
        <v>4</v>
      </c>
      <c r="N1622" s="2">
        <v>394.17</v>
      </c>
      <c r="O1622" s="2">
        <v>10.0</v>
      </c>
      <c r="P1622" s="2">
        <v>2273.1</v>
      </c>
      <c r="Q1622" s="2">
        <v>89872.0</v>
      </c>
      <c r="R1622" s="15" t="b">
        <f>ISNUMBER(MATCH(Q1622,'Returned order'!A:A,0))</f>
        <v>0</v>
      </c>
      <c r="S1622" s="22">
        <v>42026.0</v>
      </c>
      <c r="T1622" s="15"/>
      <c r="U1622" s="15"/>
      <c r="V1622" s="15"/>
    </row>
    <row r="1623">
      <c r="A1623" s="2">
        <v>21768.0</v>
      </c>
      <c r="B1623" s="1" t="s">
        <v>170</v>
      </c>
      <c r="C1623" s="2">
        <v>0.05</v>
      </c>
      <c r="D1623" s="2">
        <v>4.84</v>
      </c>
      <c r="E1623" s="2">
        <v>2874.0</v>
      </c>
      <c r="F1623" s="1" t="s">
        <v>1848</v>
      </c>
      <c r="G1623" s="1" t="s">
        <v>51</v>
      </c>
      <c r="H1623" s="1" t="s">
        <v>23</v>
      </c>
      <c r="I1623" s="1" t="s">
        <v>29</v>
      </c>
      <c r="J1623" s="1" t="s">
        <v>195</v>
      </c>
      <c r="K1623" s="19" t="s">
        <v>68</v>
      </c>
      <c r="L1623" s="20" t="s">
        <v>27</v>
      </c>
      <c r="M1623" s="21">
        <f t="shared" si="1"/>
        <v>1</v>
      </c>
      <c r="N1623" s="2">
        <v>13.4481</v>
      </c>
      <c r="O1623" s="2">
        <v>4.0</v>
      </c>
      <c r="P1623" s="2">
        <v>19.49</v>
      </c>
      <c r="Q1623" s="2">
        <v>89873.0</v>
      </c>
      <c r="R1623" s="15" t="b">
        <f>ISNUMBER(MATCH(Q1623,'Returned order'!A:A,0))</f>
        <v>0</v>
      </c>
      <c r="S1623" s="22">
        <v>42100.0</v>
      </c>
      <c r="T1623" s="15"/>
      <c r="U1623" s="15"/>
      <c r="V1623" s="15"/>
    </row>
    <row r="1624">
      <c r="A1624" s="2">
        <v>19246.0</v>
      </c>
      <c r="B1624" s="1" t="s">
        <v>58</v>
      </c>
      <c r="C1624" s="2">
        <v>0.03</v>
      </c>
      <c r="D1624" s="2">
        <v>304.99</v>
      </c>
      <c r="E1624" s="2">
        <v>2874.0</v>
      </c>
      <c r="F1624" s="1" t="s">
        <v>1848</v>
      </c>
      <c r="G1624" s="1" t="s">
        <v>51</v>
      </c>
      <c r="H1624" s="1" t="s">
        <v>23</v>
      </c>
      <c r="I1624" s="1" t="s">
        <v>24</v>
      </c>
      <c r="J1624" s="1" t="s">
        <v>231</v>
      </c>
      <c r="K1624" s="19" t="s">
        <v>68</v>
      </c>
      <c r="L1624" s="20" t="s">
        <v>27</v>
      </c>
      <c r="M1624" s="21">
        <f t="shared" si="1"/>
        <v>1</v>
      </c>
      <c r="N1624" s="2">
        <v>4033.6089</v>
      </c>
      <c r="O1624" s="2">
        <v>19.0</v>
      </c>
      <c r="P1624" s="2">
        <v>5845.81</v>
      </c>
      <c r="Q1624" s="2">
        <v>89874.0</v>
      </c>
      <c r="R1624" s="15" t="b">
        <f>ISNUMBER(MATCH(Q1624,'Returned order'!A:A,0))</f>
        <v>0</v>
      </c>
      <c r="S1624" s="22">
        <v>42177.0</v>
      </c>
      <c r="T1624" s="15"/>
      <c r="U1624" s="15"/>
      <c r="V1624" s="15"/>
    </row>
    <row r="1625">
      <c r="A1625" s="2">
        <v>19247.0</v>
      </c>
      <c r="B1625" s="1" t="s">
        <v>58</v>
      </c>
      <c r="C1625" s="2">
        <v>0.09</v>
      </c>
      <c r="D1625" s="2">
        <v>65.99</v>
      </c>
      <c r="E1625" s="2">
        <v>2874.0</v>
      </c>
      <c r="F1625" s="1" t="s">
        <v>1848</v>
      </c>
      <c r="G1625" s="1" t="s">
        <v>51</v>
      </c>
      <c r="H1625" s="1" t="s">
        <v>46</v>
      </c>
      <c r="I1625" s="1" t="s">
        <v>85</v>
      </c>
      <c r="J1625" s="1" t="s">
        <v>1849</v>
      </c>
      <c r="K1625" s="19" t="s">
        <v>68</v>
      </c>
      <c r="L1625" s="20" t="s">
        <v>27</v>
      </c>
      <c r="M1625" s="21">
        <f t="shared" si="1"/>
        <v>1</v>
      </c>
      <c r="N1625" s="2">
        <v>141.7824</v>
      </c>
      <c r="O1625" s="2">
        <v>12.0</v>
      </c>
      <c r="P1625" s="2">
        <v>633.85</v>
      </c>
      <c r="Q1625" s="2">
        <v>89874.0</v>
      </c>
      <c r="R1625" s="15" t="b">
        <f>ISNUMBER(MATCH(Q1625,'Returned order'!A:A,0))</f>
        <v>0</v>
      </c>
      <c r="S1625" s="22">
        <v>42177.0</v>
      </c>
      <c r="T1625" s="15"/>
      <c r="U1625" s="15"/>
      <c r="V1625" s="15"/>
    </row>
    <row r="1626">
      <c r="A1626" s="2">
        <v>25599.0</v>
      </c>
      <c r="B1626" s="1" t="s">
        <v>49</v>
      </c>
      <c r="C1626" s="2">
        <v>0.0</v>
      </c>
      <c r="D1626" s="2">
        <v>8.33</v>
      </c>
      <c r="E1626" s="2">
        <v>2877.0</v>
      </c>
      <c r="F1626" s="1" t="s">
        <v>216</v>
      </c>
      <c r="G1626" s="1" t="s">
        <v>22</v>
      </c>
      <c r="H1626" s="1" t="s">
        <v>46</v>
      </c>
      <c r="I1626" s="1" t="s">
        <v>47</v>
      </c>
      <c r="J1626" s="1" t="s">
        <v>218</v>
      </c>
      <c r="K1626" s="19" t="s">
        <v>26</v>
      </c>
      <c r="L1626" s="20" t="s">
        <v>27</v>
      </c>
      <c r="M1626" s="21">
        <f t="shared" si="1"/>
        <v>1</v>
      </c>
      <c r="N1626" s="2">
        <v>74.1819</v>
      </c>
      <c r="O1626" s="2">
        <v>12.0</v>
      </c>
      <c r="P1626" s="2">
        <v>107.51</v>
      </c>
      <c r="Q1626" s="2">
        <v>91492.0</v>
      </c>
      <c r="R1626" s="15" t="b">
        <f>ISNUMBER(MATCH(Q1626,'Returned order'!A:A,0))</f>
        <v>0</v>
      </c>
      <c r="S1626" s="22">
        <v>42065.0</v>
      </c>
      <c r="T1626" s="15"/>
      <c r="U1626" s="15"/>
      <c r="V1626" s="15"/>
    </row>
    <row r="1627">
      <c r="A1627" s="2">
        <v>7599.0</v>
      </c>
      <c r="B1627" s="1" t="s">
        <v>49</v>
      </c>
      <c r="C1627" s="2">
        <v>0.0</v>
      </c>
      <c r="D1627" s="2">
        <v>8.33</v>
      </c>
      <c r="E1627" s="2">
        <v>2878.0</v>
      </c>
      <c r="F1627" s="1" t="s">
        <v>1850</v>
      </c>
      <c r="G1627" s="1" t="s">
        <v>22</v>
      </c>
      <c r="H1627" s="1" t="s">
        <v>46</v>
      </c>
      <c r="I1627" s="1" t="s">
        <v>47</v>
      </c>
      <c r="J1627" s="1" t="s">
        <v>218</v>
      </c>
      <c r="K1627" s="19" t="s">
        <v>34</v>
      </c>
      <c r="L1627" s="20" t="s">
        <v>27</v>
      </c>
      <c r="M1627" s="21">
        <f t="shared" si="1"/>
        <v>1</v>
      </c>
      <c r="N1627" s="2">
        <v>82.31</v>
      </c>
      <c r="O1627" s="2">
        <v>47.0</v>
      </c>
      <c r="P1627" s="2">
        <v>421.08</v>
      </c>
      <c r="Q1627" s="2">
        <v>54369.0</v>
      </c>
      <c r="R1627" s="15" t="b">
        <f>ISNUMBER(MATCH(Q1627,'Returned order'!A:A,0))</f>
        <v>0</v>
      </c>
      <c r="S1627" s="22">
        <v>42065.0</v>
      </c>
      <c r="T1627" s="15"/>
      <c r="U1627" s="15"/>
      <c r="V1627" s="15"/>
    </row>
    <row r="1628">
      <c r="A1628" s="2">
        <v>18642.0</v>
      </c>
      <c r="B1628" s="1" t="s">
        <v>63</v>
      </c>
      <c r="C1628" s="2">
        <v>0.05</v>
      </c>
      <c r="D1628" s="2">
        <v>6.68</v>
      </c>
      <c r="E1628" s="2">
        <v>2880.0</v>
      </c>
      <c r="F1628" s="1" t="s">
        <v>1851</v>
      </c>
      <c r="G1628" s="1" t="s">
        <v>66</v>
      </c>
      <c r="H1628" s="1" t="s">
        <v>23</v>
      </c>
      <c r="I1628" s="1" t="s">
        <v>93</v>
      </c>
      <c r="J1628" s="1" t="s">
        <v>1540</v>
      </c>
      <c r="K1628" s="19" t="s">
        <v>229</v>
      </c>
      <c r="L1628" s="20" t="s">
        <v>53</v>
      </c>
      <c r="M1628" s="21">
        <f t="shared" si="1"/>
        <v>6</v>
      </c>
      <c r="N1628" s="2">
        <v>-2.352</v>
      </c>
      <c r="O1628" s="2">
        <v>11.0</v>
      </c>
      <c r="P1628" s="2">
        <v>77.2</v>
      </c>
      <c r="Q1628" s="2">
        <v>88626.0</v>
      </c>
      <c r="R1628" s="15" t="b">
        <f>ISNUMBER(MATCH(Q1628,'Returned order'!A:A,0))</f>
        <v>0</v>
      </c>
      <c r="S1628" s="22">
        <v>42091.0</v>
      </c>
      <c r="T1628" s="15"/>
      <c r="U1628" s="15"/>
      <c r="V1628" s="15"/>
    </row>
    <row r="1629">
      <c r="A1629" s="2">
        <v>20315.0</v>
      </c>
      <c r="B1629" s="1" t="s">
        <v>170</v>
      </c>
      <c r="C1629" s="2">
        <v>0.09</v>
      </c>
      <c r="D1629" s="2">
        <v>243.98</v>
      </c>
      <c r="E1629" s="2">
        <v>2880.0</v>
      </c>
      <c r="F1629" s="1" t="s">
        <v>1851</v>
      </c>
      <c r="G1629" s="1" t="s">
        <v>66</v>
      </c>
      <c r="H1629" s="1" t="s">
        <v>37</v>
      </c>
      <c r="I1629" s="1" t="s">
        <v>38</v>
      </c>
      <c r="J1629" s="1" t="s">
        <v>1492</v>
      </c>
      <c r="K1629" s="19" t="s">
        <v>229</v>
      </c>
      <c r="L1629" s="20" t="s">
        <v>76</v>
      </c>
      <c r="M1629" s="21">
        <f t="shared" si="1"/>
        <v>5</v>
      </c>
      <c r="N1629" s="2">
        <v>1059.288</v>
      </c>
      <c r="O1629" s="2">
        <v>25.0</v>
      </c>
      <c r="P1629" s="2">
        <v>5587.89</v>
      </c>
      <c r="Q1629" s="2">
        <v>88627.0</v>
      </c>
      <c r="R1629" s="15" t="b">
        <f>ISNUMBER(MATCH(Q1629,'Returned order'!A:A,0))</f>
        <v>0</v>
      </c>
      <c r="S1629" s="22">
        <v>42132.0</v>
      </c>
      <c r="T1629" s="15"/>
      <c r="U1629" s="15"/>
      <c r="V1629" s="15"/>
    </row>
    <row r="1630">
      <c r="A1630" s="2">
        <v>7718.0</v>
      </c>
      <c r="B1630" s="1" t="s">
        <v>28</v>
      </c>
      <c r="C1630" s="2">
        <v>0.03</v>
      </c>
      <c r="D1630" s="2">
        <v>4.06</v>
      </c>
      <c r="E1630" s="2">
        <v>2882.0</v>
      </c>
      <c r="F1630" s="1" t="s">
        <v>1852</v>
      </c>
      <c r="G1630" s="1" t="s">
        <v>22</v>
      </c>
      <c r="H1630" s="1" t="s">
        <v>23</v>
      </c>
      <c r="I1630" s="1" t="s">
        <v>151</v>
      </c>
      <c r="J1630" s="1" t="s">
        <v>733</v>
      </c>
      <c r="K1630" s="19" t="s">
        <v>229</v>
      </c>
      <c r="L1630" s="20" t="s">
        <v>76</v>
      </c>
      <c r="M1630" s="21">
        <f t="shared" si="1"/>
        <v>5</v>
      </c>
      <c r="N1630" s="2">
        <v>-246.2761</v>
      </c>
      <c r="O1630" s="2">
        <v>37.0</v>
      </c>
      <c r="P1630" s="2">
        <v>159.89</v>
      </c>
      <c r="Q1630" s="2">
        <v>55300.0</v>
      </c>
      <c r="R1630" s="15" t="b">
        <f>ISNUMBER(MATCH(Q1630,'Returned order'!A:A,0))</f>
        <v>0</v>
      </c>
      <c r="S1630" s="22">
        <v>42055.0</v>
      </c>
      <c r="T1630" s="15"/>
      <c r="U1630" s="15"/>
      <c r="V1630" s="15"/>
    </row>
    <row r="1631">
      <c r="A1631" s="2">
        <v>7719.0</v>
      </c>
      <c r="B1631" s="1" t="s">
        <v>28</v>
      </c>
      <c r="C1631" s="2">
        <v>0.01</v>
      </c>
      <c r="D1631" s="2">
        <v>3.75</v>
      </c>
      <c r="E1631" s="2">
        <v>2882.0</v>
      </c>
      <c r="F1631" s="1" t="s">
        <v>1852</v>
      </c>
      <c r="G1631" s="1" t="s">
        <v>22</v>
      </c>
      <c r="H1631" s="1" t="s">
        <v>23</v>
      </c>
      <c r="I1631" s="1" t="s">
        <v>130</v>
      </c>
      <c r="J1631" s="1" t="s">
        <v>1853</v>
      </c>
      <c r="K1631" s="19" t="s">
        <v>229</v>
      </c>
      <c r="L1631" s="20" t="s">
        <v>76</v>
      </c>
      <c r="M1631" s="21">
        <f t="shared" si="1"/>
        <v>5</v>
      </c>
      <c r="N1631" s="2">
        <v>55.1946</v>
      </c>
      <c r="O1631" s="2">
        <v>48.0</v>
      </c>
      <c r="P1631" s="2">
        <v>180.48</v>
      </c>
      <c r="Q1631" s="2">
        <v>55300.0</v>
      </c>
      <c r="R1631" s="15" t="b">
        <f>ISNUMBER(MATCH(Q1631,'Returned order'!A:A,0))</f>
        <v>0</v>
      </c>
      <c r="S1631" s="22">
        <v>42055.0</v>
      </c>
      <c r="T1631" s="15"/>
      <c r="U1631" s="15"/>
      <c r="V1631" s="15"/>
    </row>
    <row r="1632">
      <c r="A1632" s="2">
        <v>7720.0</v>
      </c>
      <c r="B1632" s="1" t="s">
        <v>28</v>
      </c>
      <c r="C1632" s="2">
        <v>0.02</v>
      </c>
      <c r="D1632" s="2">
        <v>10.68</v>
      </c>
      <c r="E1632" s="2">
        <v>2882.0</v>
      </c>
      <c r="F1632" s="1" t="s">
        <v>1852</v>
      </c>
      <c r="G1632" s="1" t="s">
        <v>22</v>
      </c>
      <c r="H1632" s="1" t="s">
        <v>37</v>
      </c>
      <c r="I1632" s="1" t="s">
        <v>42</v>
      </c>
      <c r="J1632" s="1" t="s">
        <v>1854</v>
      </c>
      <c r="K1632" s="19" t="s">
        <v>229</v>
      </c>
      <c r="L1632" s="20" t="s">
        <v>76</v>
      </c>
      <c r="M1632" s="21">
        <f t="shared" si="1"/>
        <v>5</v>
      </c>
      <c r="N1632" s="2">
        <v>-307.2965</v>
      </c>
      <c r="O1632" s="2">
        <v>31.0</v>
      </c>
      <c r="P1632" s="2">
        <v>350.48</v>
      </c>
      <c r="Q1632" s="2">
        <v>55300.0</v>
      </c>
      <c r="R1632" s="15" t="b">
        <f>ISNUMBER(MATCH(Q1632,'Returned order'!A:A,0))</f>
        <v>0</v>
      </c>
      <c r="S1632" s="22">
        <v>42055.0</v>
      </c>
      <c r="T1632" s="15"/>
      <c r="U1632" s="15"/>
      <c r="V1632" s="15"/>
    </row>
    <row r="1633">
      <c r="A1633" s="2">
        <v>2314.0</v>
      </c>
      <c r="B1633" s="1" t="s">
        <v>28</v>
      </c>
      <c r="C1633" s="2">
        <v>0.07</v>
      </c>
      <c r="D1633" s="2">
        <v>28.99</v>
      </c>
      <c r="E1633" s="2">
        <v>2882.0</v>
      </c>
      <c r="F1633" s="1" t="s">
        <v>1852</v>
      </c>
      <c r="G1633" s="1" t="s">
        <v>22</v>
      </c>
      <c r="H1633" s="1" t="s">
        <v>46</v>
      </c>
      <c r="I1633" s="1" t="s">
        <v>85</v>
      </c>
      <c r="J1633" s="1" t="s">
        <v>1482</v>
      </c>
      <c r="K1633" s="19" t="s">
        <v>229</v>
      </c>
      <c r="L1633" s="20" t="s">
        <v>70</v>
      </c>
      <c r="M1633" s="21">
        <f t="shared" si="1"/>
        <v>4</v>
      </c>
      <c r="N1633" s="2">
        <v>-16.06374</v>
      </c>
      <c r="O1633" s="2">
        <v>39.0</v>
      </c>
      <c r="P1633" s="2">
        <v>936.8</v>
      </c>
      <c r="Q1633" s="2">
        <v>16676.0</v>
      </c>
      <c r="R1633" s="15" t="b">
        <f>ISNUMBER(MATCH(Q1633,'Returned order'!A:A,0))</f>
        <v>0</v>
      </c>
      <c r="S1633" s="22">
        <v>42082.0</v>
      </c>
      <c r="T1633" s="15"/>
      <c r="U1633" s="15"/>
      <c r="V1633" s="15"/>
    </row>
    <row r="1634">
      <c r="A1634" s="2">
        <v>694.0</v>
      </c>
      <c r="B1634" s="1" t="s">
        <v>58</v>
      </c>
      <c r="C1634" s="2">
        <v>0.05</v>
      </c>
      <c r="D1634" s="2">
        <v>6.48</v>
      </c>
      <c r="E1634" s="2">
        <v>2882.0</v>
      </c>
      <c r="F1634" s="1" t="s">
        <v>1852</v>
      </c>
      <c r="G1634" s="1" t="s">
        <v>22</v>
      </c>
      <c r="H1634" s="1" t="s">
        <v>23</v>
      </c>
      <c r="I1634" s="1" t="s">
        <v>93</v>
      </c>
      <c r="J1634" s="1" t="s">
        <v>1650</v>
      </c>
      <c r="K1634" s="19" t="s">
        <v>229</v>
      </c>
      <c r="L1634" s="20" t="s">
        <v>53</v>
      </c>
      <c r="M1634" s="21">
        <f t="shared" si="1"/>
        <v>6</v>
      </c>
      <c r="N1634" s="2">
        <v>-160.3847</v>
      </c>
      <c r="O1634" s="2">
        <v>35.0</v>
      </c>
      <c r="P1634" s="2">
        <v>232.5</v>
      </c>
      <c r="Q1634" s="2">
        <v>4839.0</v>
      </c>
      <c r="R1634" s="15" t="b">
        <f>ISNUMBER(MATCH(Q1634,'Returned order'!A:A,0))</f>
        <v>0</v>
      </c>
      <c r="S1634" s="22">
        <v>42133.0</v>
      </c>
      <c r="T1634" s="15"/>
      <c r="U1634" s="15"/>
      <c r="V1634" s="15"/>
    </row>
    <row r="1635">
      <c r="A1635" s="2">
        <v>3065.0</v>
      </c>
      <c r="B1635" s="1" t="s">
        <v>28</v>
      </c>
      <c r="C1635" s="2">
        <v>0.09</v>
      </c>
      <c r="D1635" s="2">
        <v>363.25</v>
      </c>
      <c r="E1635" s="2">
        <v>2882.0</v>
      </c>
      <c r="F1635" s="1" t="s">
        <v>1852</v>
      </c>
      <c r="G1635" s="1" t="s">
        <v>22</v>
      </c>
      <c r="H1635" s="1" t="s">
        <v>23</v>
      </c>
      <c r="I1635" s="1" t="s">
        <v>151</v>
      </c>
      <c r="J1635" s="1" t="s">
        <v>958</v>
      </c>
      <c r="K1635" s="19" t="s">
        <v>229</v>
      </c>
      <c r="L1635" s="20" t="s">
        <v>76</v>
      </c>
      <c r="M1635" s="21">
        <f t="shared" si="1"/>
        <v>5</v>
      </c>
      <c r="N1635" s="2">
        <v>732.2698</v>
      </c>
      <c r="O1635" s="2">
        <v>21.0</v>
      </c>
      <c r="P1635" s="2">
        <v>7497.05</v>
      </c>
      <c r="Q1635" s="2">
        <v>21958.0</v>
      </c>
      <c r="R1635" s="15" t="b">
        <f>ISNUMBER(MATCH(Q1635,'Returned order'!A:A,0))</f>
        <v>0</v>
      </c>
      <c r="S1635" s="22">
        <v>42160.0</v>
      </c>
      <c r="T1635" s="15"/>
      <c r="U1635" s="15"/>
      <c r="V1635" s="15"/>
    </row>
    <row r="1636">
      <c r="A1636" s="2">
        <v>5689.0</v>
      </c>
      <c r="B1636" s="1" t="s">
        <v>170</v>
      </c>
      <c r="C1636" s="2">
        <v>0.05</v>
      </c>
      <c r="D1636" s="2">
        <v>63.94</v>
      </c>
      <c r="E1636" s="2">
        <v>2882.0</v>
      </c>
      <c r="F1636" s="1" t="s">
        <v>1852</v>
      </c>
      <c r="G1636" s="1" t="s">
        <v>22</v>
      </c>
      <c r="H1636" s="1" t="s">
        <v>37</v>
      </c>
      <c r="I1636" s="1" t="s">
        <v>42</v>
      </c>
      <c r="J1636" s="1" t="s">
        <v>468</v>
      </c>
      <c r="K1636" s="19" t="s">
        <v>229</v>
      </c>
      <c r="L1636" s="20" t="s">
        <v>57</v>
      </c>
      <c r="M1636" s="21">
        <f t="shared" si="1"/>
        <v>2</v>
      </c>
      <c r="N1636" s="2">
        <v>270.8743</v>
      </c>
      <c r="O1636" s="2">
        <v>21.0</v>
      </c>
      <c r="P1636" s="2">
        <v>1336.35</v>
      </c>
      <c r="Q1636" s="2">
        <v>40224.0</v>
      </c>
      <c r="R1636" s="15" t="b">
        <f>ISNUMBER(MATCH(Q1636,'Returned order'!A:A,0))</f>
        <v>0</v>
      </c>
      <c r="S1636" s="22">
        <v>42185.0</v>
      </c>
      <c r="T1636" s="15"/>
      <c r="U1636" s="15"/>
      <c r="V1636" s="15"/>
    </row>
    <row r="1637">
      <c r="A1637" s="2">
        <v>7137.0</v>
      </c>
      <c r="B1637" s="1" t="s">
        <v>170</v>
      </c>
      <c r="C1637" s="2">
        <v>0.02</v>
      </c>
      <c r="D1637" s="2">
        <v>43.98</v>
      </c>
      <c r="E1637" s="2">
        <v>2882.0</v>
      </c>
      <c r="F1637" s="1" t="s">
        <v>1852</v>
      </c>
      <c r="G1637" s="1" t="s">
        <v>22</v>
      </c>
      <c r="H1637" s="1" t="s">
        <v>46</v>
      </c>
      <c r="I1637" s="1" t="s">
        <v>47</v>
      </c>
      <c r="J1637" s="1" t="s">
        <v>1855</v>
      </c>
      <c r="K1637" s="19" t="s">
        <v>229</v>
      </c>
      <c r="L1637" s="20" t="s">
        <v>35</v>
      </c>
      <c r="M1637" s="21">
        <f t="shared" si="1"/>
        <v>3</v>
      </c>
      <c r="N1637" s="2">
        <v>333.7605</v>
      </c>
      <c r="O1637" s="2">
        <v>40.0</v>
      </c>
      <c r="P1637" s="2">
        <v>1724.01</v>
      </c>
      <c r="Q1637" s="2">
        <v>50917.0</v>
      </c>
      <c r="R1637" s="15" t="b">
        <f>ISNUMBER(MATCH(Q1637,'Returned order'!A:A,0))</f>
        <v>0</v>
      </c>
      <c r="S1637" s="22">
        <v>42025.0</v>
      </c>
      <c r="T1637" s="15"/>
      <c r="U1637" s="15"/>
      <c r="V1637" s="15"/>
    </row>
    <row r="1638">
      <c r="A1638" s="2">
        <v>18694.0</v>
      </c>
      <c r="B1638" s="1" t="s">
        <v>58</v>
      </c>
      <c r="C1638" s="2">
        <v>0.05</v>
      </c>
      <c r="D1638" s="2">
        <v>6.48</v>
      </c>
      <c r="E1638" s="2">
        <v>2883.0</v>
      </c>
      <c r="F1638" s="1" t="s">
        <v>1856</v>
      </c>
      <c r="G1638" s="1" t="s">
        <v>22</v>
      </c>
      <c r="H1638" s="1" t="s">
        <v>23</v>
      </c>
      <c r="I1638" s="1" t="s">
        <v>93</v>
      </c>
      <c r="J1638" s="1" t="s">
        <v>1650</v>
      </c>
      <c r="K1638" s="19" t="s">
        <v>26</v>
      </c>
      <c r="L1638" s="20" t="s">
        <v>53</v>
      </c>
      <c r="M1638" s="21">
        <f t="shared" si="1"/>
        <v>6</v>
      </c>
      <c r="N1638" s="2">
        <v>-120.59</v>
      </c>
      <c r="O1638" s="2">
        <v>9.0</v>
      </c>
      <c r="P1638" s="2">
        <v>59.79</v>
      </c>
      <c r="Q1638" s="2">
        <v>87632.0</v>
      </c>
      <c r="R1638" s="15" t="b">
        <f>ISNUMBER(MATCH(Q1638,'Returned order'!A:A,0))</f>
        <v>0</v>
      </c>
      <c r="S1638" s="22">
        <v>42133.0</v>
      </c>
      <c r="T1638" s="15"/>
      <c r="U1638" s="15"/>
      <c r="V1638" s="15"/>
    </row>
    <row r="1639">
      <c r="A1639" s="2">
        <v>20314.0</v>
      </c>
      <c r="B1639" s="1" t="s">
        <v>28</v>
      </c>
      <c r="C1639" s="2">
        <v>0.07</v>
      </c>
      <c r="D1639" s="2">
        <v>28.99</v>
      </c>
      <c r="E1639" s="2">
        <v>2884.0</v>
      </c>
      <c r="F1639" s="1" t="s">
        <v>1857</v>
      </c>
      <c r="G1639" s="1" t="s">
        <v>22</v>
      </c>
      <c r="H1639" s="1" t="s">
        <v>46</v>
      </c>
      <c r="I1639" s="1" t="s">
        <v>85</v>
      </c>
      <c r="J1639" s="1" t="s">
        <v>1482</v>
      </c>
      <c r="K1639" s="19" t="s">
        <v>26</v>
      </c>
      <c r="L1639" s="20" t="s">
        <v>70</v>
      </c>
      <c r="M1639" s="21">
        <f t="shared" si="1"/>
        <v>4</v>
      </c>
      <c r="N1639" s="2">
        <v>-12.078</v>
      </c>
      <c r="O1639" s="2">
        <v>10.0</v>
      </c>
      <c r="P1639" s="2">
        <v>240.21</v>
      </c>
      <c r="Q1639" s="2">
        <v>87631.0</v>
      </c>
      <c r="R1639" s="15" t="b">
        <f>ISNUMBER(MATCH(Q1639,'Returned order'!A:A,0))</f>
        <v>0</v>
      </c>
      <c r="S1639" s="22">
        <v>42082.0</v>
      </c>
      <c r="T1639" s="15"/>
      <c r="U1639" s="15"/>
      <c r="V1639" s="15"/>
    </row>
    <row r="1640">
      <c r="A1640" s="2">
        <v>21065.0</v>
      </c>
      <c r="B1640" s="1" t="s">
        <v>28</v>
      </c>
      <c r="C1640" s="2">
        <v>0.09</v>
      </c>
      <c r="D1640" s="2">
        <v>363.25</v>
      </c>
      <c r="E1640" s="2">
        <v>2884.0</v>
      </c>
      <c r="F1640" s="1" t="s">
        <v>1857</v>
      </c>
      <c r="G1640" s="1" t="s">
        <v>22</v>
      </c>
      <c r="H1640" s="1" t="s">
        <v>23</v>
      </c>
      <c r="I1640" s="1" t="s">
        <v>151</v>
      </c>
      <c r="J1640" s="1" t="s">
        <v>958</v>
      </c>
      <c r="K1640" s="19" t="s">
        <v>26</v>
      </c>
      <c r="L1640" s="20" t="s">
        <v>76</v>
      </c>
      <c r="M1640" s="21">
        <f t="shared" si="1"/>
        <v>5</v>
      </c>
      <c r="N1640" s="2">
        <v>1231.6569</v>
      </c>
      <c r="O1640" s="2">
        <v>5.0</v>
      </c>
      <c r="P1640" s="2">
        <v>1785.01</v>
      </c>
      <c r="Q1640" s="2">
        <v>87633.0</v>
      </c>
      <c r="R1640" s="15" t="b">
        <f>ISNUMBER(MATCH(Q1640,'Returned order'!A:A,0))</f>
        <v>0</v>
      </c>
      <c r="S1640" s="22">
        <v>42160.0</v>
      </c>
      <c r="T1640" s="15"/>
      <c r="U1640" s="15"/>
      <c r="V1640" s="15"/>
    </row>
    <row r="1641">
      <c r="A1641" s="2">
        <v>23689.0</v>
      </c>
      <c r="B1641" s="1" t="s">
        <v>170</v>
      </c>
      <c r="C1641" s="2">
        <v>0.05</v>
      </c>
      <c r="D1641" s="2">
        <v>63.94</v>
      </c>
      <c r="E1641" s="2">
        <v>2885.0</v>
      </c>
      <c r="F1641" s="1" t="s">
        <v>1858</v>
      </c>
      <c r="G1641" s="1" t="s">
        <v>22</v>
      </c>
      <c r="H1641" s="1" t="s">
        <v>37</v>
      </c>
      <c r="I1641" s="1" t="s">
        <v>42</v>
      </c>
      <c r="J1641" s="1" t="s">
        <v>468</v>
      </c>
      <c r="K1641" s="19" t="s">
        <v>26</v>
      </c>
      <c r="L1641" s="20" t="s">
        <v>57</v>
      </c>
      <c r="M1641" s="21">
        <f t="shared" si="1"/>
        <v>2</v>
      </c>
      <c r="N1641" s="2">
        <v>219.5442</v>
      </c>
      <c r="O1641" s="2">
        <v>5.0</v>
      </c>
      <c r="P1641" s="2">
        <v>318.18</v>
      </c>
      <c r="Q1641" s="2">
        <v>87634.0</v>
      </c>
      <c r="R1641" s="15" t="b">
        <f>ISNUMBER(MATCH(Q1641,'Returned order'!A:A,0))</f>
        <v>0</v>
      </c>
      <c r="S1641" s="22">
        <v>42185.0</v>
      </c>
      <c r="T1641" s="15"/>
      <c r="U1641" s="15"/>
      <c r="V1641" s="15"/>
    </row>
    <row r="1642">
      <c r="A1642" s="2">
        <v>25718.0</v>
      </c>
      <c r="B1642" s="1" t="s">
        <v>28</v>
      </c>
      <c r="C1642" s="2">
        <v>0.03</v>
      </c>
      <c r="D1642" s="2">
        <v>4.06</v>
      </c>
      <c r="E1642" s="2">
        <v>2886.0</v>
      </c>
      <c r="F1642" s="1" t="s">
        <v>1859</v>
      </c>
      <c r="G1642" s="1" t="s">
        <v>22</v>
      </c>
      <c r="H1642" s="1" t="s">
        <v>23</v>
      </c>
      <c r="I1642" s="1" t="s">
        <v>151</v>
      </c>
      <c r="J1642" s="1" t="s">
        <v>733</v>
      </c>
      <c r="K1642" s="19" t="s">
        <v>26</v>
      </c>
      <c r="L1642" s="20" t="s">
        <v>76</v>
      </c>
      <c r="M1642" s="21">
        <f t="shared" si="1"/>
        <v>5</v>
      </c>
      <c r="N1642" s="2">
        <v>-185.17</v>
      </c>
      <c r="O1642" s="2">
        <v>9.0</v>
      </c>
      <c r="P1642" s="2">
        <v>38.89</v>
      </c>
      <c r="Q1642" s="2">
        <v>87630.0</v>
      </c>
      <c r="R1642" s="15" t="b">
        <f>ISNUMBER(MATCH(Q1642,'Returned order'!A:A,0))</f>
        <v>0</v>
      </c>
      <c r="S1642" s="22">
        <v>42055.0</v>
      </c>
      <c r="T1642" s="15"/>
      <c r="U1642" s="15"/>
      <c r="V1642" s="15"/>
    </row>
    <row r="1643">
      <c r="A1643" s="2">
        <v>25719.0</v>
      </c>
      <c r="B1643" s="1" t="s">
        <v>28</v>
      </c>
      <c r="C1643" s="2">
        <v>0.01</v>
      </c>
      <c r="D1643" s="2">
        <v>3.75</v>
      </c>
      <c r="E1643" s="2">
        <v>2886.0</v>
      </c>
      <c r="F1643" s="1" t="s">
        <v>1859</v>
      </c>
      <c r="G1643" s="1" t="s">
        <v>22</v>
      </c>
      <c r="H1643" s="1" t="s">
        <v>23</v>
      </c>
      <c r="I1643" s="1" t="s">
        <v>130</v>
      </c>
      <c r="J1643" s="1" t="s">
        <v>1853</v>
      </c>
      <c r="K1643" s="19" t="s">
        <v>26</v>
      </c>
      <c r="L1643" s="20" t="s">
        <v>76</v>
      </c>
      <c r="M1643" s="21">
        <f t="shared" si="1"/>
        <v>5</v>
      </c>
      <c r="N1643" s="2">
        <v>31.1328</v>
      </c>
      <c r="O1643" s="2">
        <v>12.0</v>
      </c>
      <c r="P1643" s="2">
        <v>45.12</v>
      </c>
      <c r="Q1643" s="2">
        <v>87630.0</v>
      </c>
      <c r="R1643" s="15" t="b">
        <f>ISNUMBER(MATCH(Q1643,'Returned order'!A:A,0))</f>
        <v>0</v>
      </c>
      <c r="S1643" s="22">
        <v>42055.0</v>
      </c>
      <c r="T1643" s="15"/>
      <c r="U1643" s="15"/>
      <c r="V1643" s="15"/>
    </row>
    <row r="1644">
      <c r="A1644" s="2">
        <v>25720.0</v>
      </c>
      <c r="B1644" s="1" t="s">
        <v>28</v>
      </c>
      <c r="C1644" s="2">
        <v>0.02</v>
      </c>
      <c r="D1644" s="2">
        <v>10.68</v>
      </c>
      <c r="E1644" s="2">
        <v>2886.0</v>
      </c>
      <c r="F1644" s="1" t="s">
        <v>1859</v>
      </c>
      <c r="G1644" s="1" t="s">
        <v>22</v>
      </c>
      <c r="H1644" s="1" t="s">
        <v>37</v>
      </c>
      <c r="I1644" s="1" t="s">
        <v>42</v>
      </c>
      <c r="J1644" s="1" t="s">
        <v>1854</v>
      </c>
      <c r="K1644" s="19" t="s">
        <v>26</v>
      </c>
      <c r="L1644" s="20" t="s">
        <v>76</v>
      </c>
      <c r="M1644" s="21">
        <f t="shared" si="1"/>
        <v>5</v>
      </c>
      <c r="N1644" s="2">
        <v>-231.05</v>
      </c>
      <c r="O1644" s="2">
        <v>8.0</v>
      </c>
      <c r="P1644" s="2">
        <v>90.45</v>
      </c>
      <c r="Q1644" s="2">
        <v>87630.0</v>
      </c>
      <c r="R1644" s="15" t="b">
        <f>ISNUMBER(MATCH(Q1644,'Returned order'!A:A,0))</f>
        <v>0</v>
      </c>
      <c r="S1644" s="22">
        <v>42055.0</v>
      </c>
      <c r="T1644" s="15"/>
      <c r="U1644" s="15"/>
      <c r="V1644" s="15"/>
    </row>
    <row r="1645">
      <c r="A1645" s="2">
        <v>21514.0</v>
      </c>
      <c r="B1645" s="1" t="s">
        <v>28</v>
      </c>
      <c r="C1645" s="2">
        <v>0.1</v>
      </c>
      <c r="D1645" s="2">
        <v>209.37</v>
      </c>
      <c r="E1645" s="2">
        <v>2892.0</v>
      </c>
      <c r="F1645" s="1" t="s">
        <v>1860</v>
      </c>
      <c r="G1645" s="1" t="s">
        <v>22</v>
      </c>
      <c r="H1645" s="1" t="s">
        <v>37</v>
      </c>
      <c r="I1645" s="1" t="s">
        <v>73</v>
      </c>
      <c r="J1645" s="1" t="s">
        <v>164</v>
      </c>
      <c r="K1645" s="19" t="s">
        <v>68</v>
      </c>
      <c r="L1645" s="20" t="s">
        <v>27</v>
      </c>
      <c r="M1645" s="21">
        <f t="shared" si="1"/>
        <v>1</v>
      </c>
      <c r="N1645" s="2">
        <v>-165.5949204</v>
      </c>
      <c r="O1645" s="2">
        <v>11.0</v>
      </c>
      <c r="P1645" s="2">
        <v>2125.12</v>
      </c>
      <c r="Q1645" s="2">
        <v>90011.0</v>
      </c>
      <c r="R1645" s="15" t="b">
        <f>ISNUMBER(MATCH(Q1645,'Returned order'!A:A,0))</f>
        <v>0</v>
      </c>
      <c r="S1645" s="22">
        <v>42058.0</v>
      </c>
      <c r="T1645" s="15"/>
      <c r="U1645" s="15"/>
      <c r="V1645" s="15"/>
    </row>
    <row r="1646">
      <c r="A1646" s="2">
        <v>21515.0</v>
      </c>
      <c r="B1646" s="1" t="s">
        <v>28</v>
      </c>
      <c r="C1646" s="2">
        <v>0.07</v>
      </c>
      <c r="D1646" s="2">
        <v>4.98</v>
      </c>
      <c r="E1646" s="2">
        <v>2893.0</v>
      </c>
      <c r="F1646" s="1" t="s">
        <v>1861</v>
      </c>
      <c r="G1646" s="1" t="s">
        <v>22</v>
      </c>
      <c r="H1646" s="1" t="s">
        <v>23</v>
      </c>
      <c r="I1646" s="1" t="s">
        <v>93</v>
      </c>
      <c r="J1646" s="1" t="s">
        <v>1245</v>
      </c>
      <c r="K1646" s="19" t="s">
        <v>68</v>
      </c>
      <c r="L1646" s="20" t="s">
        <v>27</v>
      </c>
      <c r="M1646" s="21">
        <f t="shared" si="1"/>
        <v>1</v>
      </c>
      <c r="N1646" s="2">
        <v>-21.684</v>
      </c>
      <c r="O1646" s="2">
        <v>9.0</v>
      </c>
      <c r="P1646" s="2">
        <v>45.05</v>
      </c>
      <c r="Q1646" s="2">
        <v>90011.0</v>
      </c>
      <c r="R1646" s="15" t="b">
        <f>ISNUMBER(MATCH(Q1646,'Returned order'!A:A,0))</f>
        <v>0</v>
      </c>
      <c r="S1646" s="22">
        <v>42058.0</v>
      </c>
      <c r="T1646" s="15"/>
      <c r="U1646" s="15"/>
      <c r="V1646" s="15"/>
    </row>
    <row r="1647">
      <c r="A1647" s="2">
        <v>19909.0</v>
      </c>
      <c r="B1647" s="1" t="s">
        <v>170</v>
      </c>
      <c r="C1647" s="2">
        <v>0.02</v>
      </c>
      <c r="D1647" s="2">
        <v>880.98</v>
      </c>
      <c r="E1647" s="2">
        <v>2896.0</v>
      </c>
      <c r="F1647" s="1" t="s">
        <v>1862</v>
      </c>
      <c r="G1647" s="1" t="s">
        <v>51</v>
      </c>
      <c r="H1647" s="1" t="s">
        <v>37</v>
      </c>
      <c r="I1647" s="1" t="s">
        <v>55</v>
      </c>
      <c r="J1647" s="1" t="s">
        <v>633</v>
      </c>
      <c r="K1647" s="19" t="s">
        <v>68</v>
      </c>
      <c r="L1647" s="20" t="s">
        <v>70</v>
      </c>
      <c r="M1647" s="21">
        <f t="shared" si="1"/>
        <v>4</v>
      </c>
      <c r="N1647" s="2">
        <v>4861.0638</v>
      </c>
      <c r="O1647" s="2">
        <v>8.0</v>
      </c>
      <c r="P1647" s="2">
        <v>7045.02</v>
      </c>
      <c r="Q1647" s="2">
        <v>86925.0</v>
      </c>
      <c r="R1647" s="15" t="b">
        <f>ISNUMBER(MATCH(Q1647,'Returned order'!A:A,0))</f>
        <v>0</v>
      </c>
      <c r="S1647" s="22">
        <v>42026.0</v>
      </c>
      <c r="T1647" s="15"/>
      <c r="U1647" s="15"/>
      <c r="V1647" s="15"/>
    </row>
    <row r="1648">
      <c r="A1648" s="2">
        <v>18198.0</v>
      </c>
      <c r="B1648" s="1" t="s">
        <v>58</v>
      </c>
      <c r="C1648" s="2">
        <v>0.0</v>
      </c>
      <c r="D1648" s="2">
        <v>22.84</v>
      </c>
      <c r="E1648" s="2">
        <v>2896.0</v>
      </c>
      <c r="F1648" s="1" t="s">
        <v>1862</v>
      </c>
      <c r="G1648" s="1" t="s">
        <v>51</v>
      </c>
      <c r="H1648" s="1" t="s">
        <v>23</v>
      </c>
      <c r="I1648" s="1" t="s">
        <v>93</v>
      </c>
      <c r="J1648" s="1" t="s">
        <v>1863</v>
      </c>
      <c r="K1648" s="19" t="s">
        <v>68</v>
      </c>
      <c r="L1648" s="20" t="s">
        <v>70</v>
      </c>
      <c r="M1648" s="21">
        <f t="shared" si="1"/>
        <v>4</v>
      </c>
      <c r="N1648" s="2">
        <v>-83.75</v>
      </c>
      <c r="O1648" s="2">
        <v>15.0</v>
      </c>
      <c r="P1648" s="2">
        <v>370.62</v>
      </c>
      <c r="Q1648" s="2">
        <v>86927.0</v>
      </c>
      <c r="R1648" s="15" t="b">
        <f>ISNUMBER(MATCH(Q1648,'Returned order'!A:A,0))</f>
        <v>0</v>
      </c>
      <c r="S1648" s="22">
        <v>42075.0</v>
      </c>
      <c r="T1648" s="15"/>
      <c r="U1648" s="15"/>
      <c r="V1648" s="15"/>
    </row>
    <row r="1649">
      <c r="A1649" s="2">
        <v>20304.0</v>
      </c>
      <c r="B1649" s="1" t="s">
        <v>28</v>
      </c>
      <c r="C1649" s="2">
        <v>0.05</v>
      </c>
      <c r="D1649" s="2">
        <v>80.97</v>
      </c>
      <c r="E1649" s="2">
        <v>2897.0</v>
      </c>
      <c r="F1649" s="1" t="s">
        <v>1864</v>
      </c>
      <c r="G1649" s="1" t="s">
        <v>51</v>
      </c>
      <c r="H1649" s="1" t="s">
        <v>46</v>
      </c>
      <c r="I1649" s="1" t="s">
        <v>103</v>
      </c>
      <c r="J1649" s="1" t="s">
        <v>377</v>
      </c>
      <c r="K1649" s="19" t="s">
        <v>68</v>
      </c>
      <c r="L1649" s="20" t="s">
        <v>76</v>
      </c>
      <c r="M1649" s="21">
        <f t="shared" si="1"/>
        <v>5</v>
      </c>
      <c r="N1649" s="2">
        <v>565.18</v>
      </c>
      <c r="O1649" s="2">
        <v>11.0</v>
      </c>
      <c r="P1649" s="2">
        <v>904.25</v>
      </c>
      <c r="Q1649" s="2">
        <v>86926.0</v>
      </c>
      <c r="R1649" s="15" t="b">
        <f>ISNUMBER(MATCH(Q1649,'Returned order'!A:A,0))</f>
        <v>0</v>
      </c>
      <c r="S1649" s="22">
        <v>42048.0</v>
      </c>
      <c r="T1649" s="15"/>
      <c r="U1649" s="15"/>
      <c r="V1649" s="15"/>
    </row>
    <row r="1650">
      <c r="A1650" s="2">
        <v>20305.0</v>
      </c>
      <c r="B1650" s="1" t="s">
        <v>28</v>
      </c>
      <c r="C1650" s="2">
        <v>0.0</v>
      </c>
      <c r="D1650" s="2">
        <v>6.48</v>
      </c>
      <c r="E1650" s="2">
        <v>2897.0</v>
      </c>
      <c r="F1650" s="1" t="s">
        <v>1864</v>
      </c>
      <c r="G1650" s="1" t="s">
        <v>51</v>
      </c>
      <c r="H1650" s="1" t="s">
        <v>23</v>
      </c>
      <c r="I1650" s="1" t="s">
        <v>93</v>
      </c>
      <c r="J1650" s="1" t="s">
        <v>1865</v>
      </c>
      <c r="K1650" s="19" t="s">
        <v>68</v>
      </c>
      <c r="L1650" s="20" t="s">
        <v>76</v>
      </c>
      <c r="M1650" s="21">
        <f t="shared" si="1"/>
        <v>5</v>
      </c>
      <c r="N1650" s="2">
        <v>-38.72</v>
      </c>
      <c r="O1650" s="2">
        <v>2.0</v>
      </c>
      <c r="P1650" s="2">
        <v>16.31</v>
      </c>
      <c r="Q1650" s="2">
        <v>86926.0</v>
      </c>
      <c r="R1650" s="15" t="b">
        <f>ISNUMBER(MATCH(Q1650,'Returned order'!A:A,0))</f>
        <v>0</v>
      </c>
      <c r="S1650" s="22">
        <v>42048.0</v>
      </c>
      <c r="T1650" s="15"/>
      <c r="U1650" s="15"/>
      <c r="V1650" s="15"/>
    </row>
    <row r="1651">
      <c r="A1651" s="2">
        <v>23151.0</v>
      </c>
      <c r="B1651" s="1" t="s">
        <v>49</v>
      </c>
      <c r="C1651" s="2">
        <v>0.06</v>
      </c>
      <c r="D1651" s="2">
        <v>70.89</v>
      </c>
      <c r="E1651" s="2">
        <v>2903.0</v>
      </c>
      <c r="F1651" s="1" t="s">
        <v>1866</v>
      </c>
      <c r="G1651" s="1" t="s">
        <v>66</v>
      </c>
      <c r="H1651" s="1" t="s">
        <v>37</v>
      </c>
      <c r="I1651" s="1" t="s">
        <v>73</v>
      </c>
      <c r="J1651" s="1" t="s">
        <v>1867</v>
      </c>
      <c r="K1651" s="19" t="s">
        <v>26</v>
      </c>
      <c r="L1651" s="20" t="s">
        <v>70</v>
      </c>
      <c r="M1651" s="21">
        <f t="shared" si="1"/>
        <v>4</v>
      </c>
      <c r="N1651" s="2">
        <v>65.07702</v>
      </c>
      <c r="O1651" s="2">
        <v>6.0</v>
      </c>
      <c r="P1651" s="2">
        <v>364.26</v>
      </c>
      <c r="Q1651" s="2">
        <v>87374.0</v>
      </c>
      <c r="R1651" s="15" t="b">
        <f>ISNUMBER(MATCH(Q1651,'Returned order'!A:A,0))</f>
        <v>0</v>
      </c>
      <c r="S1651" s="22">
        <v>42180.0</v>
      </c>
      <c r="T1651" s="15"/>
      <c r="U1651" s="15"/>
      <c r="V1651" s="15"/>
    </row>
    <row r="1652">
      <c r="A1652" s="2">
        <v>18611.0</v>
      </c>
      <c r="B1652" s="1" t="s">
        <v>28</v>
      </c>
      <c r="C1652" s="2">
        <v>0.07</v>
      </c>
      <c r="D1652" s="2">
        <v>4.13</v>
      </c>
      <c r="E1652" s="2">
        <v>2908.0</v>
      </c>
      <c r="F1652" s="1" t="s">
        <v>1868</v>
      </c>
      <c r="G1652" s="1" t="s">
        <v>51</v>
      </c>
      <c r="H1652" s="1" t="s">
        <v>23</v>
      </c>
      <c r="I1652" s="1" t="s">
        <v>130</v>
      </c>
      <c r="J1652" s="1" t="s">
        <v>1073</v>
      </c>
      <c r="K1652" s="19" t="s">
        <v>26</v>
      </c>
      <c r="L1652" s="20" t="s">
        <v>70</v>
      </c>
      <c r="M1652" s="21">
        <f t="shared" si="1"/>
        <v>4</v>
      </c>
      <c r="N1652" s="2">
        <v>10.9592</v>
      </c>
      <c r="O1652" s="2">
        <v>4.0</v>
      </c>
      <c r="P1652" s="2">
        <v>16.07</v>
      </c>
      <c r="Q1652" s="2">
        <v>88156.0</v>
      </c>
      <c r="R1652" s="15" t="b">
        <f>ISNUMBER(MATCH(Q1652,'Returned order'!A:A,0))</f>
        <v>0</v>
      </c>
      <c r="S1652" s="22">
        <v>42012.0</v>
      </c>
      <c r="T1652" s="15"/>
      <c r="U1652" s="15"/>
      <c r="V1652" s="15"/>
    </row>
    <row r="1653">
      <c r="A1653" s="2">
        <v>18612.0</v>
      </c>
      <c r="B1653" s="1" t="s">
        <v>28</v>
      </c>
      <c r="C1653" s="2">
        <v>0.03</v>
      </c>
      <c r="D1653" s="2">
        <v>22.72</v>
      </c>
      <c r="E1653" s="2">
        <v>2908.0</v>
      </c>
      <c r="F1653" s="1" t="s">
        <v>1868</v>
      </c>
      <c r="G1653" s="1" t="s">
        <v>51</v>
      </c>
      <c r="H1653" s="1" t="s">
        <v>37</v>
      </c>
      <c r="I1653" s="1" t="s">
        <v>42</v>
      </c>
      <c r="J1653" s="1" t="s">
        <v>640</v>
      </c>
      <c r="K1653" s="19" t="s">
        <v>26</v>
      </c>
      <c r="L1653" s="20" t="s">
        <v>70</v>
      </c>
      <c r="M1653" s="21">
        <f t="shared" si="1"/>
        <v>4</v>
      </c>
      <c r="N1653" s="2">
        <v>17.4294</v>
      </c>
      <c r="O1653" s="2">
        <v>1.0</v>
      </c>
      <c r="P1653" s="2">
        <v>25.26</v>
      </c>
      <c r="Q1653" s="2">
        <v>88156.0</v>
      </c>
      <c r="R1653" s="15" t="b">
        <f>ISNUMBER(MATCH(Q1653,'Returned order'!A:A,0))</f>
        <v>0</v>
      </c>
      <c r="S1653" s="22">
        <v>42012.0</v>
      </c>
      <c r="T1653" s="15"/>
      <c r="U1653" s="15"/>
      <c r="V1653" s="15"/>
    </row>
    <row r="1654">
      <c r="A1654" s="2">
        <v>20827.0</v>
      </c>
      <c r="B1654" s="1" t="s">
        <v>49</v>
      </c>
      <c r="C1654" s="2">
        <v>0.05</v>
      </c>
      <c r="D1654" s="2">
        <v>34.98</v>
      </c>
      <c r="E1654" s="2">
        <v>2908.0</v>
      </c>
      <c r="F1654" s="1" t="s">
        <v>1868</v>
      </c>
      <c r="G1654" s="1" t="s">
        <v>51</v>
      </c>
      <c r="H1654" s="1" t="s">
        <v>46</v>
      </c>
      <c r="I1654" s="1" t="s">
        <v>47</v>
      </c>
      <c r="J1654" s="1" t="s">
        <v>460</v>
      </c>
      <c r="K1654" s="19" t="s">
        <v>26</v>
      </c>
      <c r="L1654" s="20" t="s">
        <v>53</v>
      </c>
      <c r="M1654" s="21">
        <f t="shared" si="1"/>
        <v>6</v>
      </c>
      <c r="N1654" s="2">
        <v>-32.6664</v>
      </c>
      <c r="O1654" s="2">
        <v>16.0</v>
      </c>
      <c r="P1654" s="2">
        <v>581.08</v>
      </c>
      <c r="Q1654" s="2">
        <v>88157.0</v>
      </c>
      <c r="R1654" s="15" t="b">
        <f>ISNUMBER(MATCH(Q1654,'Returned order'!A:A,0))</f>
        <v>0</v>
      </c>
      <c r="S1654" s="22">
        <v>42063.0</v>
      </c>
      <c r="T1654" s="15"/>
      <c r="U1654" s="15"/>
      <c r="V1654" s="15"/>
    </row>
    <row r="1655">
      <c r="A1655" s="2">
        <v>20828.0</v>
      </c>
      <c r="B1655" s="1" t="s">
        <v>49</v>
      </c>
      <c r="C1655" s="2">
        <v>0.0</v>
      </c>
      <c r="D1655" s="2">
        <v>3.14</v>
      </c>
      <c r="E1655" s="2">
        <v>2908.0</v>
      </c>
      <c r="F1655" s="1" t="s">
        <v>1868</v>
      </c>
      <c r="G1655" s="1" t="s">
        <v>51</v>
      </c>
      <c r="H1655" s="1" t="s">
        <v>23</v>
      </c>
      <c r="I1655" s="1" t="s">
        <v>257</v>
      </c>
      <c r="J1655" s="1" t="s">
        <v>1869</v>
      </c>
      <c r="K1655" s="19" t="s">
        <v>26</v>
      </c>
      <c r="L1655" s="20" t="s">
        <v>53</v>
      </c>
      <c r="M1655" s="21">
        <f t="shared" si="1"/>
        <v>6</v>
      </c>
      <c r="N1655" s="2">
        <v>-13.1352</v>
      </c>
      <c r="O1655" s="2">
        <v>8.0</v>
      </c>
      <c r="P1655" s="2">
        <v>27.53</v>
      </c>
      <c r="Q1655" s="2">
        <v>88157.0</v>
      </c>
      <c r="R1655" s="15" t="b">
        <f>ISNUMBER(MATCH(Q1655,'Returned order'!A:A,0))</f>
        <v>0</v>
      </c>
      <c r="S1655" s="22">
        <v>42063.0</v>
      </c>
      <c r="T1655" s="15"/>
      <c r="U1655" s="15"/>
      <c r="V1655" s="15"/>
    </row>
    <row r="1656">
      <c r="A1656" s="2">
        <v>21290.0</v>
      </c>
      <c r="B1656" s="1" t="s">
        <v>28</v>
      </c>
      <c r="C1656" s="2">
        <v>0.04</v>
      </c>
      <c r="D1656" s="2">
        <v>4.13</v>
      </c>
      <c r="E1656" s="2">
        <v>2912.0</v>
      </c>
      <c r="F1656" s="1" t="s">
        <v>1870</v>
      </c>
      <c r="G1656" s="1" t="s">
        <v>51</v>
      </c>
      <c r="H1656" s="1" t="s">
        <v>23</v>
      </c>
      <c r="I1656" s="1" t="s">
        <v>130</v>
      </c>
      <c r="J1656" s="1" t="s">
        <v>1073</v>
      </c>
      <c r="K1656" s="19" t="s">
        <v>68</v>
      </c>
      <c r="L1656" s="20" t="s">
        <v>57</v>
      </c>
      <c r="M1656" s="21">
        <f t="shared" si="1"/>
        <v>2</v>
      </c>
      <c r="N1656" s="2">
        <v>22.3077</v>
      </c>
      <c r="O1656" s="2">
        <v>7.0</v>
      </c>
      <c r="P1656" s="2">
        <v>32.33</v>
      </c>
      <c r="Q1656" s="2">
        <v>87396.0</v>
      </c>
      <c r="R1656" s="15" t="b">
        <f>ISNUMBER(MATCH(Q1656,'Returned order'!A:A,0))</f>
        <v>0</v>
      </c>
      <c r="S1656" s="22">
        <v>42122.0</v>
      </c>
      <c r="T1656" s="15"/>
      <c r="U1656" s="15"/>
      <c r="V1656" s="15"/>
    </row>
    <row r="1657">
      <c r="A1657" s="2">
        <v>21291.0</v>
      </c>
      <c r="B1657" s="1" t="s">
        <v>28</v>
      </c>
      <c r="C1657" s="2">
        <v>0.06</v>
      </c>
      <c r="D1657" s="2">
        <v>55.48</v>
      </c>
      <c r="E1657" s="2">
        <v>2912.0</v>
      </c>
      <c r="F1657" s="1" t="s">
        <v>1870</v>
      </c>
      <c r="G1657" s="1" t="s">
        <v>51</v>
      </c>
      <c r="H1657" s="1" t="s">
        <v>23</v>
      </c>
      <c r="I1657" s="1" t="s">
        <v>93</v>
      </c>
      <c r="J1657" s="1" t="s">
        <v>137</v>
      </c>
      <c r="K1657" s="19" t="s">
        <v>68</v>
      </c>
      <c r="L1657" s="20" t="s">
        <v>57</v>
      </c>
      <c r="M1657" s="21">
        <f t="shared" si="1"/>
        <v>2</v>
      </c>
      <c r="N1657" s="2">
        <v>443.0214</v>
      </c>
      <c r="O1657" s="2">
        <v>12.0</v>
      </c>
      <c r="P1657" s="2">
        <v>642.06</v>
      </c>
      <c r="Q1657" s="2">
        <v>87396.0</v>
      </c>
      <c r="R1657" s="15" t="b">
        <f>ISNUMBER(MATCH(Q1657,'Returned order'!A:A,0))</f>
        <v>0</v>
      </c>
      <c r="S1657" s="22">
        <v>42122.0</v>
      </c>
      <c r="T1657" s="15"/>
      <c r="U1657" s="15"/>
      <c r="V1657" s="15"/>
    </row>
    <row r="1658">
      <c r="A1658" s="2">
        <v>8310.0</v>
      </c>
      <c r="B1658" s="1" t="s">
        <v>63</v>
      </c>
      <c r="C1658" s="2">
        <v>0.05</v>
      </c>
      <c r="D1658" s="2">
        <v>535.64</v>
      </c>
      <c r="E1658" s="2">
        <v>2920.0</v>
      </c>
      <c r="F1658" s="1" t="s">
        <v>1871</v>
      </c>
      <c r="G1658" s="1" t="s">
        <v>51</v>
      </c>
      <c r="H1658" s="1" t="s">
        <v>46</v>
      </c>
      <c r="I1658" s="1" t="s">
        <v>103</v>
      </c>
      <c r="J1658" s="1" t="s">
        <v>1349</v>
      </c>
      <c r="K1658" s="19" t="s">
        <v>68</v>
      </c>
      <c r="L1658" s="20" t="s">
        <v>61</v>
      </c>
      <c r="M1658" s="21">
        <f t="shared" si="1"/>
        <v>7</v>
      </c>
      <c r="N1658" s="2">
        <v>-1220.9145</v>
      </c>
      <c r="O1658" s="2">
        <v>2.0</v>
      </c>
      <c r="P1658" s="2">
        <v>1068.6</v>
      </c>
      <c r="Q1658" s="2">
        <v>59365.0</v>
      </c>
      <c r="R1658" s="15" t="b">
        <f>ISNUMBER(MATCH(Q1658,'Returned order'!A:A,0))</f>
        <v>0</v>
      </c>
      <c r="S1658" s="22">
        <v>42162.0</v>
      </c>
      <c r="T1658" s="15"/>
      <c r="U1658" s="15"/>
      <c r="V1658" s="15"/>
    </row>
    <row r="1659">
      <c r="A1659" s="2">
        <v>18166.0</v>
      </c>
      <c r="B1659" s="1" t="s">
        <v>63</v>
      </c>
      <c r="C1659" s="2">
        <v>0.0</v>
      </c>
      <c r="D1659" s="2">
        <v>6.37</v>
      </c>
      <c r="E1659" s="2">
        <v>2923.0</v>
      </c>
      <c r="F1659" s="1" t="s">
        <v>1872</v>
      </c>
      <c r="G1659" s="1" t="s">
        <v>22</v>
      </c>
      <c r="H1659" s="1" t="s">
        <v>23</v>
      </c>
      <c r="I1659" s="1" t="s">
        <v>24</v>
      </c>
      <c r="J1659" s="1" t="s">
        <v>533</v>
      </c>
      <c r="K1659" s="19" t="s">
        <v>26</v>
      </c>
      <c r="L1659" s="20" t="s">
        <v>53</v>
      </c>
      <c r="M1659" s="21">
        <f t="shared" si="1"/>
        <v>6</v>
      </c>
      <c r="N1659" s="2">
        <v>-27.1492</v>
      </c>
      <c r="O1659" s="2">
        <v>15.0</v>
      </c>
      <c r="P1659" s="2">
        <v>99.75</v>
      </c>
      <c r="Q1659" s="2">
        <v>86592.0</v>
      </c>
      <c r="R1659" s="15" t="b">
        <f>ISNUMBER(MATCH(Q1659,'Returned order'!A:A,0))</f>
        <v>0</v>
      </c>
      <c r="S1659" s="22">
        <v>42063.0</v>
      </c>
      <c r="T1659" s="15"/>
      <c r="U1659" s="15"/>
      <c r="V1659" s="15"/>
    </row>
    <row r="1660">
      <c r="A1660" s="2">
        <v>18345.0</v>
      </c>
      <c r="B1660" s="1" t="s">
        <v>58</v>
      </c>
      <c r="C1660" s="2">
        <v>0.02</v>
      </c>
      <c r="D1660" s="2">
        <v>110.98</v>
      </c>
      <c r="E1660" s="2">
        <v>2924.0</v>
      </c>
      <c r="F1660" s="1" t="s">
        <v>1873</v>
      </c>
      <c r="G1660" s="1" t="s">
        <v>22</v>
      </c>
      <c r="H1660" s="1" t="s">
        <v>37</v>
      </c>
      <c r="I1660" s="1" t="s">
        <v>42</v>
      </c>
      <c r="J1660" s="1" t="s">
        <v>1378</v>
      </c>
      <c r="K1660" s="19" t="s">
        <v>26</v>
      </c>
      <c r="L1660" s="20" t="s">
        <v>76</v>
      </c>
      <c r="M1660" s="21">
        <f t="shared" si="1"/>
        <v>5</v>
      </c>
      <c r="N1660" s="2">
        <v>-106.3424</v>
      </c>
      <c r="O1660" s="2">
        <v>2.0</v>
      </c>
      <c r="P1660" s="2">
        <v>226.53</v>
      </c>
      <c r="Q1660" s="2">
        <v>86591.0</v>
      </c>
      <c r="R1660" s="15" t="b">
        <f>ISNUMBER(MATCH(Q1660,'Returned order'!A:A,0))</f>
        <v>0</v>
      </c>
      <c r="S1660" s="22">
        <v>42020.0</v>
      </c>
      <c r="T1660" s="15"/>
      <c r="U1660" s="15"/>
      <c r="V1660" s="15"/>
    </row>
    <row r="1661">
      <c r="A1661" s="2">
        <v>18346.0</v>
      </c>
      <c r="B1661" s="1" t="s">
        <v>58</v>
      </c>
      <c r="C1661" s="2">
        <v>0.01</v>
      </c>
      <c r="D1661" s="2">
        <v>8.01</v>
      </c>
      <c r="E1661" s="2">
        <v>2924.0</v>
      </c>
      <c r="F1661" s="1" t="s">
        <v>1873</v>
      </c>
      <c r="G1661" s="1" t="s">
        <v>22</v>
      </c>
      <c r="H1661" s="1" t="s">
        <v>23</v>
      </c>
      <c r="I1661" s="1" t="s">
        <v>93</v>
      </c>
      <c r="J1661" s="1" t="s">
        <v>1874</v>
      </c>
      <c r="K1661" s="19" t="s">
        <v>26</v>
      </c>
      <c r="L1661" s="20" t="s">
        <v>76</v>
      </c>
      <c r="M1661" s="21">
        <f t="shared" si="1"/>
        <v>5</v>
      </c>
      <c r="N1661" s="2">
        <v>44.9768</v>
      </c>
      <c r="O1661" s="2">
        <v>8.0</v>
      </c>
      <c r="P1661" s="2">
        <v>68.65</v>
      </c>
      <c r="Q1661" s="2">
        <v>86591.0</v>
      </c>
      <c r="R1661" s="15" t="b">
        <f>ISNUMBER(MATCH(Q1661,'Returned order'!A:A,0))</f>
        <v>0</v>
      </c>
      <c r="S1661" s="22">
        <v>42020.0</v>
      </c>
      <c r="T1661" s="15"/>
      <c r="U1661" s="15"/>
      <c r="V1661" s="15"/>
    </row>
    <row r="1662">
      <c r="A1662" s="2">
        <v>25817.0</v>
      </c>
      <c r="B1662" s="1" t="s">
        <v>58</v>
      </c>
      <c r="C1662" s="2">
        <v>0.02</v>
      </c>
      <c r="D1662" s="2">
        <v>5.58</v>
      </c>
      <c r="E1662" s="2">
        <v>2928.0</v>
      </c>
      <c r="F1662" s="1" t="s">
        <v>1875</v>
      </c>
      <c r="G1662" s="1" t="s">
        <v>22</v>
      </c>
      <c r="H1662" s="1" t="s">
        <v>23</v>
      </c>
      <c r="I1662" s="1" t="s">
        <v>24</v>
      </c>
      <c r="J1662" s="1" t="s">
        <v>1876</v>
      </c>
      <c r="K1662" s="19" t="s">
        <v>229</v>
      </c>
      <c r="L1662" s="20" t="s">
        <v>57</v>
      </c>
      <c r="M1662" s="21">
        <f t="shared" si="1"/>
        <v>2</v>
      </c>
      <c r="N1662" s="2">
        <v>689.328</v>
      </c>
      <c r="O1662" s="2">
        <v>42.0</v>
      </c>
      <c r="P1662" s="2">
        <v>236.83</v>
      </c>
      <c r="Q1662" s="2">
        <v>90218.0</v>
      </c>
      <c r="R1662" s="15" t="b">
        <f>ISNUMBER(MATCH(Q1662,'Returned order'!A:A,0))</f>
        <v>0</v>
      </c>
      <c r="S1662" s="22">
        <v>42150.0</v>
      </c>
      <c r="T1662" s="15"/>
      <c r="U1662" s="15"/>
      <c r="V1662" s="15"/>
    </row>
    <row r="1663">
      <c r="A1663" s="2">
        <v>25819.0</v>
      </c>
      <c r="B1663" s="1" t="s">
        <v>58</v>
      </c>
      <c r="C1663" s="2">
        <v>0.02</v>
      </c>
      <c r="D1663" s="2">
        <v>54.1</v>
      </c>
      <c r="E1663" s="2">
        <v>2928.0</v>
      </c>
      <c r="F1663" s="1" t="s">
        <v>1875</v>
      </c>
      <c r="G1663" s="1" t="s">
        <v>22</v>
      </c>
      <c r="H1663" s="1" t="s">
        <v>23</v>
      </c>
      <c r="I1663" s="1" t="s">
        <v>120</v>
      </c>
      <c r="J1663" s="1" t="s">
        <v>1565</v>
      </c>
      <c r="K1663" s="19" t="s">
        <v>229</v>
      </c>
      <c r="L1663" s="20" t="s">
        <v>57</v>
      </c>
      <c r="M1663" s="21">
        <f t="shared" si="1"/>
        <v>2</v>
      </c>
      <c r="N1663" s="2">
        <v>-33.586</v>
      </c>
      <c r="O1663" s="2">
        <v>36.0</v>
      </c>
      <c r="P1663" s="2">
        <v>1944.87</v>
      </c>
      <c r="Q1663" s="2">
        <v>90218.0</v>
      </c>
      <c r="R1663" s="15" t="b">
        <f>ISNUMBER(MATCH(Q1663,'Returned order'!A:A,0))</f>
        <v>0</v>
      </c>
      <c r="S1663" s="22">
        <v>42150.0</v>
      </c>
      <c r="T1663" s="15"/>
      <c r="U1663" s="15"/>
      <c r="V1663" s="15"/>
    </row>
    <row r="1664">
      <c r="A1664" s="2">
        <v>21313.0</v>
      </c>
      <c r="B1664" s="1" t="s">
        <v>49</v>
      </c>
      <c r="C1664" s="2">
        <v>0.1</v>
      </c>
      <c r="D1664" s="2">
        <v>11.55</v>
      </c>
      <c r="E1664" s="2">
        <v>2931.0</v>
      </c>
      <c r="F1664" s="1" t="s">
        <v>1877</v>
      </c>
      <c r="G1664" s="1" t="s">
        <v>66</v>
      </c>
      <c r="H1664" s="1" t="s">
        <v>23</v>
      </c>
      <c r="I1664" s="1" t="s">
        <v>29</v>
      </c>
      <c r="J1664" s="1" t="s">
        <v>330</v>
      </c>
      <c r="K1664" s="19" t="s">
        <v>34</v>
      </c>
      <c r="L1664" s="20" t="s">
        <v>53</v>
      </c>
      <c r="M1664" s="21">
        <f t="shared" si="1"/>
        <v>6</v>
      </c>
      <c r="N1664" s="2">
        <v>69.7672</v>
      </c>
      <c r="O1664" s="2">
        <v>12.0</v>
      </c>
      <c r="P1664" s="2">
        <v>135.77</v>
      </c>
      <c r="Q1664" s="2">
        <v>87619.0</v>
      </c>
      <c r="R1664" s="15" t="b">
        <f>ISNUMBER(MATCH(Q1664,'Returned order'!A:A,0))</f>
        <v>0</v>
      </c>
      <c r="S1664" s="22">
        <v>42063.0</v>
      </c>
      <c r="T1664" s="15"/>
      <c r="U1664" s="15"/>
      <c r="V1664" s="15"/>
    </row>
    <row r="1665">
      <c r="A1665" s="2">
        <v>24866.0</v>
      </c>
      <c r="B1665" s="1" t="s">
        <v>28</v>
      </c>
      <c r="C1665" s="2">
        <v>0.01</v>
      </c>
      <c r="D1665" s="2">
        <v>35.44</v>
      </c>
      <c r="E1665" s="2">
        <v>2932.0</v>
      </c>
      <c r="F1665" s="1" t="s">
        <v>1878</v>
      </c>
      <c r="G1665" s="1" t="s">
        <v>66</v>
      </c>
      <c r="H1665" s="1" t="s">
        <v>23</v>
      </c>
      <c r="I1665" s="1" t="s">
        <v>93</v>
      </c>
      <c r="J1665" s="1" t="s">
        <v>1286</v>
      </c>
      <c r="K1665" s="19" t="s">
        <v>26</v>
      </c>
      <c r="L1665" s="20" t="s">
        <v>35</v>
      </c>
      <c r="M1665" s="21">
        <f t="shared" si="1"/>
        <v>3</v>
      </c>
      <c r="N1665" s="2">
        <v>-52.8228</v>
      </c>
      <c r="O1665" s="2">
        <v>1.0</v>
      </c>
      <c r="P1665" s="2">
        <v>55.43</v>
      </c>
      <c r="Q1665" s="2">
        <v>87620.0</v>
      </c>
      <c r="R1665" s="15" t="b">
        <f>ISNUMBER(MATCH(Q1665,'Returned order'!A:A,0))</f>
        <v>0</v>
      </c>
      <c r="S1665" s="22">
        <v>42116.0</v>
      </c>
      <c r="T1665" s="15"/>
      <c r="U1665" s="15"/>
      <c r="V1665" s="15"/>
    </row>
    <row r="1666">
      <c r="A1666" s="2">
        <v>24995.0</v>
      </c>
      <c r="B1666" s="1" t="s">
        <v>170</v>
      </c>
      <c r="C1666" s="2">
        <v>0.02</v>
      </c>
      <c r="D1666" s="2">
        <v>3.8</v>
      </c>
      <c r="E1666" s="2">
        <v>2935.0</v>
      </c>
      <c r="F1666" s="1" t="s">
        <v>219</v>
      </c>
      <c r="G1666" s="1" t="s">
        <v>66</v>
      </c>
      <c r="H1666" s="1" t="s">
        <v>23</v>
      </c>
      <c r="I1666" s="1" t="s">
        <v>24</v>
      </c>
      <c r="J1666" s="1" t="s">
        <v>25</v>
      </c>
      <c r="K1666" s="19" t="s">
        <v>26</v>
      </c>
      <c r="L1666" s="20" t="s">
        <v>27</v>
      </c>
      <c r="M1666" s="21">
        <f t="shared" si="1"/>
        <v>1</v>
      </c>
      <c r="N1666" s="2">
        <v>7.31</v>
      </c>
      <c r="O1666" s="2">
        <v>5.0</v>
      </c>
      <c r="P1666" s="2">
        <v>20.46</v>
      </c>
      <c r="Q1666" s="2">
        <v>87617.0</v>
      </c>
      <c r="R1666" s="15" t="b">
        <f>ISNUMBER(MATCH(Q1666,'Returned order'!A:A,0))</f>
        <v>0</v>
      </c>
      <c r="S1666" s="22">
        <v>42135.0</v>
      </c>
      <c r="T1666" s="15"/>
      <c r="U1666" s="15"/>
      <c r="V1666" s="15"/>
    </row>
    <row r="1667">
      <c r="A1667" s="2">
        <v>24865.0</v>
      </c>
      <c r="B1667" s="1" t="s">
        <v>28</v>
      </c>
      <c r="C1667" s="2">
        <v>0.03</v>
      </c>
      <c r="D1667" s="2">
        <v>47.9</v>
      </c>
      <c r="E1667" s="2">
        <v>2938.0</v>
      </c>
      <c r="F1667" s="1" t="s">
        <v>1879</v>
      </c>
      <c r="G1667" s="1" t="s">
        <v>66</v>
      </c>
      <c r="H1667" s="1" t="s">
        <v>23</v>
      </c>
      <c r="I1667" s="1" t="s">
        <v>93</v>
      </c>
      <c r="J1667" s="1" t="s">
        <v>1409</v>
      </c>
      <c r="K1667" s="19" t="s">
        <v>26</v>
      </c>
      <c r="L1667" s="20" t="s">
        <v>35</v>
      </c>
      <c r="M1667" s="21">
        <f t="shared" si="1"/>
        <v>3</v>
      </c>
      <c r="N1667" s="2">
        <v>642.9903</v>
      </c>
      <c r="O1667" s="2">
        <v>20.0</v>
      </c>
      <c r="P1667" s="2">
        <v>931.87</v>
      </c>
      <c r="Q1667" s="2">
        <v>87620.0</v>
      </c>
      <c r="R1667" s="15" t="b">
        <f>ISNUMBER(MATCH(Q1667,'Returned order'!A:A,0))</f>
        <v>0</v>
      </c>
      <c r="S1667" s="22">
        <v>42116.0</v>
      </c>
      <c r="T1667" s="15"/>
      <c r="U1667" s="15"/>
      <c r="V1667" s="15"/>
    </row>
    <row r="1668">
      <c r="A1668" s="2">
        <v>23567.0</v>
      </c>
      <c r="B1668" s="1" t="s">
        <v>58</v>
      </c>
      <c r="C1668" s="2">
        <v>0.05</v>
      </c>
      <c r="D1668" s="2">
        <v>2.62</v>
      </c>
      <c r="E1668" s="2">
        <v>2941.0</v>
      </c>
      <c r="F1668" s="1" t="s">
        <v>1880</v>
      </c>
      <c r="G1668" s="1" t="s">
        <v>66</v>
      </c>
      <c r="H1668" s="1" t="s">
        <v>23</v>
      </c>
      <c r="I1668" s="1" t="s">
        <v>81</v>
      </c>
      <c r="J1668" s="1" t="s">
        <v>1066</v>
      </c>
      <c r="K1668" s="19" t="s">
        <v>26</v>
      </c>
      <c r="L1668" s="20" t="s">
        <v>57</v>
      </c>
      <c r="M1668" s="21">
        <f t="shared" si="1"/>
        <v>2</v>
      </c>
      <c r="N1668" s="2">
        <v>12.71</v>
      </c>
      <c r="O1668" s="2">
        <v>8.0</v>
      </c>
      <c r="P1668" s="2">
        <v>21.41</v>
      </c>
      <c r="Q1668" s="2">
        <v>87618.0</v>
      </c>
      <c r="R1668" s="15" t="b">
        <f>ISNUMBER(MATCH(Q1668,'Returned order'!A:A,0))</f>
        <v>0</v>
      </c>
      <c r="S1668" s="22">
        <v>42150.0</v>
      </c>
      <c r="T1668" s="15"/>
      <c r="U1668" s="15"/>
      <c r="V1668" s="15"/>
    </row>
    <row r="1669">
      <c r="A1669" s="2">
        <v>19575.0</v>
      </c>
      <c r="B1669" s="1" t="s">
        <v>170</v>
      </c>
      <c r="C1669" s="2">
        <v>0.04</v>
      </c>
      <c r="D1669" s="2">
        <v>4.55</v>
      </c>
      <c r="E1669" s="2">
        <v>2944.0</v>
      </c>
      <c r="F1669" s="1" t="s">
        <v>1881</v>
      </c>
      <c r="G1669" s="1" t="s">
        <v>32</v>
      </c>
      <c r="H1669" s="1" t="s">
        <v>23</v>
      </c>
      <c r="I1669" s="1" t="s">
        <v>24</v>
      </c>
      <c r="J1669" s="1" t="s">
        <v>1087</v>
      </c>
      <c r="K1669" s="19" t="s">
        <v>68</v>
      </c>
      <c r="L1669" s="20" t="s">
        <v>70</v>
      </c>
      <c r="M1669" s="21">
        <f t="shared" si="1"/>
        <v>4</v>
      </c>
      <c r="N1669" s="2">
        <v>28.288</v>
      </c>
      <c r="O1669" s="2">
        <v>13.0</v>
      </c>
      <c r="P1669" s="2">
        <v>59.75</v>
      </c>
      <c r="Q1669" s="2">
        <v>90309.0</v>
      </c>
      <c r="R1669" s="15" t="b">
        <f>ISNUMBER(MATCH(Q1669,'Returned order'!A:A,0))</f>
        <v>0</v>
      </c>
      <c r="S1669" s="22">
        <v>42068.0</v>
      </c>
      <c r="T1669" s="15"/>
      <c r="U1669" s="15"/>
      <c r="V1669" s="15"/>
    </row>
    <row r="1670">
      <c r="A1670" s="2">
        <v>26054.0</v>
      </c>
      <c r="B1670" s="1" t="s">
        <v>49</v>
      </c>
      <c r="C1670" s="2">
        <v>0.01</v>
      </c>
      <c r="D1670" s="2">
        <v>7.64</v>
      </c>
      <c r="E1670" s="2">
        <v>2947.0</v>
      </c>
      <c r="F1670" s="1" t="s">
        <v>1882</v>
      </c>
      <c r="G1670" s="1" t="s">
        <v>22</v>
      </c>
      <c r="H1670" s="1" t="s">
        <v>23</v>
      </c>
      <c r="I1670" s="1" t="s">
        <v>88</v>
      </c>
      <c r="J1670" s="1" t="s">
        <v>1732</v>
      </c>
      <c r="K1670" s="19" t="s">
        <v>26</v>
      </c>
      <c r="L1670" s="20" t="s">
        <v>35</v>
      </c>
      <c r="M1670" s="21">
        <f t="shared" si="1"/>
        <v>3</v>
      </c>
      <c r="N1670" s="2">
        <v>112.1181</v>
      </c>
      <c r="O1670" s="2">
        <v>20.0</v>
      </c>
      <c r="P1670" s="2">
        <v>162.49</v>
      </c>
      <c r="Q1670" s="2">
        <v>87511.0</v>
      </c>
      <c r="R1670" s="15" t="b">
        <f>ISNUMBER(MATCH(Q1670,'Returned order'!A:A,0))</f>
        <v>0</v>
      </c>
      <c r="S1670" s="22">
        <v>42039.0</v>
      </c>
      <c r="T1670" s="15"/>
      <c r="U1670" s="15"/>
      <c r="V1670" s="15"/>
    </row>
    <row r="1671">
      <c r="A1671" s="2">
        <v>25051.0</v>
      </c>
      <c r="B1671" s="1" t="s">
        <v>63</v>
      </c>
      <c r="C1671" s="2">
        <v>0.07</v>
      </c>
      <c r="D1671" s="2">
        <v>42.98</v>
      </c>
      <c r="E1671" s="2">
        <v>2951.0</v>
      </c>
      <c r="F1671" s="1" t="s">
        <v>1883</v>
      </c>
      <c r="G1671" s="1" t="s">
        <v>32</v>
      </c>
      <c r="H1671" s="1" t="s">
        <v>23</v>
      </c>
      <c r="I1671" s="1" t="s">
        <v>151</v>
      </c>
      <c r="J1671" s="1" t="s">
        <v>1376</v>
      </c>
      <c r="K1671" s="19" t="s">
        <v>68</v>
      </c>
      <c r="L1671" s="20" t="s">
        <v>61</v>
      </c>
      <c r="M1671" s="21">
        <f t="shared" si="1"/>
        <v>7</v>
      </c>
      <c r="N1671" s="2">
        <v>565.386</v>
      </c>
      <c r="O1671" s="2">
        <v>19.0</v>
      </c>
      <c r="P1671" s="2">
        <v>819.4</v>
      </c>
      <c r="Q1671" s="2">
        <v>91397.0</v>
      </c>
      <c r="R1671" s="15" t="b">
        <f>ISNUMBER(MATCH(Q1671,'Returned order'!A:A,0))</f>
        <v>0</v>
      </c>
      <c r="S1671" s="22">
        <v>42050.0</v>
      </c>
      <c r="T1671" s="15"/>
      <c r="U1671" s="15"/>
      <c r="V1671" s="15"/>
    </row>
    <row r="1672">
      <c r="A1672" s="2">
        <v>25052.0</v>
      </c>
      <c r="B1672" s="1" t="s">
        <v>63</v>
      </c>
      <c r="C1672" s="2">
        <v>0.03</v>
      </c>
      <c r="D1672" s="2">
        <v>89.99</v>
      </c>
      <c r="E1672" s="2">
        <v>2951.0</v>
      </c>
      <c r="F1672" s="1" t="s">
        <v>1883</v>
      </c>
      <c r="G1672" s="1" t="s">
        <v>32</v>
      </c>
      <c r="H1672" s="1" t="s">
        <v>37</v>
      </c>
      <c r="I1672" s="1" t="s">
        <v>38</v>
      </c>
      <c r="J1672" s="1" t="s">
        <v>1750</v>
      </c>
      <c r="K1672" s="19" t="s">
        <v>68</v>
      </c>
      <c r="L1672" s="20" t="s">
        <v>61</v>
      </c>
      <c r="M1672" s="21">
        <f t="shared" si="1"/>
        <v>7</v>
      </c>
      <c r="N1672" s="2">
        <v>-230.9528</v>
      </c>
      <c r="O1672" s="2">
        <v>19.0</v>
      </c>
      <c r="P1672" s="2">
        <v>1809.75</v>
      </c>
      <c r="Q1672" s="2">
        <v>91397.0</v>
      </c>
      <c r="R1672" s="15" t="b">
        <f>ISNUMBER(MATCH(Q1672,'Returned order'!A:A,0))</f>
        <v>0</v>
      </c>
      <c r="S1672" s="22">
        <v>42050.0</v>
      </c>
      <c r="T1672" s="15"/>
      <c r="U1672" s="15"/>
      <c r="V1672" s="15"/>
    </row>
    <row r="1673">
      <c r="A1673" s="2">
        <v>25970.0</v>
      </c>
      <c r="B1673" s="1" t="s">
        <v>63</v>
      </c>
      <c r="C1673" s="2">
        <v>0.08</v>
      </c>
      <c r="D1673" s="2">
        <v>5.74</v>
      </c>
      <c r="E1673" s="2">
        <v>2952.0</v>
      </c>
      <c r="F1673" s="1" t="s">
        <v>1884</v>
      </c>
      <c r="G1673" s="1" t="s">
        <v>32</v>
      </c>
      <c r="H1673" s="1" t="s">
        <v>23</v>
      </c>
      <c r="I1673" s="1" t="s">
        <v>24</v>
      </c>
      <c r="J1673" s="1" t="s">
        <v>1493</v>
      </c>
      <c r="K1673" s="19" t="s">
        <v>26</v>
      </c>
      <c r="L1673" s="20" t="s">
        <v>35</v>
      </c>
      <c r="M1673" s="21">
        <f t="shared" si="1"/>
        <v>3</v>
      </c>
      <c r="N1673" s="2">
        <v>-61.62804</v>
      </c>
      <c r="O1673" s="2">
        <v>12.0</v>
      </c>
      <c r="P1673" s="2">
        <v>70.03</v>
      </c>
      <c r="Q1673" s="2">
        <v>91398.0</v>
      </c>
      <c r="R1673" s="15" t="b">
        <f>ISNUMBER(MATCH(Q1673,'Returned order'!A:A,0))</f>
        <v>0</v>
      </c>
      <c r="S1673" s="22">
        <v>42109.0</v>
      </c>
      <c r="T1673" s="15"/>
      <c r="U1673" s="15"/>
      <c r="V1673" s="15"/>
    </row>
    <row r="1674">
      <c r="A1674" s="2">
        <v>21200.0</v>
      </c>
      <c r="B1674" s="1" t="s">
        <v>170</v>
      </c>
      <c r="C1674" s="2">
        <v>0.09</v>
      </c>
      <c r="D1674" s="2">
        <v>12.22</v>
      </c>
      <c r="E1674" s="2">
        <v>2954.0</v>
      </c>
      <c r="F1674" s="1" t="s">
        <v>1885</v>
      </c>
      <c r="G1674" s="1" t="s">
        <v>22</v>
      </c>
      <c r="H1674" s="1" t="s">
        <v>37</v>
      </c>
      <c r="I1674" s="1" t="s">
        <v>42</v>
      </c>
      <c r="J1674" s="1" t="s">
        <v>1707</v>
      </c>
      <c r="K1674" s="19" t="s">
        <v>68</v>
      </c>
      <c r="L1674" s="20" t="s">
        <v>70</v>
      </c>
      <c r="M1674" s="21">
        <f t="shared" si="1"/>
        <v>4</v>
      </c>
      <c r="N1674" s="2">
        <v>70.6767</v>
      </c>
      <c r="O1674" s="2">
        <v>9.0</v>
      </c>
      <c r="P1674" s="2">
        <v>102.43</v>
      </c>
      <c r="Q1674" s="2">
        <v>86427.0</v>
      </c>
      <c r="R1674" s="15" t="b">
        <f>ISNUMBER(MATCH(Q1674,'Returned order'!A:A,0))</f>
        <v>0</v>
      </c>
      <c r="S1674" s="22">
        <v>42173.0</v>
      </c>
      <c r="T1674" s="15"/>
      <c r="U1674" s="15"/>
      <c r="V1674" s="15"/>
    </row>
    <row r="1675">
      <c r="A1675" s="2">
        <v>24817.0</v>
      </c>
      <c r="B1675" s="1" t="s">
        <v>63</v>
      </c>
      <c r="C1675" s="2">
        <v>0.1</v>
      </c>
      <c r="D1675" s="2">
        <v>37.94</v>
      </c>
      <c r="E1675" s="2">
        <v>2957.0</v>
      </c>
      <c r="F1675" s="1" t="s">
        <v>1886</v>
      </c>
      <c r="G1675" s="1" t="s">
        <v>32</v>
      </c>
      <c r="H1675" s="1" t="s">
        <v>23</v>
      </c>
      <c r="I1675" s="1" t="s">
        <v>93</v>
      </c>
      <c r="J1675" s="1" t="s">
        <v>721</v>
      </c>
      <c r="K1675" s="19" t="s">
        <v>68</v>
      </c>
      <c r="L1675" s="20" t="s">
        <v>70</v>
      </c>
      <c r="M1675" s="21">
        <f t="shared" si="1"/>
        <v>4</v>
      </c>
      <c r="N1675" s="2">
        <v>95.0544</v>
      </c>
      <c r="O1675" s="2">
        <v>4.0</v>
      </c>
      <c r="P1675" s="2">
        <v>137.76</v>
      </c>
      <c r="Q1675" s="2">
        <v>90264.0</v>
      </c>
      <c r="R1675" s="15" t="b">
        <f>ISNUMBER(MATCH(Q1675,'Returned order'!A:A,0))</f>
        <v>0</v>
      </c>
      <c r="S1675" s="22">
        <v>42096.0</v>
      </c>
      <c r="T1675" s="15"/>
      <c r="U1675" s="15"/>
      <c r="V1675" s="15"/>
    </row>
    <row r="1676">
      <c r="A1676" s="2">
        <v>25709.0</v>
      </c>
      <c r="B1676" s="1" t="s">
        <v>170</v>
      </c>
      <c r="C1676" s="2">
        <v>0.06</v>
      </c>
      <c r="D1676" s="2">
        <v>20.99</v>
      </c>
      <c r="E1676" s="2">
        <v>2958.0</v>
      </c>
      <c r="F1676" s="1" t="s">
        <v>1887</v>
      </c>
      <c r="G1676" s="1" t="s">
        <v>32</v>
      </c>
      <c r="H1676" s="1" t="s">
        <v>46</v>
      </c>
      <c r="I1676" s="1" t="s">
        <v>85</v>
      </c>
      <c r="J1676" s="1" t="s">
        <v>1888</v>
      </c>
      <c r="K1676" s="19" t="s">
        <v>68</v>
      </c>
      <c r="L1676" s="20" t="s">
        <v>27</v>
      </c>
      <c r="M1676" s="21">
        <f t="shared" si="1"/>
        <v>1</v>
      </c>
      <c r="N1676" s="2">
        <v>224.9607</v>
      </c>
      <c r="O1676" s="2">
        <v>18.0</v>
      </c>
      <c r="P1676" s="2">
        <v>326.03</v>
      </c>
      <c r="Q1676" s="2">
        <v>90265.0</v>
      </c>
      <c r="R1676" s="15" t="b">
        <f>ISNUMBER(MATCH(Q1676,'Returned order'!A:A,0))</f>
        <v>0</v>
      </c>
      <c r="S1676" s="22">
        <v>42086.0</v>
      </c>
      <c r="T1676" s="15"/>
      <c r="U1676" s="15"/>
      <c r="V1676" s="15"/>
    </row>
    <row r="1677">
      <c r="A1677" s="2">
        <v>19923.0</v>
      </c>
      <c r="B1677" s="1" t="s">
        <v>49</v>
      </c>
      <c r="C1677" s="2">
        <v>0.1</v>
      </c>
      <c r="D1677" s="2">
        <v>36.55</v>
      </c>
      <c r="E1677" s="2">
        <v>2960.0</v>
      </c>
      <c r="F1677" s="1" t="s">
        <v>1889</v>
      </c>
      <c r="G1677" s="1" t="s">
        <v>32</v>
      </c>
      <c r="H1677" s="1" t="s">
        <v>23</v>
      </c>
      <c r="I1677" s="1" t="s">
        <v>29</v>
      </c>
      <c r="J1677" s="1" t="s">
        <v>982</v>
      </c>
      <c r="K1677" s="19" t="s">
        <v>229</v>
      </c>
      <c r="L1677" s="20" t="s">
        <v>61</v>
      </c>
      <c r="M1677" s="21">
        <f t="shared" si="1"/>
        <v>7</v>
      </c>
      <c r="N1677" s="2">
        <v>-89.572</v>
      </c>
      <c r="O1677" s="2">
        <v>11.0</v>
      </c>
      <c r="P1677" s="2">
        <v>379.72</v>
      </c>
      <c r="Q1677" s="2">
        <v>90646.0</v>
      </c>
      <c r="R1677" s="15" t="b">
        <f>ISNUMBER(MATCH(Q1677,'Returned order'!A:A,0))</f>
        <v>0</v>
      </c>
      <c r="S1677" s="22">
        <v>42099.0</v>
      </c>
      <c r="T1677" s="15"/>
      <c r="U1677" s="15"/>
      <c r="V1677" s="15"/>
    </row>
    <row r="1678">
      <c r="A1678" s="2">
        <v>20390.0</v>
      </c>
      <c r="B1678" s="1" t="s">
        <v>28</v>
      </c>
      <c r="C1678" s="2">
        <v>0.07</v>
      </c>
      <c r="D1678" s="2">
        <v>4.76</v>
      </c>
      <c r="E1678" s="2">
        <v>2962.0</v>
      </c>
      <c r="F1678" s="1" t="s">
        <v>1890</v>
      </c>
      <c r="G1678" s="1" t="s">
        <v>22</v>
      </c>
      <c r="H1678" s="1" t="s">
        <v>23</v>
      </c>
      <c r="I1678" s="1" t="s">
        <v>93</v>
      </c>
      <c r="J1678" s="1" t="s">
        <v>1811</v>
      </c>
      <c r="K1678" s="19" t="s">
        <v>34</v>
      </c>
      <c r="L1678" s="20" t="s">
        <v>70</v>
      </c>
      <c r="M1678" s="21">
        <f t="shared" si="1"/>
        <v>4</v>
      </c>
      <c r="N1678" s="2">
        <v>33.3477</v>
      </c>
      <c r="O1678" s="2">
        <v>10.0</v>
      </c>
      <c r="P1678" s="2">
        <v>48.33</v>
      </c>
      <c r="Q1678" s="2">
        <v>88611.0</v>
      </c>
      <c r="R1678" s="15" t="b">
        <f>ISNUMBER(MATCH(Q1678,'Returned order'!A:A,0))</f>
        <v>0</v>
      </c>
      <c r="S1678" s="22">
        <v>42131.0</v>
      </c>
      <c r="T1678" s="15"/>
      <c r="U1678" s="15"/>
      <c r="V1678" s="15"/>
    </row>
    <row r="1679">
      <c r="A1679" s="2">
        <v>22175.0</v>
      </c>
      <c r="B1679" s="1" t="s">
        <v>58</v>
      </c>
      <c r="C1679" s="2">
        <v>0.01</v>
      </c>
      <c r="D1679" s="2">
        <v>7.98</v>
      </c>
      <c r="E1679" s="2">
        <v>2963.0</v>
      </c>
      <c r="F1679" s="1" t="s">
        <v>220</v>
      </c>
      <c r="G1679" s="1" t="s">
        <v>22</v>
      </c>
      <c r="H1679" s="1" t="s">
        <v>23</v>
      </c>
      <c r="I1679" s="1" t="s">
        <v>120</v>
      </c>
      <c r="J1679" s="1" t="s">
        <v>221</v>
      </c>
      <c r="K1679" s="19" t="s">
        <v>26</v>
      </c>
      <c r="L1679" s="20" t="s">
        <v>27</v>
      </c>
      <c r="M1679" s="21">
        <f t="shared" si="1"/>
        <v>1</v>
      </c>
      <c r="N1679" s="2">
        <v>-34.592</v>
      </c>
      <c r="O1679" s="2">
        <v>4.0</v>
      </c>
      <c r="P1679" s="2">
        <v>34.91</v>
      </c>
      <c r="Q1679" s="2">
        <v>88612.0</v>
      </c>
      <c r="R1679" s="15" t="b">
        <f>ISNUMBER(MATCH(Q1679,'Returned order'!A:A,0))</f>
        <v>0</v>
      </c>
      <c r="S1679" s="22">
        <v>42177.0</v>
      </c>
      <c r="T1679" s="15"/>
      <c r="U1679" s="15"/>
      <c r="V1679" s="15"/>
    </row>
    <row r="1680">
      <c r="A1680" s="2">
        <v>25953.0</v>
      </c>
      <c r="B1680" s="1" t="s">
        <v>28</v>
      </c>
      <c r="C1680" s="2">
        <v>0.06</v>
      </c>
      <c r="D1680" s="2">
        <v>42.98</v>
      </c>
      <c r="E1680" s="2">
        <v>2964.0</v>
      </c>
      <c r="F1680" s="1" t="s">
        <v>1891</v>
      </c>
      <c r="G1680" s="1" t="s">
        <v>22</v>
      </c>
      <c r="H1680" s="1" t="s">
        <v>23</v>
      </c>
      <c r="I1680" s="1" t="s">
        <v>151</v>
      </c>
      <c r="J1680" s="1" t="s">
        <v>1376</v>
      </c>
      <c r="K1680" s="19" t="s">
        <v>26</v>
      </c>
      <c r="L1680" s="20" t="s">
        <v>57</v>
      </c>
      <c r="M1680" s="21">
        <f t="shared" si="1"/>
        <v>2</v>
      </c>
      <c r="N1680" s="2">
        <v>-24.63</v>
      </c>
      <c r="O1680" s="2">
        <v>1.0</v>
      </c>
      <c r="P1680" s="2">
        <v>47.04</v>
      </c>
      <c r="Q1680" s="2">
        <v>88610.0</v>
      </c>
      <c r="R1680" s="15" t="b">
        <f>ISNUMBER(MATCH(Q1680,'Returned order'!A:A,0))</f>
        <v>0</v>
      </c>
      <c r="S1680" s="22">
        <v>42115.0</v>
      </c>
      <c r="T1680" s="15"/>
      <c r="U1680" s="15"/>
      <c r="V1680" s="15"/>
    </row>
    <row r="1681">
      <c r="A1681" s="2">
        <v>21390.0</v>
      </c>
      <c r="B1681" s="1" t="s">
        <v>49</v>
      </c>
      <c r="C1681" s="2">
        <v>0.08</v>
      </c>
      <c r="D1681" s="2">
        <v>9.68</v>
      </c>
      <c r="E1681" s="2">
        <v>2968.0</v>
      </c>
      <c r="F1681" s="1" t="s">
        <v>1892</v>
      </c>
      <c r="G1681" s="1" t="s">
        <v>66</v>
      </c>
      <c r="H1681" s="1" t="s">
        <v>23</v>
      </c>
      <c r="I1681" s="1" t="s">
        <v>93</v>
      </c>
      <c r="J1681" s="1" t="s">
        <v>1893</v>
      </c>
      <c r="K1681" s="19" t="s">
        <v>229</v>
      </c>
      <c r="L1681" s="20" t="s">
        <v>61</v>
      </c>
      <c r="M1681" s="21">
        <f t="shared" si="1"/>
        <v>7</v>
      </c>
      <c r="N1681" s="2">
        <v>-536.242</v>
      </c>
      <c r="O1681" s="2">
        <v>1.0</v>
      </c>
      <c r="P1681" s="2">
        <v>10.94</v>
      </c>
      <c r="Q1681" s="2">
        <v>86085.0</v>
      </c>
      <c r="R1681" s="15" t="b">
        <f>ISNUMBER(MATCH(Q1681,'Returned order'!A:A,0))</f>
        <v>0</v>
      </c>
      <c r="S1681" s="22">
        <v>42057.0</v>
      </c>
      <c r="T1681" s="15"/>
      <c r="U1681" s="15"/>
      <c r="V1681" s="15"/>
    </row>
    <row r="1682">
      <c r="A1682" s="2">
        <v>21391.0</v>
      </c>
      <c r="B1682" s="1" t="s">
        <v>49</v>
      </c>
      <c r="C1682" s="2">
        <v>0.04</v>
      </c>
      <c r="D1682" s="2">
        <v>150.98</v>
      </c>
      <c r="E1682" s="2">
        <v>2968.0</v>
      </c>
      <c r="F1682" s="1" t="s">
        <v>1892</v>
      </c>
      <c r="G1682" s="1" t="s">
        <v>66</v>
      </c>
      <c r="H1682" s="1" t="s">
        <v>37</v>
      </c>
      <c r="I1682" s="1" t="s">
        <v>73</v>
      </c>
      <c r="J1682" s="1" t="s">
        <v>1894</v>
      </c>
      <c r="K1682" s="19" t="s">
        <v>229</v>
      </c>
      <c r="L1682" s="20" t="s">
        <v>61</v>
      </c>
      <c r="M1682" s="21">
        <f t="shared" si="1"/>
        <v>7</v>
      </c>
      <c r="N1682" s="2">
        <v>-125.86</v>
      </c>
      <c r="O1682" s="2">
        <v>5.0</v>
      </c>
      <c r="P1682" s="2">
        <v>731.38</v>
      </c>
      <c r="Q1682" s="2">
        <v>86085.0</v>
      </c>
      <c r="R1682" s="15" t="b">
        <f>ISNUMBER(MATCH(Q1682,'Returned order'!A:A,0))</f>
        <v>0</v>
      </c>
      <c r="S1682" s="22">
        <v>42057.0</v>
      </c>
      <c r="T1682" s="15"/>
      <c r="U1682" s="15"/>
      <c r="V1682" s="15"/>
    </row>
    <row r="1683">
      <c r="A1683" s="2">
        <v>18041.0</v>
      </c>
      <c r="B1683" s="1" t="s">
        <v>28</v>
      </c>
      <c r="C1683" s="2">
        <v>0.06</v>
      </c>
      <c r="D1683" s="2">
        <v>363.25</v>
      </c>
      <c r="E1683" s="2">
        <v>2968.0</v>
      </c>
      <c r="F1683" s="1" t="s">
        <v>1892</v>
      </c>
      <c r="G1683" s="1" t="s">
        <v>66</v>
      </c>
      <c r="H1683" s="1" t="s">
        <v>23</v>
      </c>
      <c r="I1683" s="1" t="s">
        <v>151</v>
      </c>
      <c r="J1683" s="1" t="s">
        <v>958</v>
      </c>
      <c r="K1683" s="19" t="s">
        <v>229</v>
      </c>
      <c r="L1683" s="20" t="s">
        <v>53</v>
      </c>
      <c r="M1683" s="21">
        <f t="shared" si="1"/>
        <v>6</v>
      </c>
      <c r="N1683" s="2">
        <v>36.1641</v>
      </c>
      <c r="O1683" s="2">
        <v>1.0</v>
      </c>
      <c r="P1683" s="2">
        <v>344.87</v>
      </c>
      <c r="Q1683" s="2">
        <v>86086.0</v>
      </c>
      <c r="R1683" s="15" t="b">
        <f>ISNUMBER(MATCH(Q1683,'Returned order'!A:A,0))</f>
        <v>0</v>
      </c>
      <c r="S1683" s="22">
        <v>42091.0</v>
      </c>
      <c r="T1683" s="15"/>
      <c r="U1683" s="15"/>
      <c r="V1683" s="15"/>
    </row>
    <row r="1684">
      <c r="A1684" s="2">
        <v>21096.0</v>
      </c>
      <c r="B1684" s="1" t="s">
        <v>28</v>
      </c>
      <c r="C1684" s="2">
        <v>0.01</v>
      </c>
      <c r="D1684" s="2">
        <v>30.97</v>
      </c>
      <c r="E1684" s="2">
        <v>2973.0</v>
      </c>
      <c r="F1684" s="1" t="s">
        <v>1895</v>
      </c>
      <c r="G1684" s="1" t="s">
        <v>51</v>
      </c>
      <c r="H1684" s="1" t="s">
        <v>46</v>
      </c>
      <c r="I1684" s="1" t="s">
        <v>47</v>
      </c>
      <c r="J1684" s="1" t="s">
        <v>1896</v>
      </c>
      <c r="K1684" s="19" t="s">
        <v>68</v>
      </c>
      <c r="L1684" s="20" t="s">
        <v>27</v>
      </c>
      <c r="M1684" s="21">
        <f t="shared" si="1"/>
        <v>1</v>
      </c>
      <c r="N1684" s="2">
        <v>17.1028</v>
      </c>
      <c r="O1684" s="2">
        <v>17.0</v>
      </c>
      <c r="P1684" s="2">
        <v>523.06</v>
      </c>
      <c r="Q1684" s="2">
        <v>87186.0</v>
      </c>
      <c r="R1684" s="15" t="b">
        <f>ISNUMBER(MATCH(Q1684,'Returned order'!A:A,0))</f>
        <v>0</v>
      </c>
      <c r="S1684" s="22">
        <v>42107.0</v>
      </c>
      <c r="T1684" s="15"/>
      <c r="U1684" s="15"/>
      <c r="V1684" s="15"/>
    </row>
    <row r="1685">
      <c r="A1685" s="2">
        <v>21097.0</v>
      </c>
      <c r="B1685" s="1" t="s">
        <v>28</v>
      </c>
      <c r="C1685" s="2">
        <v>0.08</v>
      </c>
      <c r="D1685" s="2">
        <v>125.99</v>
      </c>
      <c r="E1685" s="2">
        <v>2973.0</v>
      </c>
      <c r="F1685" s="1" t="s">
        <v>1895</v>
      </c>
      <c r="G1685" s="1" t="s">
        <v>51</v>
      </c>
      <c r="H1685" s="1" t="s">
        <v>46</v>
      </c>
      <c r="I1685" s="1" t="s">
        <v>85</v>
      </c>
      <c r="J1685" s="1" t="s">
        <v>941</v>
      </c>
      <c r="K1685" s="19" t="s">
        <v>68</v>
      </c>
      <c r="L1685" s="20" t="s">
        <v>27</v>
      </c>
      <c r="M1685" s="21">
        <f t="shared" si="1"/>
        <v>1</v>
      </c>
      <c r="N1685" s="2">
        <v>1269.38196</v>
      </c>
      <c r="O1685" s="2">
        <v>23.0</v>
      </c>
      <c r="P1685" s="2">
        <v>2424.68</v>
      </c>
      <c r="Q1685" s="2">
        <v>87186.0</v>
      </c>
      <c r="R1685" s="15" t="b">
        <f>ISNUMBER(MATCH(Q1685,'Returned order'!A:A,0))</f>
        <v>0</v>
      </c>
      <c r="S1685" s="22">
        <v>42107.0</v>
      </c>
      <c r="T1685" s="15"/>
      <c r="U1685" s="15"/>
      <c r="V1685" s="15"/>
    </row>
    <row r="1686">
      <c r="A1686" s="2">
        <v>24770.0</v>
      </c>
      <c r="B1686" s="1" t="s">
        <v>58</v>
      </c>
      <c r="C1686" s="2">
        <v>0.1</v>
      </c>
      <c r="D1686" s="2">
        <v>442.14</v>
      </c>
      <c r="E1686" s="2">
        <v>2973.0</v>
      </c>
      <c r="F1686" s="1" t="s">
        <v>1895</v>
      </c>
      <c r="G1686" s="1" t="s">
        <v>51</v>
      </c>
      <c r="H1686" s="1" t="s">
        <v>46</v>
      </c>
      <c r="I1686" s="1" t="s">
        <v>103</v>
      </c>
      <c r="J1686" s="1" t="s">
        <v>345</v>
      </c>
      <c r="K1686" s="19" t="s">
        <v>68</v>
      </c>
      <c r="L1686" s="20" t="s">
        <v>35</v>
      </c>
      <c r="M1686" s="21">
        <f t="shared" si="1"/>
        <v>3</v>
      </c>
      <c r="N1686" s="2">
        <v>137.68794</v>
      </c>
      <c r="O1686" s="2">
        <v>6.0</v>
      </c>
      <c r="P1686" s="2">
        <v>2411.43</v>
      </c>
      <c r="Q1686" s="2">
        <v>87187.0</v>
      </c>
      <c r="R1686" s="15" t="b">
        <f>ISNUMBER(MATCH(Q1686,'Returned order'!A:A,0))</f>
        <v>0</v>
      </c>
      <c r="S1686" s="22">
        <v>42144.0</v>
      </c>
      <c r="T1686" s="15"/>
      <c r="U1686" s="15"/>
      <c r="V1686" s="15"/>
    </row>
    <row r="1687">
      <c r="A1687" s="2">
        <v>19599.0</v>
      </c>
      <c r="B1687" s="1" t="s">
        <v>63</v>
      </c>
      <c r="C1687" s="2">
        <v>0.01</v>
      </c>
      <c r="D1687" s="2">
        <v>35.99</v>
      </c>
      <c r="E1687" s="2">
        <v>2976.0</v>
      </c>
      <c r="F1687" s="1" t="s">
        <v>1897</v>
      </c>
      <c r="G1687" s="1" t="s">
        <v>66</v>
      </c>
      <c r="H1687" s="1" t="s">
        <v>46</v>
      </c>
      <c r="I1687" s="1" t="s">
        <v>85</v>
      </c>
      <c r="J1687" s="1" t="s">
        <v>1698</v>
      </c>
      <c r="K1687" s="19" t="s">
        <v>68</v>
      </c>
      <c r="L1687" s="20" t="s">
        <v>76</v>
      </c>
      <c r="M1687" s="21">
        <f t="shared" si="1"/>
        <v>5</v>
      </c>
      <c r="N1687" s="2">
        <v>882.4824</v>
      </c>
      <c r="O1687" s="2">
        <v>41.0</v>
      </c>
      <c r="P1687" s="2">
        <v>1278.96</v>
      </c>
      <c r="Q1687" s="2">
        <v>89047.0</v>
      </c>
      <c r="R1687" s="15" t="b">
        <f>ISNUMBER(MATCH(Q1687,'Returned order'!A:A,0))</f>
        <v>0</v>
      </c>
      <c r="S1687" s="22">
        <v>42146.0</v>
      </c>
      <c r="T1687" s="15"/>
      <c r="U1687" s="15"/>
      <c r="V1687" s="15"/>
    </row>
    <row r="1688">
      <c r="A1688" s="2">
        <v>20182.0</v>
      </c>
      <c r="B1688" s="1" t="s">
        <v>58</v>
      </c>
      <c r="C1688" s="2">
        <v>0.09</v>
      </c>
      <c r="D1688" s="2">
        <v>2.94</v>
      </c>
      <c r="E1688" s="2">
        <v>2979.0</v>
      </c>
      <c r="F1688" s="1" t="s">
        <v>1898</v>
      </c>
      <c r="G1688" s="1" t="s">
        <v>32</v>
      </c>
      <c r="H1688" s="1" t="s">
        <v>23</v>
      </c>
      <c r="I1688" s="1" t="s">
        <v>29</v>
      </c>
      <c r="J1688" s="1" t="s">
        <v>184</v>
      </c>
      <c r="K1688" s="19" t="s">
        <v>68</v>
      </c>
      <c r="L1688" s="20" t="s">
        <v>57</v>
      </c>
      <c r="M1688" s="21">
        <f t="shared" si="1"/>
        <v>2</v>
      </c>
      <c r="N1688" s="2">
        <v>6.384</v>
      </c>
      <c r="O1688" s="2">
        <v>9.0</v>
      </c>
      <c r="P1688" s="2">
        <v>25.22</v>
      </c>
      <c r="Q1688" s="2">
        <v>86544.0</v>
      </c>
      <c r="R1688" s="15" t="b">
        <f>ISNUMBER(MATCH(Q1688,'Returned order'!A:A,0))</f>
        <v>0</v>
      </c>
      <c r="S1688" s="22">
        <v>42031.0</v>
      </c>
      <c r="T1688" s="15"/>
      <c r="U1688" s="15"/>
      <c r="V1688" s="15"/>
    </row>
    <row r="1689">
      <c r="A1689" s="2">
        <v>18169.0</v>
      </c>
      <c r="B1689" s="1" t="s">
        <v>58</v>
      </c>
      <c r="C1689" s="2">
        <v>0.02</v>
      </c>
      <c r="D1689" s="2">
        <v>5.34</v>
      </c>
      <c r="E1689" s="2">
        <v>2979.0</v>
      </c>
      <c r="F1689" s="1" t="s">
        <v>1898</v>
      </c>
      <c r="G1689" s="1" t="s">
        <v>32</v>
      </c>
      <c r="H1689" s="1" t="s">
        <v>23</v>
      </c>
      <c r="I1689" s="1" t="s">
        <v>24</v>
      </c>
      <c r="J1689" s="1" t="s">
        <v>669</v>
      </c>
      <c r="K1689" s="19" t="s">
        <v>68</v>
      </c>
      <c r="L1689" s="20" t="s">
        <v>70</v>
      </c>
      <c r="M1689" s="21">
        <f t="shared" si="1"/>
        <v>4</v>
      </c>
      <c r="N1689" s="2">
        <v>5.2955</v>
      </c>
      <c r="O1689" s="2">
        <v>6.0</v>
      </c>
      <c r="P1689" s="2">
        <v>34.73</v>
      </c>
      <c r="Q1689" s="2">
        <v>86545.0</v>
      </c>
      <c r="R1689" s="15" t="b">
        <f>ISNUMBER(MATCH(Q1689,'Returned order'!A:A,0))</f>
        <v>0</v>
      </c>
      <c r="S1689" s="22">
        <v>42061.0</v>
      </c>
      <c r="T1689" s="15"/>
      <c r="U1689" s="15"/>
      <c r="V1689" s="15"/>
    </row>
    <row r="1690">
      <c r="A1690" s="2">
        <v>18170.0</v>
      </c>
      <c r="B1690" s="1" t="s">
        <v>58</v>
      </c>
      <c r="C1690" s="2">
        <v>0.03</v>
      </c>
      <c r="D1690" s="2">
        <v>40.98</v>
      </c>
      <c r="E1690" s="2">
        <v>2979.0</v>
      </c>
      <c r="F1690" s="1" t="s">
        <v>1898</v>
      </c>
      <c r="G1690" s="1" t="s">
        <v>32</v>
      </c>
      <c r="H1690" s="1" t="s">
        <v>23</v>
      </c>
      <c r="I1690" s="1" t="s">
        <v>24</v>
      </c>
      <c r="J1690" s="1" t="s">
        <v>1040</v>
      </c>
      <c r="K1690" s="19" t="s">
        <v>68</v>
      </c>
      <c r="L1690" s="20" t="s">
        <v>70</v>
      </c>
      <c r="M1690" s="21">
        <f t="shared" si="1"/>
        <v>4</v>
      </c>
      <c r="N1690" s="2">
        <v>170.7957</v>
      </c>
      <c r="O1690" s="2">
        <v>6.0</v>
      </c>
      <c r="P1690" s="2">
        <v>247.53</v>
      </c>
      <c r="Q1690" s="2">
        <v>86545.0</v>
      </c>
      <c r="R1690" s="15" t="b">
        <f>ISNUMBER(MATCH(Q1690,'Returned order'!A:A,0))</f>
        <v>0</v>
      </c>
      <c r="S1690" s="22">
        <v>42061.0</v>
      </c>
      <c r="T1690" s="15"/>
      <c r="U1690" s="15"/>
      <c r="V1690" s="15"/>
    </row>
    <row r="1691">
      <c r="A1691" s="2">
        <v>18133.0</v>
      </c>
      <c r="B1691" s="1" t="s">
        <v>49</v>
      </c>
      <c r="C1691" s="2">
        <v>0.01</v>
      </c>
      <c r="D1691" s="2">
        <v>5.84</v>
      </c>
      <c r="E1691" s="2">
        <v>2979.0</v>
      </c>
      <c r="F1691" s="1" t="s">
        <v>1898</v>
      </c>
      <c r="G1691" s="1" t="s">
        <v>32</v>
      </c>
      <c r="H1691" s="1" t="s">
        <v>23</v>
      </c>
      <c r="I1691" s="1" t="s">
        <v>29</v>
      </c>
      <c r="J1691" s="1" t="s">
        <v>758</v>
      </c>
      <c r="K1691" s="19" t="s">
        <v>68</v>
      </c>
      <c r="L1691" s="20" t="s">
        <v>61</v>
      </c>
      <c r="M1691" s="21">
        <f t="shared" si="1"/>
        <v>7</v>
      </c>
      <c r="N1691" s="2">
        <v>16.092</v>
      </c>
      <c r="O1691" s="2">
        <v>4.0</v>
      </c>
      <c r="P1691" s="2">
        <v>23.89</v>
      </c>
      <c r="Q1691" s="2">
        <v>86546.0</v>
      </c>
      <c r="R1691" s="15" t="b">
        <f>ISNUMBER(MATCH(Q1691,'Returned order'!A:A,0))</f>
        <v>0</v>
      </c>
      <c r="S1691" s="22">
        <v>42169.0</v>
      </c>
      <c r="T1691" s="15"/>
      <c r="U1691" s="15"/>
      <c r="V1691" s="15"/>
    </row>
    <row r="1692">
      <c r="A1692" s="2">
        <v>20183.0</v>
      </c>
      <c r="B1692" s="1" t="s">
        <v>58</v>
      </c>
      <c r="C1692" s="2">
        <v>0.03</v>
      </c>
      <c r="D1692" s="2">
        <v>43.98</v>
      </c>
      <c r="E1692" s="2">
        <v>2980.0</v>
      </c>
      <c r="F1692" s="1" t="s">
        <v>1899</v>
      </c>
      <c r="G1692" s="1" t="s">
        <v>32</v>
      </c>
      <c r="H1692" s="1" t="s">
        <v>23</v>
      </c>
      <c r="I1692" s="1" t="s">
        <v>29</v>
      </c>
      <c r="J1692" s="1" t="s">
        <v>868</v>
      </c>
      <c r="K1692" s="19" t="s">
        <v>26</v>
      </c>
      <c r="L1692" s="20" t="s">
        <v>57</v>
      </c>
      <c r="M1692" s="21">
        <f t="shared" si="1"/>
        <v>2</v>
      </c>
      <c r="N1692" s="2">
        <v>274.0788</v>
      </c>
      <c r="O1692" s="2">
        <v>10.0</v>
      </c>
      <c r="P1692" s="2">
        <v>454.4</v>
      </c>
      <c r="Q1692" s="2">
        <v>86544.0</v>
      </c>
      <c r="R1692" s="15" t="b">
        <f>ISNUMBER(MATCH(Q1692,'Returned order'!A:A,0))</f>
        <v>0</v>
      </c>
      <c r="S1692" s="22">
        <v>42031.0</v>
      </c>
      <c r="T1692" s="15"/>
      <c r="U1692" s="15"/>
      <c r="V1692" s="15"/>
    </row>
    <row r="1693">
      <c r="A1693" s="2">
        <v>20184.0</v>
      </c>
      <c r="B1693" s="1" t="s">
        <v>58</v>
      </c>
      <c r="C1693" s="2">
        <v>0.06</v>
      </c>
      <c r="D1693" s="2">
        <v>1.14</v>
      </c>
      <c r="E1693" s="2">
        <v>2980.0</v>
      </c>
      <c r="F1693" s="1" t="s">
        <v>1899</v>
      </c>
      <c r="G1693" s="1" t="s">
        <v>32</v>
      </c>
      <c r="H1693" s="1" t="s">
        <v>23</v>
      </c>
      <c r="I1693" s="1" t="s">
        <v>81</v>
      </c>
      <c r="J1693" s="1" t="s">
        <v>114</v>
      </c>
      <c r="K1693" s="19" t="s">
        <v>26</v>
      </c>
      <c r="L1693" s="20" t="s">
        <v>57</v>
      </c>
      <c r="M1693" s="21">
        <f t="shared" si="1"/>
        <v>2</v>
      </c>
      <c r="N1693" s="2">
        <v>-3.782</v>
      </c>
      <c r="O1693" s="2">
        <v>13.0</v>
      </c>
      <c r="P1693" s="2">
        <v>14.53</v>
      </c>
      <c r="Q1693" s="2">
        <v>86544.0</v>
      </c>
      <c r="R1693" s="15" t="b">
        <f>ISNUMBER(MATCH(Q1693,'Returned order'!A:A,0))</f>
        <v>0</v>
      </c>
      <c r="S1693" s="22">
        <v>42031.0</v>
      </c>
      <c r="T1693" s="15"/>
      <c r="U1693" s="15"/>
      <c r="V1693" s="15"/>
    </row>
    <row r="1694">
      <c r="A1694" s="2">
        <v>20435.0</v>
      </c>
      <c r="B1694" s="1" t="s">
        <v>63</v>
      </c>
      <c r="C1694" s="2">
        <v>0.07</v>
      </c>
      <c r="D1694" s="2">
        <v>2.61</v>
      </c>
      <c r="E1694" s="2">
        <v>2980.0</v>
      </c>
      <c r="F1694" s="1" t="s">
        <v>1899</v>
      </c>
      <c r="G1694" s="1" t="s">
        <v>32</v>
      </c>
      <c r="H1694" s="1" t="s">
        <v>23</v>
      </c>
      <c r="I1694" s="1" t="s">
        <v>130</v>
      </c>
      <c r="J1694" s="1" t="s">
        <v>881</v>
      </c>
      <c r="K1694" s="19" t="s">
        <v>26</v>
      </c>
      <c r="L1694" s="20" t="s">
        <v>35</v>
      </c>
      <c r="M1694" s="21">
        <f t="shared" si="1"/>
        <v>3</v>
      </c>
      <c r="N1694" s="2">
        <v>10.7985</v>
      </c>
      <c r="O1694" s="2">
        <v>6.0</v>
      </c>
      <c r="P1694" s="2">
        <v>15.65</v>
      </c>
      <c r="Q1694" s="2">
        <v>86547.0</v>
      </c>
      <c r="R1694" s="15" t="b">
        <f>ISNUMBER(MATCH(Q1694,'Returned order'!A:A,0))</f>
        <v>0</v>
      </c>
      <c r="S1694" s="22">
        <v>42060.0</v>
      </c>
      <c r="T1694" s="15"/>
      <c r="U1694" s="15"/>
      <c r="V1694" s="15"/>
    </row>
    <row r="1695">
      <c r="A1695" s="2">
        <v>23110.0</v>
      </c>
      <c r="B1695" s="1" t="s">
        <v>170</v>
      </c>
      <c r="C1695" s="2">
        <v>0.04</v>
      </c>
      <c r="D1695" s="2">
        <v>2.88</v>
      </c>
      <c r="E1695" s="2">
        <v>2980.0</v>
      </c>
      <c r="F1695" s="1" t="s">
        <v>1899</v>
      </c>
      <c r="G1695" s="1" t="s">
        <v>32</v>
      </c>
      <c r="H1695" s="1" t="s">
        <v>23</v>
      </c>
      <c r="I1695" s="1" t="s">
        <v>29</v>
      </c>
      <c r="J1695" s="1" t="s">
        <v>650</v>
      </c>
      <c r="K1695" s="19" t="s">
        <v>26</v>
      </c>
      <c r="L1695" s="20" t="s">
        <v>53</v>
      </c>
      <c r="M1695" s="21">
        <f t="shared" si="1"/>
        <v>6</v>
      </c>
      <c r="N1695" s="2">
        <v>15.246</v>
      </c>
      <c r="O1695" s="2">
        <v>39.0</v>
      </c>
      <c r="P1695" s="2">
        <v>111.92</v>
      </c>
      <c r="Q1695" s="2">
        <v>86548.0</v>
      </c>
      <c r="R1695" s="15" t="b">
        <f>ISNUMBER(MATCH(Q1695,'Returned order'!A:A,0))</f>
        <v>0</v>
      </c>
      <c r="S1695" s="22">
        <v>42154.0</v>
      </c>
      <c r="T1695" s="15"/>
      <c r="U1695" s="15"/>
      <c r="V1695" s="15"/>
    </row>
    <row r="1696">
      <c r="A1696" s="2">
        <v>20816.0</v>
      </c>
      <c r="B1696" s="1" t="s">
        <v>58</v>
      </c>
      <c r="C1696" s="2">
        <v>0.09</v>
      </c>
      <c r="D1696" s="2">
        <v>100.98</v>
      </c>
      <c r="E1696" s="2">
        <v>2987.0</v>
      </c>
      <c r="F1696" s="1" t="s">
        <v>1900</v>
      </c>
      <c r="G1696" s="1" t="s">
        <v>51</v>
      </c>
      <c r="H1696" s="1" t="s">
        <v>37</v>
      </c>
      <c r="I1696" s="1" t="s">
        <v>55</v>
      </c>
      <c r="J1696" s="1" t="s">
        <v>298</v>
      </c>
      <c r="K1696" s="19" t="s">
        <v>68</v>
      </c>
      <c r="L1696" s="20" t="s">
        <v>61</v>
      </c>
      <c r="M1696" s="21">
        <f t="shared" si="1"/>
        <v>7</v>
      </c>
      <c r="N1696" s="2">
        <v>-103.624</v>
      </c>
      <c r="O1696" s="2">
        <v>17.0</v>
      </c>
      <c r="P1696" s="2">
        <v>1700.38</v>
      </c>
      <c r="Q1696" s="2">
        <v>91180.0</v>
      </c>
      <c r="R1696" s="15" t="b">
        <f>ISNUMBER(MATCH(Q1696,'Returned order'!A:A,0))</f>
        <v>0</v>
      </c>
      <c r="S1696" s="22">
        <v>42183.0</v>
      </c>
      <c r="T1696" s="15"/>
      <c r="U1696" s="15"/>
      <c r="V1696" s="15"/>
    </row>
    <row r="1697">
      <c r="A1697" s="2">
        <v>20817.0</v>
      </c>
      <c r="B1697" s="1" t="s">
        <v>58</v>
      </c>
      <c r="C1697" s="2">
        <v>0.1</v>
      </c>
      <c r="D1697" s="2">
        <v>5.78</v>
      </c>
      <c r="E1697" s="2">
        <v>2987.0</v>
      </c>
      <c r="F1697" s="1" t="s">
        <v>1900</v>
      </c>
      <c r="G1697" s="1" t="s">
        <v>51</v>
      </c>
      <c r="H1697" s="1" t="s">
        <v>23</v>
      </c>
      <c r="I1697" s="1" t="s">
        <v>93</v>
      </c>
      <c r="J1697" s="1" t="s">
        <v>1901</v>
      </c>
      <c r="K1697" s="19" t="s">
        <v>68</v>
      </c>
      <c r="L1697" s="20" t="s">
        <v>61</v>
      </c>
      <c r="M1697" s="21">
        <f t="shared" si="1"/>
        <v>7</v>
      </c>
      <c r="N1697" s="2">
        <v>-57.824</v>
      </c>
      <c r="O1697" s="2">
        <v>6.0</v>
      </c>
      <c r="P1697" s="2">
        <v>35.96</v>
      </c>
      <c r="Q1697" s="2">
        <v>91180.0</v>
      </c>
      <c r="R1697" s="15" t="b">
        <f>ISNUMBER(MATCH(Q1697,'Returned order'!A:A,0))</f>
        <v>0</v>
      </c>
      <c r="S1697" s="22">
        <v>42183.0</v>
      </c>
      <c r="T1697" s="15"/>
      <c r="U1697" s="15"/>
      <c r="V1697" s="15"/>
    </row>
    <row r="1698">
      <c r="A1698" s="2">
        <v>22473.0</v>
      </c>
      <c r="B1698" s="1" t="s">
        <v>170</v>
      </c>
      <c r="C1698" s="2">
        <v>0.05</v>
      </c>
      <c r="D1698" s="2">
        <v>70.97</v>
      </c>
      <c r="E1698" s="2">
        <v>2991.0</v>
      </c>
      <c r="F1698" s="1" t="s">
        <v>1902</v>
      </c>
      <c r="G1698" s="1" t="s">
        <v>51</v>
      </c>
      <c r="H1698" s="1" t="s">
        <v>23</v>
      </c>
      <c r="I1698" s="1" t="s">
        <v>151</v>
      </c>
      <c r="J1698" s="1" t="s">
        <v>567</v>
      </c>
      <c r="K1698" s="19" t="s">
        <v>68</v>
      </c>
      <c r="L1698" s="20" t="s">
        <v>76</v>
      </c>
      <c r="M1698" s="21">
        <f t="shared" si="1"/>
        <v>5</v>
      </c>
      <c r="N1698" s="2">
        <v>18.218</v>
      </c>
      <c r="O1698" s="2">
        <v>2.0</v>
      </c>
      <c r="P1698" s="2">
        <v>141.59</v>
      </c>
      <c r="Q1698" s="2">
        <v>91466.0</v>
      </c>
      <c r="R1698" s="15" t="b">
        <f>ISNUMBER(MATCH(Q1698,'Returned order'!A:A,0))</f>
        <v>0</v>
      </c>
      <c r="S1698" s="22">
        <v>42132.0</v>
      </c>
      <c r="T1698" s="15"/>
      <c r="U1698" s="15"/>
      <c r="V1698" s="15"/>
    </row>
    <row r="1699">
      <c r="A1699" s="2">
        <v>22476.0</v>
      </c>
      <c r="B1699" s="1" t="s">
        <v>170</v>
      </c>
      <c r="C1699" s="2">
        <v>0.0</v>
      </c>
      <c r="D1699" s="2">
        <v>5.28</v>
      </c>
      <c r="E1699" s="2">
        <v>2992.0</v>
      </c>
      <c r="F1699" s="1" t="s">
        <v>1903</v>
      </c>
      <c r="G1699" s="1" t="s">
        <v>51</v>
      </c>
      <c r="H1699" s="1" t="s">
        <v>23</v>
      </c>
      <c r="I1699" s="1" t="s">
        <v>93</v>
      </c>
      <c r="J1699" s="1" t="s">
        <v>1033</v>
      </c>
      <c r="K1699" s="19" t="s">
        <v>68</v>
      </c>
      <c r="L1699" s="20" t="s">
        <v>76</v>
      </c>
      <c r="M1699" s="21">
        <f t="shared" si="1"/>
        <v>5</v>
      </c>
      <c r="N1699" s="2">
        <v>25.058</v>
      </c>
      <c r="O1699" s="2">
        <v>36.0</v>
      </c>
      <c r="P1699" s="2">
        <v>203.05</v>
      </c>
      <c r="Q1699" s="2">
        <v>91466.0</v>
      </c>
      <c r="R1699" s="15" t="b">
        <f>ISNUMBER(MATCH(Q1699,'Returned order'!A:A,0))</f>
        <v>0</v>
      </c>
      <c r="S1699" s="22">
        <v>42132.0</v>
      </c>
      <c r="T1699" s="15"/>
      <c r="U1699" s="15"/>
      <c r="V1699" s="15"/>
    </row>
    <row r="1700">
      <c r="A1700" s="2">
        <v>20891.0</v>
      </c>
      <c r="B1700" s="1" t="s">
        <v>49</v>
      </c>
      <c r="C1700" s="2">
        <v>0.03</v>
      </c>
      <c r="D1700" s="2">
        <v>10.98</v>
      </c>
      <c r="E1700" s="2">
        <v>2999.0</v>
      </c>
      <c r="F1700" s="1" t="s">
        <v>1904</v>
      </c>
      <c r="G1700" s="1" t="s">
        <v>22</v>
      </c>
      <c r="H1700" s="1" t="s">
        <v>23</v>
      </c>
      <c r="I1700" s="1" t="s">
        <v>257</v>
      </c>
      <c r="J1700" s="1" t="s">
        <v>278</v>
      </c>
      <c r="K1700" s="19" t="s">
        <v>68</v>
      </c>
      <c r="L1700" s="20" t="s">
        <v>76</v>
      </c>
      <c r="M1700" s="21">
        <f t="shared" si="1"/>
        <v>5</v>
      </c>
      <c r="N1700" s="2">
        <v>11.82</v>
      </c>
      <c r="O1700" s="2">
        <v>5.0</v>
      </c>
      <c r="P1700" s="2">
        <v>56.19</v>
      </c>
      <c r="Q1700" s="2">
        <v>87041.0</v>
      </c>
      <c r="R1700" s="15" t="b">
        <f>ISNUMBER(MATCH(Q1700,'Returned order'!A:A,0))</f>
        <v>0</v>
      </c>
      <c r="S1700" s="22">
        <v>42104.0</v>
      </c>
      <c r="T1700" s="15"/>
      <c r="U1700" s="15"/>
      <c r="V1700" s="15"/>
    </row>
    <row r="1701">
      <c r="A1701" s="2">
        <v>21499.0</v>
      </c>
      <c r="B1701" s="1" t="s">
        <v>170</v>
      </c>
      <c r="C1701" s="2">
        <v>0.01</v>
      </c>
      <c r="D1701" s="2">
        <v>10.14</v>
      </c>
      <c r="E1701" s="2">
        <v>3000.0</v>
      </c>
      <c r="F1701" s="1" t="s">
        <v>1905</v>
      </c>
      <c r="G1701" s="1" t="s">
        <v>22</v>
      </c>
      <c r="H1701" s="1" t="s">
        <v>23</v>
      </c>
      <c r="I1701" s="1" t="s">
        <v>93</v>
      </c>
      <c r="J1701" s="1" t="s">
        <v>305</v>
      </c>
      <c r="K1701" s="19" t="s">
        <v>68</v>
      </c>
      <c r="L1701" s="20" t="s">
        <v>27</v>
      </c>
      <c r="M1701" s="21">
        <f t="shared" si="1"/>
        <v>1</v>
      </c>
      <c r="N1701" s="2">
        <v>28.152</v>
      </c>
      <c r="O1701" s="2">
        <v>4.0</v>
      </c>
      <c r="P1701" s="2">
        <v>40.8</v>
      </c>
      <c r="Q1701" s="2">
        <v>87042.0</v>
      </c>
      <c r="R1701" s="15" t="b">
        <f>ISNUMBER(MATCH(Q1701,'Returned order'!A:A,0))</f>
        <v>0</v>
      </c>
      <c r="S1701" s="22">
        <v>42030.0</v>
      </c>
      <c r="T1701" s="15"/>
      <c r="U1701" s="15"/>
      <c r="V1701" s="15"/>
    </row>
    <row r="1702">
      <c r="A1702" s="2">
        <v>23836.0</v>
      </c>
      <c r="B1702" s="1" t="s">
        <v>49</v>
      </c>
      <c r="C1702" s="2">
        <v>0.03</v>
      </c>
      <c r="D1702" s="2">
        <v>5.4</v>
      </c>
      <c r="E1702" s="2">
        <v>3001.0</v>
      </c>
      <c r="F1702" s="1" t="s">
        <v>1906</v>
      </c>
      <c r="G1702" s="1" t="s">
        <v>22</v>
      </c>
      <c r="H1702" s="1" t="s">
        <v>23</v>
      </c>
      <c r="I1702" s="1" t="s">
        <v>24</v>
      </c>
      <c r="J1702" s="1" t="s">
        <v>328</v>
      </c>
      <c r="K1702" s="19" t="s">
        <v>68</v>
      </c>
      <c r="L1702" s="20" t="s">
        <v>57</v>
      </c>
      <c r="M1702" s="21">
        <f t="shared" si="1"/>
        <v>2</v>
      </c>
      <c r="N1702" s="2">
        <v>-237.544</v>
      </c>
      <c r="O1702" s="2">
        <v>21.0</v>
      </c>
      <c r="P1702" s="2">
        <v>117.87</v>
      </c>
      <c r="Q1702" s="2">
        <v>87043.0</v>
      </c>
      <c r="R1702" s="15" t="b">
        <f>ISNUMBER(MATCH(Q1702,'Returned order'!A:A,0))</f>
        <v>0</v>
      </c>
      <c r="S1702" s="22">
        <v>42080.0</v>
      </c>
      <c r="T1702" s="15"/>
      <c r="U1702" s="15"/>
      <c r="V1702" s="15"/>
    </row>
    <row r="1703">
      <c r="A1703" s="2">
        <v>25282.0</v>
      </c>
      <c r="B1703" s="1" t="s">
        <v>63</v>
      </c>
      <c r="C1703" s="2">
        <v>0.03</v>
      </c>
      <c r="D1703" s="2">
        <v>85.99</v>
      </c>
      <c r="E1703" s="2">
        <v>3003.0</v>
      </c>
      <c r="F1703" s="1" t="s">
        <v>1907</v>
      </c>
      <c r="G1703" s="1" t="s">
        <v>51</v>
      </c>
      <c r="H1703" s="1" t="s">
        <v>46</v>
      </c>
      <c r="I1703" s="1" t="s">
        <v>85</v>
      </c>
      <c r="J1703" s="1" t="s">
        <v>394</v>
      </c>
      <c r="K1703" s="19" t="s">
        <v>34</v>
      </c>
      <c r="L1703" s="20" t="s">
        <v>70</v>
      </c>
      <c r="M1703" s="21">
        <f t="shared" si="1"/>
        <v>4</v>
      </c>
      <c r="N1703" s="2">
        <v>1037.1045</v>
      </c>
      <c r="O1703" s="2">
        <v>20.0</v>
      </c>
      <c r="P1703" s="2">
        <v>1503.05</v>
      </c>
      <c r="Q1703" s="2">
        <v>91586.0</v>
      </c>
      <c r="R1703" s="15" t="b">
        <f>ISNUMBER(MATCH(Q1703,'Returned order'!A:A,0))</f>
        <v>0</v>
      </c>
      <c r="S1703" s="22">
        <v>42068.0</v>
      </c>
      <c r="T1703" s="15"/>
      <c r="U1703" s="15"/>
      <c r="V1703" s="15"/>
    </row>
    <row r="1704">
      <c r="A1704" s="2">
        <v>7664.0</v>
      </c>
      <c r="B1704" s="1" t="s">
        <v>170</v>
      </c>
      <c r="C1704" s="2">
        <v>0.08</v>
      </c>
      <c r="D1704" s="2">
        <v>6.48</v>
      </c>
      <c r="E1704" s="2">
        <v>3004.0</v>
      </c>
      <c r="F1704" s="1" t="s">
        <v>1908</v>
      </c>
      <c r="G1704" s="1" t="s">
        <v>32</v>
      </c>
      <c r="H1704" s="1" t="s">
        <v>23</v>
      </c>
      <c r="I1704" s="1" t="s">
        <v>93</v>
      </c>
      <c r="J1704" s="1" t="s">
        <v>1909</v>
      </c>
      <c r="K1704" s="19" t="s">
        <v>34</v>
      </c>
      <c r="L1704" s="20" t="s">
        <v>57</v>
      </c>
      <c r="M1704" s="21">
        <f t="shared" si="1"/>
        <v>2</v>
      </c>
      <c r="N1704" s="2">
        <v>-94.59</v>
      </c>
      <c r="O1704" s="2">
        <v>58.0</v>
      </c>
      <c r="P1704" s="2">
        <v>382.33</v>
      </c>
      <c r="Q1704" s="2">
        <v>54949.0</v>
      </c>
      <c r="R1704" s="15" t="b">
        <f>ISNUMBER(MATCH(Q1704,'Returned order'!A:A,0))</f>
        <v>0</v>
      </c>
      <c r="S1704" s="22">
        <v>42045.0</v>
      </c>
      <c r="T1704" s="15"/>
      <c r="U1704" s="15"/>
      <c r="V1704" s="15"/>
    </row>
    <row r="1705">
      <c r="A1705" s="2">
        <v>7665.0</v>
      </c>
      <c r="B1705" s="1" t="s">
        <v>170</v>
      </c>
      <c r="C1705" s="2">
        <v>0.09</v>
      </c>
      <c r="D1705" s="2">
        <v>20.98</v>
      </c>
      <c r="E1705" s="2">
        <v>3004.0</v>
      </c>
      <c r="F1705" s="1" t="s">
        <v>1908</v>
      </c>
      <c r="G1705" s="1" t="s">
        <v>32</v>
      </c>
      <c r="H1705" s="1" t="s">
        <v>23</v>
      </c>
      <c r="I1705" s="1" t="s">
        <v>120</v>
      </c>
      <c r="J1705" s="1" t="s">
        <v>529</v>
      </c>
      <c r="K1705" s="19" t="s">
        <v>34</v>
      </c>
      <c r="L1705" s="20" t="s">
        <v>57</v>
      </c>
      <c r="M1705" s="21">
        <f t="shared" si="1"/>
        <v>2</v>
      </c>
      <c r="N1705" s="2">
        <v>-293.74</v>
      </c>
      <c r="O1705" s="2">
        <v>13.0</v>
      </c>
      <c r="P1705" s="2">
        <v>356.61</v>
      </c>
      <c r="Q1705" s="2">
        <v>54949.0</v>
      </c>
      <c r="R1705" s="15" t="b">
        <f>ISNUMBER(MATCH(Q1705,'Returned order'!A:A,0))</f>
        <v>0</v>
      </c>
      <c r="S1705" s="22">
        <v>42045.0</v>
      </c>
      <c r="T1705" s="15"/>
      <c r="U1705" s="15"/>
      <c r="V1705" s="15"/>
    </row>
    <row r="1706">
      <c r="A1706" s="2">
        <v>23295.0</v>
      </c>
      <c r="B1706" s="1" t="s">
        <v>58</v>
      </c>
      <c r="C1706" s="2">
        <v>0.05</v>
      </c>
      <c r="D1706" s="2">
        <v>122.99</v>
      </c>
      <c r="E1706" s="2">
        <v>3005.0</v>
      </c>
      <c r="F1706" s="1" t="s">
        <v>1910</v>
      </c>
      <c r="G1706" s="1" t="s">
        <v>32</v>
      </c>
      <c r="H1706" s="1" t="s">
        <v>23</v>
      </c>
      <c r="I1706" s="1" t="s">
        <v>24</v>
      </c>
      <c r="J1706" s="1" t="s">
        <v>1607</v>
      </c>
      <c r="K1706" s="19" t="s">
        <v>34</v>
      </c>
      <c r="L1706" s="20" t="s">
        <v>27</v>
      </c>
      <c r="M1706" s="21">
        <f t="shared" si="1"/>
        <v>1</v>
      </c>
      <c r="N1706" s="2">
        <v>1039.7541</v>
      </c>
      <c r="O1706" s="2">
        <v>12.0</v>
      </c>
      <c r="P1706" s="2">
        <v>1506.89</v>
      </c>
      <c r="Q1706" s="2">
        <v>91389.0</v>
      </c>
      <c r="R1706" s="15" t="b">
        <f>ISNUMBER(MATCH(Q1706,'Returned order'!A:A,0))</f>
        <v>0</v>
      </c>
      <c r="S1706" s="22">
        <v>42163.0</v>
      </c>
      <c r="T1706" s="15"/>
      <c r="U1706" s="15"/>
      <c r="V1706" s="15"/>
    </row>
    <row r="1707">
      <c r="A1707" s="2">
        <v>25664.0</v>
      </c>
      <c r="B1707" s="1" t="s">
        <v>170</v>
      </c>
      <c r="C1707" s="2">
        <v>0.08</v>
      </c>
      <c r="D1707" s="2">
        <v>6.48</v>
      </c>
      <c r="E1707" s="2">
        <v>3006.0</v>
      </c>
      <c r="F1707" s="1" t="s">
        <v>1911</v>
      </c>
      <c r="G1707" s="1" t="s">
        <v>32</v>
      </c>
      <c r="H1707" s="1" t="s">
        <v>23</v>
      </c>
      <c r="I1707" s="1" t="s">
        <v>93</v>
      </c>
      <c r="J1707" s="1" t="s">
        <v>1909</v>
      </c>
      <c r="K1707" s="19" t="s">
        <v>34</v>
      </c>
      <c r="L1707" s="20" t="s">
        <v>57</v>
      </c>
      <c r="M1707" s="21">
        <f t="shared" si="1"/>
        <v>2</v>
      </c>
      <c r="N1707" s="2">
        <v>-49.1868</v>
      </c>
      <c r="O1707" s="2">
        <v>14.0</v>
      </c>
      <c r="P1707" s="2">
        <v>92.29</v>
      </c>
      <c r="Q1707" s="2">
        <v>91388.0</v>
      </c>
      <c r="R1707" s="15" t="b">
        <f>ISNUMBER(MATCH(Q1707,'Returned order'!A:A,0))</f>
        <v>0</v>
      </c>
      <c r="S1707" s="22">
        <v>42045.0</v>
      </c>
      <c r="T1707" s="15"/>
      <c r="U1707" s="15"/>
      <c r="V1707" s="15"/>
    </row>
    <row r="1708">
      <c r="A1708" s="2">
        <v>25665.0</v>
      </c>
      <c r="B1708" s="1" t="s">
        <v>170</v>
      </c>
      <c r="C1708" s="2">
        <v>0.09</v>
      </c>
      <c r="D1708" s="2">
        <v>20.98</v>
      </c>
      <c r="E1708" s="2">
        <v>3006.0</v>
      </c>
      <c r="F1708" s="1" t="s">
        <v>1911</v>
      </c>
      <c r="G1708" s="1" t="s">
        <v>32</v>
      </c>
      <c r="H1708" s="1" t="s">
        <v>23</v>
      </c>
      <c r="I1708" s="1" t="s">
        <v>120</v>
      </c>
      <c r="J1708" s="1" t="s">
        <v>529</v>
      </c>
      <c r="K1708" s="19" t="s">
        <v>34</v>
      </c>
      <c r="L1708" s="20" t="s">
        <v>57</v>
      </c>
      <c r="M1708" s="21">
        <f t="shared" si="1"/>
        <v>2</v>
      </c>
      <c r="N1708" s="2">
        <v>-152.7448</v>
      </c>
      <c r="O1708" s="2">
        <v>3.0</v>
      </c>
      <c r="P1708" s="2">
        <v>82.29</v>
      </c>
      <c r="Q1708" s="2">
        <v>91388.0</v>
      </c>
      <c r="R1708" s="15" t="b">
        <f>ISNUMBER(MATCH(Q1708,'Returned order'!A:A,0))</f>
        <v>0</v>
      </c>
      <c r="S1708" s="22">
        <v>42045.0</v>
      </c>
      <c r="T1708" s="15"/>
      <c r="U1708" s="15"/>
      <c r="V1708" s="15"/>
    </row>
    <row r="1709">
      <c r="A1709" s="2">
        <v>23627.0</v>
      </c>
      <c r="B1709" s="1" t="s">
        <v>58</v>
      </c>
      <c r="C1709" s="2">
        <v>0.05</v>
      </c>
      <c r="D1709" s="2">
        <v>9.99</v>
      </c>
      <c r="E1709" s="2">
        <v>3008.0</v>
      </c>
      <c r="F1709" s="1" t="s">
        <v>1912</v>
      </c>
      <c r="G1709" s="1" t="s">
        <v>51</v>
      </c>
      <c r="H1709" s="1" t="s">
        <v>23</v>
      </c>
      <c r="I1709" s="1" t="s">
        <v>93</v>
      </c>
      <c r="J1709" s="1" t="s">
        <v>1325</v>
      </c>
      <c r="K1709" s="19" t="s">
        <v>68</v>
      </c>
      <c r="L1709" s="20" t="s">
        <v>76</v>
      </c>
      <c r="M1709" s="21">
        <f t="shared" si="1"/>
        <v>5</v>
      </c>
      <c r="N1709" s="2">
        <v>41.3</v>
      </c>
      <c r="O1709" s="2">
        <v>20.0</v>
      </c>
      <c r="P1709" s="2">
        <v>203.37</v>
      </c>
      <c r="Q1709" s="2">
        <v>89414.0</v>
      </c>
      <c r="R1709" s="15" t="b">
        <f>ISNUMBER(MATCH(Q1709,'Returned order'!A:A,0))</f>
        <v>0</v>
      </c>
      <c r="S1709" s="22">
        <v>42069.0</v>
      </c>
      <c r="T1709" s="15"/>
      <c r="U1709" s="15"/>
      <c r="V1709" s="15"/>
    </row>
    <row r="1710">
      <c r="A1710" s="2">
        <v>24908.0</v>
      </c>
      <c r="B1710" s="1" t="s">
        <v>28</v>
      </c>
      <c r="C1710" s="2">
        <v>0.01</v>
      </c>
      <c r="D1710" s="2">
        <v>12.28</v>
      </c>
      <c r="E1710" s="2">
        <v>3008.0</v>
      </c>
      <c r="F1710" s="1" t="s">
        <v>1912</v>
      </c>
      <c r="G1710" s="1" t="s">
        <v>51</v>
      </c>
      <c r="H1710" s="1" t="s">
        <v>23</v>
      </c>
      <c r="I1710" s="1" t="s">
        <v>93</v>
      </c>
      <c r="J1710" s="1" t="s">
        <v>1913</v>
      </c>
      <c r="K1710" s="19" t="s">
        <v>68</v>
      </c>
      <c r="L1710" s="20" t="s">
        <v>70</v>
      </c>
      <c r="M1710" s="21">
        <f t="shared" si="1"/>
        <v>4</v>
      </c>
      <c r="N1710" s="2">
        <v>47.61</v>
      </c>
      <c r="O1710" s="2">
        <v>12.0</v>
      </c>
      <c r="P1710" s="2">
        <v>160.66</v>
      </c>
      <c r="Q1710" s="2">
        <v>89415.0</v>
      </c>
      <c r="R1710" s="15" t="b">
        <f>ISNUMBER(MATCH(Q1710,'Returned order'!A:A,0))</f>
        <v>0</v>
      </c>
      <c r="S1710" s="22">
        <v>42166.0</v>
      </c>
      <c r="T1710" s="15"/>
      <c r="U1710" s="15"/>
      <c r="V1710" s="15"/>
    </row>
    <row r="1711">
      <c r="A1711" s="2">
        <v>7898.0</v>
      </c>
      <c r="B1711" s="1" t="s">
        <v>58</v>
      </c>
      <c r="C1711" s="2">
        <v>0.03</v>
      </c>
      <c r="D1711" s="2">
        <v>5.98</v>
      </c>
      <c r="E1711" s="2">
        <v>3011.0</v>
      </c>
      <c r="F1711" s="1" t="s">
        <v>1914</v>
      </c>
      <c r="G1711" s="1" t="s">
        <v>32</v>
      </c>
      <c r="H1711" s="1" t="s">
        <v>23</v>
      </c>
      <c r="I1711" s="1" t="s">
        <v>93</v>
      </c>
      <c r="J1711" s="1" t="s">
        <v>176</v>
      </c>
      <c r="K1711" s="19" t="s">
        <v>26</v>
      </c>
      <c r="L1711" s="20" t="s">
        <v>70</v>
      </c>
      <c r="M1711" s="21">
        <f t="shared" si="1"/>
        <v>4</v>
      </c>
      <c r="N1711" s="2">
        <v>-23.5</v>
      </c>
      <c r="O1711" s="2">
        <v>16.0</v>
      </c>
      <c r="P1711" s="2">
        <v>107.08</v>
      </c>
      <c r="Q1711" s="2">
        <v>56486.0</v>
      </c>
      <c r="R1711" s="15" t="b">
        <f>ISNUMBER(MATCH(Q1711,'Returned order'!A:A,0))</f>
        <v>0</v>
      </c>
      <c r="S1711" s="22">
        <v>42152.0</v>
      </c>
      <c r="T1711" s="15"/>
      <c r="U1711" s="15"/>
      <c r="V1711" s="15"/>
    </row>
    <row r="1712">
      <c r="A1712" s="2">
        <v>1041.0</v>
      </c>
      <c r="B1712" s="1" t="s">
        <v>58</v>
      </c>
      <c r="C1712" s="2">
        <v>0.03</v>
      </c>
      <c r="D1712" s="2">
        <v>300.65</v>
      </c>
      <c r="E1712" s="2">
        <v>3011.0</v>
      </c>
      <c r="F1712" s="1" t="s">
        <v>1914</v>
      </c>
      <c r="G1712" s="1" t="s">
        <v>32</v>
      </c>
      <c r="H1712" s="1" t="s">
        <v>23</v>
      </c>
      <c r="I1712" s="1" t="s">
        <v>151</v>
      </c>
      <c r="J1712" s="1" t="s">
        <v>1915</v>
      </c>
      <c r="K1712" s="19" t="s">
        <v>26</v>
      </c>
      <c r="L1712" s="20" t="s">
        <v>57</v>
      </c>
      <c r="M1712" s="21">
        <f t="shared" si="1"/>
        <v>2</v>
      </c>
      <c r="N1712" s="2">
        <v>1282.496</v>
      </c>
      <c r="O1712" s="2">
        <v>32.0</v>
      </c>
      <c r="P1712" s="2">
        <v>9705.46</v>
      </c>
      <c r="Q1712" s="2">
        <v>7623.0</v>
      </c>
      <c r="R1712" s="15" t="b">
        <f>ISNUMBER(MATCH(Q1712,'Returned order'!A:A,0))</f>
        <v>0</v>
      </c>
      <c r="S1712" s="22">
        <v>42122.0</v>
      </c>
      <c r="T1712" s="15"/>
      <c r="U1712" s="15"/>
      <c r="V1712" s="15"/>
    </row>
    <row r="1713">
      <c r="A1713" s="2">
        <v>1042.0</v>
      </c>
      <c r="B1713" s="1" t="s">
        <v>58</v>
      </c>
      <c r="C1713" s="2">
        <v>0.06</v>
      </c>
      <c r="D1713" s="2">
        <v>49.99</v>
      </c>
      <c r="E1713" s="2">
        <v>3011.0</v>
      </c>
      <c r="F1713" s="1" t="s">
        <v>1914</v>
      </c>
      <c r="G1713" s="1" t="s">
        <v>32</v>
      </c>
      <c r="H1713" s="1" t="s">
        <v>46</v>
      </c>
      <c r="I1713" s="1" t="s">
        <v>47</v>
      </c>
      <c r="J1713" s="1" t="s">
        <v>1273</v>
      </c>
      <c r="K1713" s="19" t="s">
        <v>26</v>
      </c>
      <c r="L1713" s="20" t="s">
        <v>57</v>
      </c>
      <c r="M1713" s="21">
        <f t="shared" si="1"/>
        <v>2</v>
      </c>
      <c r="N1713" s="2">
        <v>17.2</v>
      </c>
      <c r="O1713" s="2">
        <v>67.0</v>
      </c>
      <c r="P1713" s="2">
        <v>3247.54</v>
      </c>
      <c r="Q1713" s="2">
        <v>7623.0</v>
      </c>
      <c r="R1713" s="15" t="b">
        <f>ISNUMBER(MATCH(Q1713,'Returned order'!A:A,0))</f>
        <v>0</v>
      </c>
      <c r="S1713" s="22">
        <v>42122.0</v>
      </c>
      <c r="T1713" s="15"/>
      <c r="U1713" s="15"/>
      <c r="V1713" s="15"/>
    </row>
    <row r="1714">
      <c r="A1714" s="2">
        <v>1043.0</v>
      </c>
      <c r="B1714" s="1" t="s">
        <v>58</v>
      </c>
      <c r="C1714" s="2">
        <v>0.1</v>
      </c>
      <c r="D1714" s="2">
        <v>104.85</v>
      </c>
      <c r="E1714" s="2">
        <v>3011.0</v>
      </c>
      <c r="F1714" s="1" t="s">
        <v>1914</v>
      </c>
      <c r="G1714" s="1" t="s">
        <v>32</v>
      </c>
      <c r="H1714" s="1" t="s">
        <v>23</v>
      </c>
      <c r="I1714" s="1" t="s">
        <v>93</v>
      </c>
      <c r="J1714" s="1" t="s">
        <v>1916</v>
      </c>
      <c r="K1714" s="19" t="s">
        <v>26</v>
      </c>
      <c r="L1714" s="20" t="s">
        <v>57</v>
      </c>
      <c r="M1714" s="21">
        <f t="shared" si="1"/>
        <v>2</v>
      </c>
      <c r="N1714" s="2">
        <v>1184.12</v>
      </c>
      <c r="O1714" s="2">
        <v>58.0</v>
      </c>
      <c r="P1714" s="2">
        <v>5582.63</v>
      </c>
      <c r="Q1714" s="2">
        <v>7623.0</v>
      </c>
      <c r="R1714" s="15" t="b">
        <f>ISNUMBER(MATCH(Q1714,'Returned order'!A:A,0))</f>
        <v>0</v>
      </c>
      <c r="S1714" s="22">
        <v>42122.0</v>
      </c>
      <c r="T1714" s="15"/>
      <c r="U1714" s="15"/>
      <c r="V1714" s="15"/>
    </row>
    <row r="1715">
      <c r="A1715" s="2">
        <v>19041.0</v>
      </c>
      <c r="B1715" s="1" t="s">
        <v>58</v>
      </c>
      <c r="C1715" s="2">
        <v>0.03</v>
      </c>
      <c r="D1715" s="2">
        <v>300.65</v>
      </c>
      <c r="E1715" s="2">
        <v>3012.0</v>
      </c>
      <c r="F1715" s="1" t="s">
        <v>1917</v>
      </c>
      <c r="G1715" s="1" t="s">
        <v>32</v>
      </c>
      <c r="H1715" s="1" t="s">
        <v>23</v>
      </c>
      <c r="I1715" s="1" t="s">
        <v>151</v>
      </c>
      <c r="J1715" s="1" t="s">
        <v>1915</v>
      </c>
      <c r="K1715" s="19" t="s">
        <v>26</v>
      </c>
      <c r="L1715" s="20" t="s">
        <v>57</v>
      </c>
      <c r="M1715" s="21">
        <f t="shared" si="1"/>
        <v>2</v>
      </c>
      <c r="N1715" s="2">
        <v>1474.8704</v>
      </c>
      <c r="O1715" s="2">
        <v>8.0</v>
      </c>
      <c r="P1715" s="2">
        <v>2426.36</v>
      </c>
      <c r="Q1715" s="2">
        <v>86346.0</v>
      </c>
      <c r="R1715" s="15" t="b">
        <f>ISNUMBER(MATCH(Q1715,'Returned order'!A:A,0))</f>
        <v>0</v>
      </c>
      <c r="S1715" s="22">
        <v>42122.0</v>
      </c>
      <c r="T1715" s="15"/>
      <c r="U1715" s="15"/>
      <c r="V1715" s="15"/>
    </row>
    <row r="1716">
      <c r="A1716" s="2">
        <v>19042.0</v>
      </c>
      <c r="B1716" s="1" t="s">
        <v>58</v>
      </c>
      <c r="C1716" s="2">
        <v>0.06</v>
      </c>
      <c r="D1716" s="2">
        <v>49.99</v>
      </c>
      <c r="E1716" s="2">
        <v>3012.0</v>
      </c>
      <c r="F1716" s="1" t="s">
        <v>1917</v>
      </c>
      <c r="G1716" s="1" t="s">
        <v>32</v>
      </c>
      <c r="H1716" s="1" t="s">
        <v>46</v>
      </c>
      <c r="I1716" s="1" t="s">
        <v>47</v>
      </c>
      <c r="J1716" s="1" t="s">
        <v>1273</v>
      </c>
      <c r="K1716" s="19" t="s">
        <v>26</v>
      </c>
      <c r="L1716" s="20" t="s">
        <v>57</v>
      </c>
      <c r="M1716" s="21">
        <f t="shared" si="1"/>
        <v>2</v>
      </c>
      <c r="N1716" s="2">
        <v>19.78</v>
      </c>
      <c r="O1716" s="2">
        <v>17.0</v>
      </c>
      <c r="P1716" s="2">
        <v>824.0</v>
      </c>
      <c r="Q1716" s="2">
        <v>86346.0</v>
      </c>
      <c r="R1716" s="15" t="b">
        <f>ISNUMBER(MATCH(Q1716,'Returned order'!A:A,0))</f>
        <v>0</v>
      </c>
      <c r="S1716" s="22">
        <v>42122.0</v>
      </c>
      <c r="T1716" s="15"/>
      <c r="U1716" s="15"/>
      <c r="V1716" s="15"/>
    </row>
    <row r="1717">
      <c r="A1717" s="2">
        <v>19043.0</v>
      </c>
      <c r="B1717" s="1" t="s">
        <v>58</v>
      </c>
      <c r="C1717" s="2">
        <v>0.1</v>
      </c>
      <c r="D1717" s="2">
        <v>104.85</v>
      </c>
      <c r="E1717" s="2">
        <v>3012.0</v>
      </c>
      <c r="F1717" s="1" t="s">
        <v>1917</v>
      </c>
      <c r="G1717" s="1" t="s">
        <v>32</v>
      </c>
      <c r="H1717" s="1" t="s">
        <v>23</v>
      </c>
      <c r="I1717" s="1" t="s">
        <v>93</v>
      </c>
      <c r="J1717" s="1" t="s">
        <v>1916</v>
      </c>
      <c r="K1717" s="19" t="s">
        <v>26</v>
      </c>
      <c r="L1717" s="20" t="s">
        <v>57</v>
      </c>
      <c r="M1717" s="21">
        <f t="shared" si="1"/>
        <v>2</v>
      </c>
      <c r="N1717" s="2">
        <v>929.7957</v>
      </c>
      <c r="O1717" s="2">
        <v>14.0</v>
      </c>
      <c r="P1717" s="2">
        <v>1347.53</v>
      </c>
      <c r="Q1717" s="2">
        <v>86346.0</v>
      </c>
      <c r="R1717" s="15" t="b">
        <f>ISNUMBER(MATCH(Q1717,'Returned order'!A:A,0))</f>
        <v>0</v>
      </c>
      <c r="S1717" s="22">
        <v>42122.0</v>
      </c>
      <c r="T1717" s="15"/>
      <c r="U1717" s="15"/>
      <c r="V1717" s="15"/>
    </row>
    <row r="1718">
      <c r="A1718" s="2">
        <v>22064.0</v>
      </c>
      <c r="B1718" s="1" t="s">
        <v>58</v>
      </c>
      <c r="C1718" s="2">
        <v>0.01</v>
      </c>
      <c r="D1718" s="2">
        <v>5.58</v>
      </c>
      <c r="E1718" s="2">
        <v>3017.0</v>
      </c>
      <c r="F1718" s="1" t="s">
        <v>1918</v>
      </c>
      <c r="G1718" s="1" t="s">
        <v>32</v>
      </c>
      <c r="H1718" s="1" t="s">
        <v>23</v>
      </c>
      <c r="I1718" s="1" t="s">
        <v>88</v>
      </c>
      <c r="J1718" s="1" t="s">
        <v>371</v>
      </c>
      <c r="K1718" s="19" t="s">
        <v>34</v>
      </c>
      <c r="L1718" s="20" t="s">
        <v>76</v>
      </c>
      <c r="M1718" s="21">
        <f t="shared" si="1"/>
        <v>5</v>
      </c>
      <c r="N1718" s="2">
        <v>-7.25</v>
      </c>
      <c r="O1718" s="2">
        <v>1.0</v>
      </c>
      <c r="P1718" s="2">
        <v>11.16</v>
      </c>
      <c r="Q1718" s="2">
        <v>89071.0</v>
      </c>
      <c r="R1718" s="15" t="b">
        <f>ISNUMBER(MATCH(Q1718,'Returned order'!A:A,0))</f>
        <v>0</v>
      </c>
      <c r="S1718" s="22">
        <v>42013.0</v>
      </c>
      <c r="T1718" s="15"/>
      <c r="U1718" s="15"/>
      <c r="V1718" s="15"/>
    </row>
    <row r="1719">
      <c r="A1719" s="2">
        <v>22065.0</v>
      </c>
      <c r="B1719" s="1" t="s">
        <v>58</v>
      </c>
      <c r="C1719" s="2">
        <v>0.03</v>
      </c>
      <c r="D1719" s="2">
        <v>3.98</v>
      </c>
      <c r="E1719" s="2">
        <v>3017.0</v>
      </c>
      <c r="F1719" s="1" t="s">
        <v>1918</v>
      </c>
      <c r="G1719" s="1" t="s">
        <v>32</v>
      </c>
      <c r="H1719" s="1" t="s">
        <v>23</v>
      </c>
      <c r="I1719" s="1" t="s">
        <v>29</v>
      </c>
      <c r="J1719" s="1" t="s">
        <v>1919</v>
      </c>
      <c r="K1719" s="19" t="s">
        <v>34</v>
      </c>
      <c r="L1719" s="20" t="s">
        <v>76</v>
      </c>
      <c r="M1719" s="21">
        <f t="shared" si="1"/>
        <v>5</v>
      </c>
      <c r="N1719" s="2">
        <v>31.2018</v>
      </c>
      <c r="O1719" s="2">
        <v>11.0</v>
      </c>
      <c r="P1719" s="2">
        <v>45.22</v>
      </c>
      <c r="Q1719" s="2">
        <v>89071.0</v>
      </c>
      <c r="R1719" s="15" t="b">
        <f>ISNUMBER(MATCH(Q1719,'Returned order'!A:A,0))</f>
        <v>0</v>
      </c>
      <c r="S1719" s="22">
        <v>42013.0</v>
      </c>
      <c r="T1719" s="15"/>
      <c r="U1719" s="15"/>
      <c r="V1719" s="15"/>
    </row>
    <row r="1720">
      <c r="A1720" s="2">
        <v>18950.0</v>
      </c>
      <c r="B1720" s="1" t="s">
        <v>170</v>
      </c>
      <c r="C1720" s="2">
        <v>0.01</v>
      </c>
      <c r="D1720" s="2">
        <v>4.98</v>
      </c>
      <c r="E1720" s="2">
        <v>3035.0</v>
      </c>
      <c r="F1720" s="1" t="s">
        <v>1920</v>
      </c>
      <c r="G1720" s="1" t="s">
        <v>51</v>
      </c>
      <c r="H1720" s="1" t="s">
        <v>23</v>
      </c>
      <c r="I1720" s="1" t="s">
        <v>93</v>
      </c>
      <c r="J1720" s="1" t="s">
        <v>1921</v>
      </c>
      <c r="K1720" s="19" t="s">
        <v>68</v>
      </c>
      <c r="L1720" s="20" t="s">
        <v>70</v>
      </c>
      <c r="M1720" s="21">
        <f t="shared" si="1"/>
        <v>4</v>
      </c>
      <c r="N1720" s="2">
        <v>-75.9004</v>
      </c>
      <c r="O1720" s="2">
        <v>10.0</v>
      </c>
      <c r="P1720" s="2">
        <v>52.93</v>
      </c>
      <c r="Q1720" s="2">
        <v>89128.0</v>
      </c>
      <c r="R1720" s="15" t="b">
        <f>ISNUMBER(MATCH(Q1720,'Returned order'!A:A,0))</f>
        <v>0</v>
      </c>
      <c r="S1720" s="22">
        <v>42019.0</v>
      </c>
      <c r="T1720" s="15"/>
      <c r="U1720" s="15"/>
      <c r="V1720" s="15"/>
    </row>
    <row r="1721">
      <c r="A1721" s="2">
        <v>18951.0</v>
      </c>
      <c r="B1721" s="1" t="s">
        <v>170</v>
      </c>
      <c r="C1721" s="2">
        <v>0.04</v>
      </c>
      <c r="D1721" s="2">
        <v>6.35</v>
      </c>
      <c r="E1721" s="2">
        <v>3035.0</v>
      </c>
      <c r="F1721" s="1" t="s">
        <v>1920</v>
      </c>
      <c r="G1721" s="1" t="s">
        <v>51</v>
      </c>
      <c r="H1721" s="1" t="s">
        <v>23</v>
      </c>
      <c r="I1721" s="1" t="s">
        <v>93</v>
      </c>
      <c r="J1721" s="1" t="s">
        <v>717</v>
      </c>
      <c r="K1721" s="19" t="s">
        <v>68</v>
      </c>
      <c r="L1721" s="20" t="s">
        <v>70</v>
      </c>
      <c r="M1721" s="21">
        <f t="shared" si="1"/>
        <v>4</v>
      </c>
      <c r="N1721" s="2">
        <v>52.1709</v>
      </c>
      <c r="O1721" s="2">
        <v>12.0</v>
      </c>
      <c r="P1721" s="2">
        <v>75.61</v>
      </c>
      <c r="Q1721" s="2">
        <v>89128.0</v>
      </c>
      <c r="R1721" s="15" t="b">
        <f>ISNUMBER(MATCH(Q1721,'Returned order'!A:A,0))</f>
        <v>0</v>
      </c>
      <c r="S1721" s="22">
        <v>42019.0</v>
      </c>
      <c r="T1721" s="15"/>
      <c r="U1721" s="15"/>
      <c r="V1721" s="15"/>
    </row>
    <row r="1722">
      <c r="A1722" s="2">
        <v>19849.0</v>
      </c>
      <c r="B1722" s="1" t="s">
        <v>49</v>
      </c>
      <c r="C1722" s="2">
        <v>0.02</v>
      </c>
      <c r="D1722" s="2">
        <v>12.99</v>
      </c>
      <c r="E1722" s="2">
        <v>3036.0</v>
      </c>
      <c r="F1722" s="1" t="s">
        <v>1922</v>
      </c>
      <c r="G1722" s="1" t="s">
        <v>51</v>
      </c>
      <c r="H1722" s="1" t="s">
        <v>37</v>
      </c>
      <c r="I1722" s="1" t="s">
        <v>42</v>
      </c>
      <c r="J1722" s="1" t="s">
        <v>501</v>
      </c>
      <c r="K1722" s="19" t="s">
        <v>68</v>
      </c>
      <c r="L1722" s="20" t="s">
        <v>76</v>
      </c>
      <c r="M1722" s="21">
        <f t="shared" si="1"/>
        <v>5</v>
      </c>
      <c r="N1722" s="2">
        <v>-159.86</v>
      </c>
      <c r="O1722" s="2">
        <v>5.0</v>
      </c>
      <c r="P1722" s="2">
        <v>67.64</v>
      </c>
      <c r="Q1722" s="2">
        <v>89129.0</v>
      </c>
      <c r="R1722" s="15" t="b">
        <f>ISNUMBER(MATCH(Q1722,'Returned order'!A:A,0))</f>
        <v>0</v>
      </c>
      <c r="S1722" s="22">
        <v>42020.0</v>
      </c>
      <c r="T1722" s="15"/>
      <c r="U1722" s="15"/>
      <c r="V1722" s="15"/>
    </row>
    <row r="1723">
      <c r="A1723" s="2">
        <v>19850.0</v>
      </c>
      <c r="B1723" s="1" t="s">
        <v>49</v>
      </c>
      <c r="C1723" s="2">
        <v>0.05</v>
      </c>
      <c r="D1723" s="2">
        <v>35.44</v>
      </c>
      <c r="E1723" s="2">
        <v>3036.0</v>
      </c>
      <c r="F1723" s="1" t="s">
        <v>1922</v>
      </c>
      <c r="G1723" s="1" t="s">
        <v>51</v>
      </c>
      <c r="H1723" s="1" t="s">
        <v>23</v>
      </c>
      <c r="I1723" s="1" t="s">
        <v>93</v>
      </c>
      <c r="J1723" s="1" t="s">
        <v>1923</v>
      </c>
      <c r="K1723" s="19" t="s">
        <v>68</v>
      </c>
      <c r="L1723" s="20" t="s">
        <v>76</v>
      </c>
      <c r="M1723" s="21">
        <f t="shared" si="1"/>
        <v>5</v>
      </c>
      <c r="N1723" s="2">
        <v>165.8898</v>
      </c>
      <c r="O1723" s="2">
        <v>7.0</v>
      </c>
      <c r="P1723" s="2">
        <v>240.42</v>
      </c>
      <c r="Q1723" s="2">
        <v>89129.0</v>
      </c>
      <c r="R1723" s="15" t="b">
        <f>ISNUMBER(MATCH(Q1723,'Returned order'!A:A,0))</f>
        <v>0</v>
      </c>
      <c r="S1723" s="22">
        <v>42020.0</v>
      </c>
      <c r="T1723" s="15"/>
      <c r="U1723" s="15"/>
      <c r="V1723" s="15"/>
    </row>
    <row r="1724">
      <c r="A1724" s="2">
        <v>19851.0</v>
      </c>
      <c r="B1724" s="1" t="s">
        <v>49</v>
      </c>
      <c r="C1724" s="2">
        <v>0.02</v>
      </c>
      <c r="D1724" s="2">
        <v>12.98</v>
      </c>
      <c r="E1724" s="2">
        <v>3036.0</v>
      </c>
      <c r="F1724" s="1" t="s">
        <v>1922</v>
      </c>
      <c r="G1724" s="1" t="s">
        <v>51</v>
      </c>
      <c r="H1724" s="1" t="s">
        <v>23</v>
      </c>
      <c r="I1724" s="1" t="s">
        <v>257</v>
      </c>
      <c r="J1724" s="1" t="s">
        <v>258</v>
      </c>
      <c r="K1724" s="19" t="s">
        <v>68</v>
      </c>
      <c r="L1724" s="20" t="s">
        <v>76</v>
      </c>
      <c r="M1724" s="21">
        <f t="shared" si="1"/>
        <v>5</v>
      </c>
      <c r="N1724" s="2">
        <v>75.01</v>
      </c>
      <c r="O1724" s="2">
        <v>14.0</v>
      </c>
      <c r="P1724" s="2">
        <v>184.4</v>
      </c>
      <c r="Q1724" s="2">
        <v>89129.0</v>
      </c>
      <c r="R1724" s="15" t="b">
        <f>ISNUMBER(MATCH(Q1724,'Returned order'!A:A,0))</f>
        <v>0</v>
      </c>
      <c r="S1724" s="22">
        <v>42020.0</v>
      </c>
      <c r="T1724" s="15"/>
      <c r="U1724" s="15"/>
      <c r="V1724" s="15"/>
    </row>
    <row r="1725">
      <c r="A1725" s="2">
        <v>22201.0</v>
      </c>
      <c r="B1725" s="1" t="s">
        <v>58</v>
      </c>
      <c r="C1725" s="2">
        <v>0.08</v>
      </c>
      <c r="D1725" s="2">
        <v>178.47</v>
      </c>
      <c r="E1725" s="2">
        <v>3036.0</v>
      </c>
      <c r="F1725" s="1" t="s">
        <v>1922</v>
      </c>
      <c r="G1725" s="1" t="s">
        <v>51</v>
      </c>
      <c r="H1725" s="1" t="s">
        <v>23</v>
      </c>
      <c r="I1725" s="1" t="s">
        <v>120</v>
      </c>
      <c r="J1725" s="1" t="s">
        <v>474</v>
      </c>
      <c r="K1725" s="19" t="s">
        <v>68</v>
      </c>
      <c r="L1725" s="20" t="s">
        <v>76</v>
      </c>
      <c r="M1725" s="21">
        <f t="shared" si="1"/>
        <v>5</v>
      </c>
      <c r="N1725" s="2">
        <v>2267.22</v>
      </c>
      <c r="O1725" s="2">
        <v>22.0</v>
      </c>
      <c r="P1725" s="2">
        <v>3802.01</v>
      </c>
      <c r="Q1725" s="2">
        <v>89130.0</v>
      </c>
      <c r="R1725" s="15" t="b">
        <f>ISNUMBER(MATCH(Q1725,'Returned order'!A:A,0))</f>
        <v>0</v>
      </c>
      <c r="S1725" s="22">
        <v>42076.0</v>
      </c>
      <c r="T1725" s="15"/>
      <c r="U1725" s="15"/>
      <c r="V1725" s="15"/>
    </row>
    <row r="1726">
      <c r="A1726" s="2">
        <v>19381.0</v>
      </c>
      <c r="B1726" s="1" t="s">
        <v>49</v>
      </c>
      <c r="C1726" s="2">
        <v>0.08</v>
      </c>
      <c r="D1726" s="2">
        <v>73.98</v>
      </c>
      <c r="E1726" s="2">
        <v>3041.0</v>
      </c>
      <c r="F1726" s="1" t="s">
        <v>1924</v>
      </c>
      <c r="G1726" s="1" t="s">
        <v>32</v>
      </c>
      <c r="H1726" s="1" t="s">
        <v>46</v>
      </c>
      <c r="I1726" s="1" t="s">
        <v>47</v>
      </c>
      <c r="J1726" s="1" t="s">
        <v>242</v>
      </c>
      <c r="K1726" s="19" t="s">
        <v>68</v>
      </c>
      <c r="L1726" s="20" t="s">
        <v>76</v>
      </c>
      <c r="M1726" s="21">
        <f t="shared" si="1"/>
        <v>5</v>
      </c>
      <c r="N1726" s="2">
        <v>97.16</v>
      </c>
      <c r="O1726" s="2">
        <v>17.0</v>
      </c>
      <c r="P1726" s="2">
        <v>1181.67</v>
      </c>
      <c r="Q1726" s="2">
        <v>86102.0</v>
      </c>
      <c r="R1726" s="15" t="b">
        <f>ISNUMBER(MATCH(Q1726,'Returned order'!A:A,0))</f>
        <v>0</v>
      </c>
      <c r="S1726" s="22">
        <v>42139.0</v>
      </c>
      <c r="T1726" s="15"/>
      <c r="U1726" s="15"/>
      <c r="V1726" s="15"/>
    </row>
    <row r="1727">
      <c r="A1727" s="2">
        <v>19382.0</v>
      </c>
      <c r="B1727" s="1" t="s">
        <v>49</v>
      </c>
      <c r="C1727" s="2">
        <v>0.02</v>
      </c>
      <c r="D1727" s="2">
        <v>3.68</v>
      </c>
      <c r="E1727" s="2">
        <v>3041.0</v>
      </c>
      <c r="F1727" s="1" t="s">
        <v>1924</v>
      </c>
      <c r="G1727" s="1" t="s">
        <v>32</v>
      </c>
      <c r="H1727" s="1" t="s">
        <v>23</v>
      </c>
      <c r="I1727" s="1" t="s">
        <v>257</v>
      </c>
      <c r="J1727" s="1" t="s">
        <v>684</v>
      </c>
      <c r="K1727" s="19" t="s">
        <v>68</v>
      </c>
      <c r="L1727" s="20" t="s">
        <v>76</v>
      </c>
      <c r="M1727" s="21">
        <f t="shared" si="1"/>
        <v>5</v>
      </c>
      <c r="N1727" s="2">
        <v>-20.65</v>
      </c>
      <c r="O1727" s="2">
        <v>8.0</v>
      </c>
      <c r="P1727" s="2">
        <v>29.93</v>
      </c>
      <c r="Q1727" s="2">
        <v>86102.0</v>
      </c>
      <c r="R1727" s="15" t="b">
        <f>ISNUMBER(MATCH(Q1727,'Returned order'!A:A,0))</f>
        <v>0</v>
      </c>
      <c r="S1727" s="22">
        <v>42139.0</v>
      </c>
      <c r="T1727" s="15"/>
      <c r="U1727" s="15"/>
      <c r="V1727" s="15"/>
    </row>
    <row r="1728">
      <c r="A1728" s="2">
        <v>20049.0</v>
      </c>
      <c r="B1728" s="1" t="s">
        <v>63</v>
      </c>
      <c r="C1728" s="2">
        <v>0.07</v>
      </c>
      <c r="D1728" s="2">
        <v>14.48</v>
      </c>
      <c r="E1728" s="2">
        <v>3042.0</v>
      </c>
      <c r="F1728" s="1" t="s">
        <v>1925</v>
      </c>
      <c r="G1728" s="1" t="s">
        <v>66</v>
      </c>
      <c r="H1728" s="1" t="s">
        <v>23</v>
      </c>
      <c r="I1728" s="1" t="s">
        <v>24</v>
      </c>
      <c r="J1728" s="1" t="s">
        <v>1926</v>
      </c>
      <c r="K1728" s="19" t="s">
        <v>68</v>
      </c>
      <c r="L1728" s="20" t="s">
        <v>35</v>
      </c>
      <c r="M1728" s="21">
        <f t="shared" si="1"/>
        <v>3</v>
      </c>
      <c r="N1728" s="2">
        <v>67.864</v>
      </c>
      <c r="O1728" s="2">
        <v>12.0</v>
      </c>
      <c r="P1728" s="2">
        <v>171.33</v>
      </c>
      <c r="Q1728" s="2">
        <v>86101.0</v>
      </c>
      <c r="R1728" s="15" t="b">
        <f>ISNUMBER(MATCH(Q1728,'Returned order'!A:A,0))</f>
        <v>0</v>
      </c>
      <c r="S1728" s="22">
        <v>42039.0</v>
      </c>
      <c r="T1728" s="15"/>
      <c r="U1728" s="15"/>
      <c r="V1728" s="15"/>
    </row>
    <row r="1729">
      <c r="A1729" s="2">
        <v>21475.0</v>
      </c>
      <c r="B1729" s="1" t="s">
        <v>28</v>
      </c>
      <c r="C1729" s="2">
        <v>0.0</v>
      </c>
      <c r="D1729" s="2">
        <v>6.48</v>
      </c>
      <c r="E1729" s="2">
        <v>3045.0</v>
      </c>
      <c r="F1729" s="1" t="s">
        <v>1927</v>
      </c>
      <c r="G1729" s="1" t="s">
        <v>66</v>
      </c>
      <c r="H1729" s="1" t="s">
        <v>23</v>
      </c>
      <c r="I1729" s="1" t="s">
        <v>93</v>
      </c>
      <c r="J1729" s="1" t="s">
        <v>1928</v>
      </c>
      <c r="K1729" s="19" t="s">
        <v>68</v>
      </c>
      <c r="L1729" s="20" t="s">
        <v>53</v>
      </c>
      <c r="M1729" s="21">
        <f t="shared" si="1"/>
        <v>6</v>
      </c>
      <c r="N1729" s="2">
        <v>-14.075</v>
      </c>
      <c r="O1729" s="2">
        <v>12.0</v>
      </c>
      <c r="P1729" s="2">
        <v>84.04</v>
      </c>
      <c r="Q1729" s="2">
        <v>86104.0</v>
      </c>
      <c r="R1729" s="15" t="b">
        <f>ISNUMBER(MATCH(Q1729,'Returned order'!A:A,0))</f>
        <v>0</v>
      </c>
      <c r="S1729" s="22">
        <v>42161.0</v>
      </c>
      <c r="T1729" s="15"/>
      <c r="U1729" s="15"/>
      <c r="V1729" s="15"/>
    </row>
    <row r="1730">
      <c r="A1730" s="2">
        <v>24415.0</v>
      </c>
      <c r="B1730" s="1" t="s">
        <v>28</v>
      </c>
      <c r="C1730" s="2">
        <v>0.05</v>
      </c>
      <c r="D1730" s="2">
        <v>120.98</v>
      </c>
      <c r="E1730" s="2">
        <v>3046.0</v>
      </c>
      <c r="F1730" s="1" t="s">
        <v>1929</v>
      </c>
      <c r="G1730" s="1" t="s">
        <v>66</v>
      </c>
      <c r="H1730" s="1" t="s">
        <v>37</v>
      </c>
      <c r="I1730" s="1" t="s">
        <v>38</v>
      </c>
      <c r="J1730" s="1" t="s">
        <v>1016</v>
      </c>
      <c r="K1730" s="19" t="s">
        <v>68</v>
      </c>
      <c r="L1730" s="20" t="s">
        <v>70</v>
      </c>
      <c r="M1730" s="21">
        <f t="shared" si="1"/>
        <v>4</v>
      </c>
      <c r="N1730" s="2">
        <v>-78.7592</v>
      </c>
      <c r="O1730" s="2">
        <v>2.0</v>
      </c>
      <c r="P1730" s="2">
        <v>251.06</v>
      </c>
      <c r="Q1730" s="2">
        <v>86103.0</v>
      </c>
      <c r="R1730" s="15" t="b">
        <f>ISNUMBER(MATCH(Q1730,'Returned order'!A:A,0))</f>
        <v>0</v>
      </c>
      <c r="S1730" s="22">
        <v>42047.0</v>
      </c>
      <c r="T1730" s="15"/>
      <c r="U1730" s="15"/>
      <c r="V1730" s="15"/>
    </row>
    <row r="1731">
      <c r="A1731" s="2">
        <v>23188.0</v>
      </c>
      <c r="B1731" s="1" t="s">
        <v>28</v>
      </c>
      <c r="C1731" s="2">
        <v>0.06</v>
      </c>
      <c r="D1731" s="2">
        <v>276.2</v>
      </c>
      <c r="E1731" s="2">
        <v>3048.0</v>
      </c>
      <c r="F1731" s="1" t="s">
        <v>1930</v>
      </c>
      <c r="G1731" s="1" t="s">
        <v>32</v>
      </c>
      <c r="H1731" s="1" t="s">
        <v>37</v>
      </c>
      <c r="I1731" s="1" t="s">
        <v>38</v>
      </c>
      <c r="J1731" s="1" t="s">
        <v>409</v>
      </c>
      <c r="K1731" s="19" t="s">
        <v>34</v>
      </c>
      <c r="L1731" s="20" t="s">
        <v>70</v>
      </c>
      <c r="M1731" s="21">
        <f t="shared" si="1"/>
        <v>4</v>
      </c>
      <c r="N1731" s="2">
        <v>1167.38</v>
      </c>
      <c r="O1731" s="2">
        <v>10.0</v>
      </c>
      <c r="P1731" s="2">
        <v>2610.56</v>
      </c>
      <c r="Q1731" s="2">
        <v>89789.0</v>
      </c>
      <c r="R1731" s="15" t="b">
        <f>ISNUMBER(MATCH(Q1731,'Returned order'!A:A,0))</f>
        <v>0</v>
      </c>
      <c r="S1731" s="22">
        <v>42068.0</v>
      </c>
      <c r="T1731" s="15"/>
      <c r="U1731" s="15"/>
      <c r="V1731" s="15"/>
    </row>
    <row r="1732">
      <c r="A1732" s="2">
        <v>25904.0</v>
      </c>
      <c r="B1732" s="1" t="s">
        <v>63</v>
      </c>
      <c r="C1732" s="2">
        <v>0.06</v>
      </c>
      <c r="D1732" s="2">
        <v>125.99</v>
      </c>
      <c r="E1732" s="2">
        <v>3053.0</v>
      </c>
      <c r="F1732" s="1" t="s">
        <v>1931</v>
      </c>
      <c r="G1732" s="1" t="s">
        <v>32</v>
      </c>
      <c r="H1732" s="1" t="s">
        <v>46</v>
      </c>
      <c r="I1732" s="1" t="s">
        <v>85</v>
      </c>
      <c r="J1732" s="1" t="s">
        <v>889</v>
      </c>
      <c r="K1732" s="19" t="s">
        <v>229</v>
      </c>
      <c r="L1732" s="20" t="s">
        <v>57</v>
      </c>
      <c r="M1732" s="21">
        <f t="shared" si="1"/>
        <v>2</v>
      </c>
      <c r="N1732" s="2">
        <v>402.066</v>
      </c>
      <c r="O1732" s="2">
        <v>11.0</v>
      </c>
      <c r="P1732" s="2">
        <v>1173.76</v>
      </c>
      <c r="Q1732" s="2">
        <v>86662.0</v>
      </c>
      <c r="R1732" s="15" t="b">
        <f>ISNUMBER(MATCH(Q1732,'Returned order'!A:A,0))</f>
        <v>0</v>
      </c>
      <c r="S1732" s="22">
        <v>42038.0</v>
      </c>
      <c r="T1732" s="15"/>
      <c r="U1732" s="15"/>
      <c r="V1732" s="15"/>
    </row>
    <row r="1733">
      <c r="A1733" s="2">
        <v>20516.0</v>
      </c>
      <c r="B1733" s="1" t="s">
        <v>63</v>
      </c>
      <c r="C1733" s="2">
        <v>0.07</v>
      </c>
      <c r="D1733" s="2">
        <v>8.33</v>
      </c>
      <c r="E1733" s="2">
        <v>3063.0</v>
      </c>
      <c r="F1733" s="1" t="s">
        <v>1932</v>
      </c>
      <c r="G1733" s="1" t="s">
        <v>22</v>
      </c>
      <c r="H1733" s="1" t="s">
        <v>46</v>
      </c>
      <c r="I1733" s="1" t="s">
        <v>47</v>
      </c>
      <c r="J1733" s="1" t="s">
        <v>218</v>
      </c>
      <c r="K1733" s="19" t="s">
        <v>34</v>
      </c>
      <c r="L1733" s="20" t="s">
        <v>70</v>
      </c>
      <c r="M1733" s="21">
        <f t="shared" si="1"/>
        <v>4</v>
      </c>
      <c r="N1733" s="2">
        <v>11.95</v>
      </c>
      <c r="O1733" s="2">
        <v>6.0</v>
      </c>
      <c r="P1733" s="2">
        <v>50.28</v>
      </c>
      <c r="Q1733" s="2">
        <v>88447.0</v>
      </c>
      <c r="R1733" s="15" t="b">
        <f>ISNUMBER(MATCH(Q1733,'Returned order'!A:A,0))</f>
        <v>0</v>
      </c>
      <c r="S1733" s="22">
        <v>42061.0</v>
      </c>
      <c r="T1733" s="15"/>
      <c r="U1733" s="15"/>
      <c r="V1733" s="15"/>
    </row>
    <row r="1734">
      <c r="A1734" s="2">
        <v>20517.0</v>
      </c>
      <c r="B1734" s="1" t="s">
        <v>63</v>
      </c>
      <c r="C1734" s="2">
        <v>0.03</v>
      </c>
      <c r="D1734" s="2">
        <v>499.99</v>
      </c>
      <c r="E1734" s="2">
        <v>3063.0</v>
      </c>
      <c r="F1734" s="1" t="s">
        <v>1932</v>
      </c>
      <c r="G1734" s="1" t="s">
        <v>22</v>
      </c>
      <c r="H1734" s="1" t="s">
        <v>46</v>
      </c>
      <c r="I1734" s="1" t="s">
        <v>138</v>
      </c>
      <c r="J1734" s="1" t="s">
        <v>1933</v>
      </c>
      <c r="K1734" s="19" t="s">
        <v>34</v>
      </c>
      <c r="L1734" s="20" t="s">
        <v>70</v>
      </c>
      <c r="M1734" s="21">
        <f t="shared" si="1"/>
        <v>4</v>
      </c>
      <c r="N1734" s="2">
        <v>1773.6105</v>
      </c>
      <c r="O1734" s="2">
        <v>5.0</v>
      </c>
      <c r="P1734" s="2">
        <v>2570.45</v>
      </c>
      <c r="Q1734" s="2">
        <v>88447.0</v>
      </c>
      <c r="R1734" s="15" t="b">
        <f>ISNUMBER(MATCH(Q1734,'Returned order'!A:A,0))</f>
        <v>0</v>
      </c>
      <c r="S1734" s="22">
        <v>42061.0</v>
      </c>
      <c r="T1734" s="15"/>
      <c r="U1734" s="15"/>
      <c r="V1734" s="15"/>
    </row>
    <row r="1735">
      <c r="A1735" s="2">
        <v>19652.0</v>
      </c>
      <c r="B1735" s="1" t="s">
        <v>49</v>
      </c>
      <c r="C1735" s="2">
        <v>0.03</v>
      </c>
      <c r="D1735" s="2">
        <v>20.99</v>
      </c>
      <c r="E1735" s="2">
        <v>3063.0</v>
      </c>
      <c r="F1735" s="1" t="s">
        <v>1932</v>
      </c>
      <c r="G1735" s="1" t="s">
        <v>22</v>
      </c>
      <c r="H1735" s="1" t="s">
        <v>46</v>
      </c>
      <c r="I1735" s="1" t="s">
        <v>85</v>
      </c>
      <c r="J1735" s="1" t="s">
        <v>97</v>
      </c>
      <c r="K1735" s="19" t="s">
        <v>34</v>
      </c>
      <c r="L1735" s="20" t="s">
        <v>61</v>
      </c>
      <c r="M1735" s="21">
        <f t="shared" si="1"/>
        <v>7</v>
      </c>
      <c r="N1735" s="2">
        <v>4.1822</v>
      </c>
      <c r="O1735" s="2">
        <v>9.0</v>
      </c>
      <c r="P1735" s="2">
        <v>158.87</v>
      </c>
      <c r="Q1735" s="2">
        <v>88449.0</v>
      </c>
      <c r="R1735" s="15" t="b">
        <f>ISNUMBER(MATCH(Q1735,'Returned order'!A:A,0))</f>
        <v>0</v>
      </c>
      <c r="S1735" s="22">
        <v>42148.0</v>
      </c>
      <c r="T1735" s="15"/>
      <c r="U1735" s="15"/>
      <c r="V1735" s="15"/>
    </row>
    <row r="1736">
      <c r="A1736" s="2">
        <v>23811.0</v>
      </c>
      <c r="B1736" s="1" t="s">
        <v>170</v>
      </c>
      <c r="C1736" s="2">
        <v>0.03</v>
      </c>
      <c r="D1736" s="2">
        <v>6.45</v>
      </c>
      <c r="E1736" s="2">
        <v>3064.0</v>
      </c>
      <c r="F1736" s="1" t="s">
        <v>1934</v>
      </c>
      <c r="G1736" s="1" t="s">
        <v>22</v>
      </c>
      <c r="H1736" s="1" t="s">
        <v>23</v>
      </c>
      <c r="I1736" s="1" t="s">
        <v>93</v>
      </c>
      <c r="J1736" s="1" t="s">
        <v>237</v>
      </c>
      <c r="K1736" s="19" t="s">
        <v>34</v>
      </c>
      <c r="L1736" s="20" t="s">
        <v>35</v>
      </c>
      <c r="M1736" s="21">
        <f t="shared" si="1"/>
        <v>3</v>
      </c>
      <c r="N1736" s="2">
        <v>39.1299</v>
      </c>
      <c r="O1736" s="2">
        <v>9.0</v>
      </c>
      <c r="P1736" s="2">
        <v>56.71</v>
      </c>
      <c r="Q1736" s="2">
        <v>88448.0</v>
      </c>
      <c r="R1736" s="15" t="b">
        <f>ISNUMBER(MATCH(Q1736,'Returned order'!A:A,0))</f>
        <v>0</v>
      </c>
      <c r="S1736" s="22">
        <v>42018.0</v>
      </c>
      <c r="T1736" s="15"/>
      <c r="U1736" s="15"/>
      <c r="V1736" s="15"/>
    </row>
    <row r="1737">
      <c r="A1737" s="2">
        <v>25239.0</v>
      </c>
      <c r="B1737" s="1" t="s">
        <v>49</v>
      </c>
      <c r="C1737" s="2">
        <v>0.06</v>
      </c>
      <c r="D1737" s="2">
        <v>355.98</v>
      </c>
      <c r="E1737" s="2">
        <v>3067.0</v>
      </c>
      <c r="F1737" s="1" t="s">
        <v>223</v>
      </c>
      <c r="G1737" s="1" t="s">
        <v>22</v>
      </c>
      <c r="H1737" s="1" t="s">
        <v>37</v>
      </c>
      <c r="I1737" s="1" t="s">
        <v>38</v>
      </c>
      <c r="J1737" s="1" t="s">
        <v>224</v>
      </c>
      <c r="K1737" s="19" t="s">
        <v>26</v>
      </c>
      <c r="L1737" s="20" t="s">
        <v>27</v>
      </c>
      <c r="M1737" s="21">
        <f t="shared" si="1"/>
        <v>1</v>
      </c>
      <c r="N1737" s="2">
        <v>1660.92</v>
      </c>
      <c r="O1737" s="2">
        <v>14.0</v>
      </c>
      <c r="P1737" s="2">
        <v>5086.08</v>
      </c>
      <c r="Q1737" s="2">
        <v>91376.0</v>
      </c>
      <c r="R1737" s="15" t="b">
        <f>ISNUMBER(MATCH(Q1737,'Returned order'!A:A,0))</f>
        <v>0</v>
      </c>
      <c r="S1737" s="22">
        <v>42065.0</v>
      </c>
      <c r="T1737" s="15"/>
      <c r="U1737" s="15"/>
      <c r="V1737" s="15"/>
    </row>
    <row r="1738">
      <c r="A1738" s="2">
        <v>21027.0</v>
      </c>
      <c r="B1738" s="1" t="s">
        <v>28</v>
      </c>
      <c r="C1738" s="2">
        <v>0.03</v>
      </c>
      <c r="D1738" s="2">
        <v>120.98</v>
      </c>
      <c r="E1738" s="2">
        <v>3069.0</v>
      </c>
      <c r="F1738" s="1" t="s">
        <v>1935</v>
      </c>
      <c r="G1738" s="1" t="s">
        <v>22</v>
      </c>
      <c r="H1738" s="1" t="s">
        <v>37</v>
      </c>
      <c r="I1738" s="1" t="s">
        <v>38</v>
      </c>
      <c r="J1738" s="1" t="s">
        <v>1016</v>
      </c>
      <c r="K1738" s="19" t="s">
        <v>68</v>
      </c>
      <c r="L1738" s="20" t="s">
        <v>27</v>
      </c>
      <c r="M1738" s="21">
        <f t="shared" si="1"/>
        <v>1</v>
      </c>
      <c r="N1738" s="2">
        <v>638.028</v>
      </c>
      <c r="O1738" s="2">
        <v>15.0</v>
      </c>
      <c r="P1738" s="2">
        <v>1894.45</v>
      </c>
      <c r="Q1738" s="2">
        <v>88191.0</v>
      </c>
      <c r="R1738" s="15" t="b">
        <f>ISNUMBER(MATCH(Q1738,'Returned order'!A:A,0))</f>
        <v>0</v>
      </c>
      <c r="S1738" s="22">
        <v>42156.0</v>
      </c>
      <c r="T1738" s="15"/>
      <c r="U1738" s="15"/>
      <c r="V1738" s="15"/>
    </row>
    <row r="1739">
      <c r="A1739" s="2">
        <v>21028.0</v>
      </c>
      <c r="B1739" s="1" t="s">
        <v>28</v>
      </c>
      <c r="C1739" s="2">
        <v>0.01</v>
      </c>
      <c r="D1739" s="2">
        <v>15.68</v>
      </c>
      <c r="E1739" s="2">
        <v>3069.0</v>
      </c>
      <c r="F1739" s="1" t="s">
        <v>1935</v>
      </c>
      <c r="G1739" s="1" t="s">
        <v>22</v>
      </c>
      <c r="H1739" s="1" t="s">
        <v>37</v>
      </c>
      <c r="I1739" s="1" t="s">
        <v>42</v>
      </c>
      <c r="J1739" s="1" t="s">
        <v>1694</v>
      </c>
      <c r="K1739" s="19" t="s">
        <v>68</v>
      </c>
      <c r="L1739" s="20" t="s">
        <v>27</v>
      </c>
      <c r="M1739" s="21">
        <f t="shared" si="1"/>
        <v>1</v>
      </c>
      <c r="N1739" s="2">
        <v>138.4968</v>
      </c>
      <c r="O1739" s="2">
        <v>12.0</v>
      </c>
      <c r="P1739" s="2">
        <v>200.72</v>
      </c>
      <c r="Q1739" s="2">
        <v>88191.0</v>
      </c>
      <c r="R1739" s="15" t="b">
        <f>ISNUMBER(MATCH(Q1739,'Returned order'!A:A,0))</f>
        <v>0</v>
      </c>
      <c r="S1739" s="22">
        <v>42156.0</v>
      </c>
      <c r="T1739" s="15"/>
      <c r="U1739" s="15"/>
      <c r="V1739" s="15"/>
    </row>
    <row r="1740">
      <c r="A1740" s="2">
        <v>22213.0</v>
      </c>
      <c r="B1740" s="1" t="s">
        <v>58</v>
      </c>
      <c r="C1740" s="2">
        <v>0.09</v>
      </c>
      <c r="D1740" s="2">
        <v>1.82</v>
      </c>
      <c r="E1740" s="2">
        <v>3069.0</v>
      </c>
      <c r="F1740" s="1" t="s">
        <v>1935</v>
      </c>
      <c r="G1740" s="1" t="s">
        <v>22</v>
      </c>
      <c r="H1740" s="1" t="s">
        <v>23</v>
      </c>
      <c r="I1740" s="1" t="s">
        <v>29</v>
      </c>
      <c r="J1740" s="1" t="s">
        <v>1936</v>
      </c>
      <c r="K1740" s="19" t="s">
        <v>68</v>
      </c>
      <c r="L1740" s="20" t="s">
        <v>53</v>
      </c>
      <c r="M1740" s="21">
        <f t="shared" si="1"/>
        <v>6</v>
      </c>
      <c r="N1740" s="2">
        <v>-6.734</v>
      </c>
      <c r="O1740" s="2">
        <v>22.0</v>
      </c>
      <c r="P1740" s="2">
        <v>36.82</v>
      </c>
      <c r="Q1740" s="2">
        <v>88192.0</v>
      </c>
      <c r="R1740" s="15" t="b">
        <f>ISNUMBER(MATCH(Q1740,'Returned order'!A:A,0))</f>
        <v>0</v>
      </c>
      <c r="S1740" s="22">
        <v>42049.0</v>
      </c>
      <c r="T1740" s="15"/>
      <c r="U1740" s="15"/>
      <c r="V1740" s="15"/>
    </row>
    <row r="1741">
      <c r="A1741" s="2">
        <v>2063.0</v>
      </c>
      <c r="B1741" s="1" t="s">
        <v>170</v>
      </c>
      <c r="C1741" s="2">
        <v>0.06</v>
      </c>
      <c r="D1741" s="2">
        <v>19.23</v>
      </c>
      <c r="E1741" s="2">
        <v>3075.0</v>
      </c>
      <c r="F1741" s="1" t="s">
        <v>1937</v>
      </c>
      <c r="G1741" s="1" t="s">
        <v>32</v>
      </c>
      <c r="H1741" s="1" t="s">
        <v>37</v>
      </c>
      <c r="I1741" s="1" t="s">
        <v>42</v>
      </c>
      <c r="J1741" s="1" t="s">
        <v>438</v>
      </c>
      <c r="K1741" s="19" t="s">
        <v>34</v>
      </c>
      <c r="L1741" s="20" t="s">
        <v>53</v>
      </c>
      <c r="M1741" s="21">
        <f t="shared" si="1"/>
        <v>6</v>
      </c>
      <c r="N1741" s="2">
        <v>-25.38</v>
      </c>
      <c r="O1741" s="2">
        <v>4.0</v>
      </c>
      <c r="P1741" s="2">
        <v>84.6</v>
      </c>
      <c r="Q1741" s="2">
        <v>14756.0</v>
      </c>
      <c r="R1741" s="15" t="b">
        <f>ISNUMBER(MATCH(Q1741,'Returned order'!A:A,0))</f>
        <v>0</v>
      </c>
      <c r="S1741" s="22">
        <v>42063.0</v>
      </c>
      <c r="T1741" s="15"/>
      <c r="U1741" s="15"/>
      <c r="V1741" s="15"/>
    </row>
    <row r="1742">
      <c r="A1742" s="2">
        <v>19739.0</v>
      </c>
      <c r="B1742" s="1" t="s">
        <v>63</v>
      </c>
      <c r="C1742" s="2">
        <v>0.0</v>
      </c>
      <c r="D1742" s="2">
        <v>137.48</v>
      </c>
      <c r="E1742" s="2">
        <v>3076.0</v>
      </c>
      <c r="F1742" s="1" t="s">
        <v>1938</v>
      </c>
      <c r="G1742" s="1" t="s">
        <v>66</v>
      </c>
      <c r="H1742" s="1" t="s">
        <v>37</v>
      </c>
      <c r="I1742" s="1" t="s">
        <v>55</v>
      </c>
      <c r="J1742" s="1" t="s">
        <v>1939</v>
      </c>
      <c r="K1742" s="19" t="s">
        <v>26</v>
      </c>
      <c r="L1742" s="20" t="s">
        <v>35</v>
      </c>
      <c r="M1742" s="21">
        <f t="shared" si="1"/>
        <v>3</v>
      </c>
      <c r="N1742" s="2">
        <v>-203.27</v>
      </c>
      <c r="O1742" s="2">
        <v>2.0</v>
      </c>
      <c r="P1742" s="2">
        <v>296.75</v>
      </c>
      <c r="Q1742" s="2">
        <v>88241.0</v>
      </c>
      <c r="R1742" s="15" t="b">
        <f>ISNUMBER(MATCH(Q1742,'Returned order'!A:A,0))</f>
        <v>0</v>
      </c>
      <c r="S1742" s="22">
        <v>42011.0</v>
      </c>
      <c r="T1742" s="15"/>
      <c r="U1742" s="15"/>
      <c r="V1742" s="15"/>
    </row>
    <row r="1743">
      <c r="A1743" s="2">
        <v>23816.0</v>
      </c>
      <c r="B1743" s="1" t="s">
        <v>63</v>
      </c>
      <c r="C1743" s="2">
        <v>0.07</v>
      </c>
      <c r="D1743" s="2">
        <v>300.97</v>
      </c>
      <c r="E1743" s="2">
        <v>3077.0</v>
      </c>
      <c r="F1743" s="1" t="s">
        <v>1940</v>
      </c>
      <c r="G1743" s="1" t="s">
        <v>66</v>
      </c>
      <c r="H1743" s="1" t="s">
        <v>46</v>
      </c>
      <c r="I1743" s="1" t="s">
        <v>47</v>
      </c>
      <c r="J1743" s="1" t="s">
        <v>849</v>
      </c>
      <c r="K1743" s="19" t="s">
        <v>26</v>
      </c>
      <c r="L1743" s="20" t="s">
        <v>70</v>
      </c>
      <c r="M1743" s="21">
        <f t="shared" si="1"/>
        <v>4</v>
      </c>
      <c r="N1743" s="2">
        <v>-807.59</v>
      </c>
      <c r="O1743" s="2">
        <v>2.0</v>
      </c>
      <c r="P1743" s="2">
        <v>582.2</v>
      </c>
      <c r="Q1743" s="2">
        <v>88239.0</v>
      </c>
      <c r="R1743" s="15" t="b">
        <f>ISNUMBER(MATCH(Q1743,'Returned order'!A:A,0))</f>
        <v>0</v>
      </c>
      <c r="S1743" s="22">
        <v>42131.0</v>
      </c>
      <c r="T1743" s="15"/>
      <c r="U1743" s="15"/>
      <c r="V1743" s="15"/>
    </row>
    <row r="1744">
      <c r="A1744" s="2">
        <v>25489.0</v>
      </c>
      <c r="B1744" s="1" t="s">
        <v>49</v>
      </c>
      <c r="C1744" s="2">
        <v>0.04</v>
      </c>
      <c r="D1744" s="2">
        <v>35.44</v>
      </c>
      <c r="E1744" s="2">
        <v>3078.0</v>
      </c>
      <c r="F1744" s="1" t="s">
        <v>1941</v>
      </c>
      <c r="G1744" s="1" t="s">
        <v>66</v>
      </c>
      <c r="H1744" s="1" t="s">
        <v>23</v>
      </c>
      <c r="I1744" s="1" t="s">
        <v>93</v>
      </c>
      <c r="J1744" s="1" t="s">
        <v>1942</v>
      </c>
      <c r="K1744" s="19" t="s">
        <v>26</v>
      </c>
      <c r="L1744" s="20" t="s">
        <v>70</v>
      </c>
      <c r="M1744" s="21">
        <f t="shared" si="1"/>
        <v>4</v>
      </c>
      <c r="N1744" s="2">
        <v>118.6317</v>
      </c>
      <c r="O1744" s="2">
        <v>5.0</v>
      </c>
      <c r="P1744" s="2">
        <v>171.93</v>
      </c>
      <c r="Q1744" s="2">
        <v>88240.0</v>
      </c>
      <c r="R1744" s="15" t="b">
        <f>ISNUMBER(MATCH(Q1744,'Returned order'!A:A,0))</f>
        <v>0</v>
      </c>
      <c r="S1744" s="22">
        <v>42166.0</v>
      </c>
      <c r="T1744" s="15"/>
      <c r="U1744" s="15"/>
      <c r="V1744" s="15"/>
    </row>
    <row r="1745">
      <c r="A1745" s="2">
        <v>25490.0</v>
      </c>
      <c r="B1745" s="1" t="s">
        <v>49</v>
      </c>
      <c r="C1745" s="2">
        <v>0.08</v>
      </c>
      <c r="D1745" s="2">
        <v>3.98</v>
      </c>
      <c r="E1745" s="2">
        <v>3078.0</v>
      </c>
      <c r="F1745" s="1" t="s">
        <v>1941</v>
      </c>
      <c r="G1745" s="1" t="s">
        <v>66</v>
      </c>
      <c r="H1745" s="1" t="s">
        <v>23</v>
      </c>
      <c r="I1745" s="1" t="s">
        <v>29</v>
      </c>
      <c r="J1745" s="1" t="s">
        <v>1919</v>
      </c>
      <c r="K1745" s="19" t="s">
        <v>26</v>
      </c>
      <c r="L1745" s="20" t="s">
        <v>70</v>
      </c>
      <c r="M1745" s="21">
        <f t="shared" si="1"/>
        <v>4</v>
      </c>
      <c r="N1745" s="2">
        <v>23.304</v>
      </c>
      <c r="O1745" s="2">
        <v>9.0</v>
      </c>
      <c r="P1745" s="2">
        <v>35.19</v>
      </c>
      <c r="Q1745" s="2">
        <v>88240.0</v>
      </c>
      <c r="R1745" s="15" t="b">
        <f>ISNUMBER(MATCH(Q1745,'Returned order'!A:A,0))</f>
        <v>0</v>
      </c>
      <c r="S1745" s="22">
        <v>42166.0</v>
      </c>
      <c r="T1745" s="15"/>
      <c r="U1745" s="15"/>
      <c r="V1745" s="15"/>
    </row>
    <row r="1746">
      <c r="A1746" s="2">
        <v>5816.0</v>
      </c>
      <c r="B1746" s="1" t="s">
        <v>63</v>
      </c>
      <c r="C1746" s="2">
        <v>0.07</v>
      </c>
      <c r="D1746" s="2">
        <v>300.97</v>
      </c>
      <c r="E1746" s="2">
        <v>3079.0</v>
      </c>
      <c r="F1746" s="1" t="s">
        <v>1943</v>
      </c>
      <c r="G1746" s="1" t="s">
        <v>66</v>
      </c>
      <c r="H1746" s="1" t="s">
        <v>46</v>
      </c>
      <c r="I1746" s="1" t="s">
        <v>47</v>
      </c>
      <c r="J1746" s="1" t="s">
        <v>849</v>
      </c>
      <c r="K1746" s="19" t="s">
        <v>26</v>
      </c>
      <c r="L1746" s="20" t="s">
        <v>70</v>
      </c>
      <c r="M1746" s="21">
        <f t="shared" si="1"/>
        <v>4</v>
      </c>
      <c r="N1746" s="2">
        <v>-807.59</v>
      </c>
      <c r="O1746" s="2">
        <v>7.0</v>
      </c>
      <c r="P1746" s="2">
        <v>2037.69</v>
      </c>
      <c r="Q1746" s="2">
        <v>41253.0</v>
      </c>
      <c r="R1746" s="15" t="b">
        <f>ISNUMBER(MATCH(Q1746,'Returned order'!A:A,0))</f>
        <v>0</v>
      </c>
      <c r="S1746" s="22">
        <v>42131.0</v>
      </c>
      <c r="T1746" s="15"/>
      <c r="U1746" s="15"/>
      <c r="V1746" s="15"/>
    </row>
    <row r="1747">
      <c r="A1747" s="2">
        <v>7489.0</v>
      </c>
      <c r="B1747" s="1" t="s">
        <v>49</v>
      </c>
      <c r="C1747" s="2">
        <v>0.04</v>
      </c>
      <c r="D1747" s="2">
        <v>35.44</v>
      </c>
      <c r="E1747" s="2">
        <v>3079.0</v>
      </c>
      <c r="F1747" s="1" t="s">
        <v>1943</v>
      </c>
      <c r="G1747" s="1" t="s">
        <v>66</v>
      </c>
      <c r="H1747" s="1" t="s">
        <v>23</v>
      </c>
      <c r="I1747" s="1" t="s">
        <v>93</v>
      </c>
      <c r="J1747" s="1" t="s">
        <v>1942</v>
      </c>
      <c r="K1747" s="19" t="s">
        <v>26</v>
      </c>
      <c r="L1747" s="20" t="s">
        <v>70</v>
      </c>
      <c r="M1747" s="21">
        <f t="shared" si="1"/>
        <v>4</v>
      </c>
      <c r="N1747" s="2">
        <v>150.72</v>
      </c>
      <c r="O1747" s="2">
        <v>21.0</v>
      </c>
      <c r="P1747" s="2">
        <v>722.1</v>
      </c>
      <c r="Q1747" s="2">
        <v>53476.0</v>
      </c>
      <c r="R1747" s="15" t="b">
        <f>ISNUMBER(MATCH(Q1747,'Returned order'!A:A,0))</f>
        <v>0</v>
      </c>
      <c r="S1747" s="22">
        <v>42166.0</v>
      </c>
      <c r="T1747" s="15"/>
      <c r="U1747" s="15"/>
      <c r="V1747" s="15"/>
    </row>
    <row r="1748">
      <c r="A1748" s="2">
        <v>7490.0</v>
      </c>
      <c r="B1748" s="1" t="s">
        <v>49</v>
      </c>
      <c r="C1748" s="2">
        <v>0.08</v>
      </c>
      <c r="D1748" s="2">
        <v>3.98</v>
      </c>
      <c r="E1748" s="2">
        <v>3079.0</v>
      </c>
      <c r="F1748" s="1" t="s">
        <v>1943</v>
      </c>
      <c r="G1748" s="1" t="s">
        <v>66</v>
      </c>
      <c r="H1748" s="1" t="s">
        <v>23</v>
      </c>
      <c r="I1748" s="1" t="s">
        <v>29</v>
      </c>
      <c r="J1748" s="1" t="s">
        <v>1919</v>
      </c>
      <c r="K1748" s="19" t="s">
        <v>26</v>
      </c>
      <c r="L1748" s="20" t="s">
        <v>70</v>
      </c>
      <c r="M1748" s="21">
        <f t="shared" si="1"/>
        <v>4</v>
      </c>
      <c r="N1748" s="2">
        <v>19.42</v>
      </c>
      <c r="O1748" s="2">
        <v>36.0</v>
      </c>
      <c r="P1748" s="2">
        <v>140.78</v>
      </c>
      <c r="Q1748" s="2">
        <v>53476.0</v>
      </c>
      <c r="R1748" s="15" t="b">
        <f>ISNUMBER(MATCH(Q1748,'Returned order'!A:A,0))</f>
        <v>0</v>
      </c>
      <c r="S1748" s="22">
        <v>42166.0</v>
      </c>
      <c r="T1748" s="15"/>
      <c r="U1748" s="15"/>
      <c r="V1748" s="15"/>
    </row>
    <row r="1749">
      <c r="A1749" s="2">
        <v>7491.0</v>
      </c>
      <c r="B1749" s="1" t="s">
        <v>49</v>
      </c>
      <c r="C1749" s="2">
        <v>0.01</v>
      </c>
      <c r="D1749" s="2">
        <v>1.76</v>
      </c>
      <c r="E1749" s="2">
        <v>3079.0</v>
      </c>
      <c r="F1749" s="1" t="s">
        <v>1943</v>
      </c>
      <c r="G1749" s="1" t="s">
        <v>66</v>
      </c>
      <c r="H1749" s="1" t="s">
        <v>23</v>
      </c>
      <c r="I1749" s="1" t="s">
        <v>29</v>
      </c>
      <c r="J1749" s="1" t="s">
        <v>30</v>
      </c>
      <c r="K1749" s="19" t="s">
        <v>26</v>
      </c>
      <c r="L1749" s="20" t="s">
        <v>70</v>
      </c>
      <c r="M1749" s="21">
        <f t="shared" si="1"/>
        <v>4</v>
      </c>
      <c r="N1749" s="2">
        <v>3.13</v>
      </c>
      <c r="O1749" s="2">
        <v>71.0</v>
      </c>
      <c r="P1749" s="2">
        <v>129.72</v>
      </c>
      <c r="Q1749" s="2">
        <v>53476.0</v>
      </c>
      <c r="R1749" s="15" t="b">
        <f>ISNUMBER(MATCH(Q1749,'Returned order'!A:A,0))</f>
        <v>0</v>
      </c>
      <c r="S1749" s="22">
        <v>42166.0</v>
      </c>
      <c r="T1749" s="15"/>
      <c r="U1749" s="15"/>
      <c r="V1749" s="15"/>
    </row>
    <row r="1750">
      <c r="A1750" s="2">
        <v>7492.0</v>
      </c>
      <c r="B1750" s="1" t="s">
        <v>49</v>
      </c>
      <c r="C1750" s="2">
        <v>0.01</v>
      </c>
      <c r="D1750" s="2">
        <v>193.17</v>
      </c>
      <c r="E1750" s="2">
        <v>3079.0</v>
      </c>
      <c r="F1750" s="1" t="s">
        <v>1943</v>
      </c>
      <c r="G1750" s="1" t="s">
        <v>66</v>
      </c>
      <c r="H1750" s="1" t="s">
        <v>23</v>
      </c>
      <c r="I1750" s="1" t="s">
        <v>120</v>
      </c>
      <c r="J1750" s="1" t="s">
        <v>1139</v>
      </c>
      <c r="K1750" s="19" t="s">
        <v>26</v>
      </c>
      <c r="L1750" s="20" t="s">
        <v>70</v>
      </c>
      <c r="M1750" s="21">
        <f t="shared" si="1"/>
        <v>4</v>
      </c>
      <c r="N1750" s="2">
        <v>1141.07</v>
      </c>
      <c r="O1750" s="2">
        <v>63.0</v>
      </c>
      <c r="P1750" s="2">
        <v>12190.98</v>
      </c>
      <c r="Q1750" s="2">
        <v>53476.0</v>
      </c>
      <c r="R1750" s="15" t="b">
        <f>ISNUMBER(MATCH(Q1750,'Returned order'!A:A,0))</f>
        <v>0</v>
      </c>
      <c r="S1750" s="22">
        <v>42166.0</v>
      </c>
      <c r="T1750" s="15"/>
      <c r="U1750" s="15"/>
      <c r="V1750" s="15"/>
    </row>
    <row r="1751">
      <c r="A1751" s="2">
        <v>1739.0</v>
      </c>
      <c r="B1751" s="1" t="s">
        <v>63</v>
      </c>
      <c r="C1751" s="2">
        <v>0.0</v>
      </c>
      <c r="D1751" s="2">
        <v>137.48</v>
      </c>
      <c r="E1751" s="2">
        <v>3079.0</v>
      </c>
      <c r="F1751" s="1" t="s">
        <v>1943</v>
      </c>
      <c r="G1751" s="1" t="s">
        <v>66</v>
      </c>
      <c r="H1751" s="1" t="s">
        <v>37</v>
      </c>
      <c r="I1751" s="1" t="s">
        <v>55</v>
      </c>
      <c r="J1751" s="1" t="s">
        <v>1939</v>
      </c>
      <c r="K1751" s="19" t="s">
        <v>26</v>
      </c>
      <c r="L1751" s="20" t="s">
        <v>35</v>
      </c>
      <c r="M1751" s="21">
        <f t="shared" si="1"/>
        <v>3</v>
      </c>
      <c r="N1751" s="2">
        <v>-203.27</v>
      </c>
      <c r="O1751" s="2">
        <v>10.0</v>
      </c>
      <c r="P1751" s="2">
        <v>1483.76</v>
      </c>
      <c r="Q1751" s="2">
        <v>12480.0</v>
      </c>
      <c r="R1751" s="15" t="b">
        <f>ISNUMBER(MATCH(Q1751,'Returned order'!A:A,0))</f>
        <v>0</v>
      </c>
      <c r="S1751" s="22">
        <v>42011.0</v>
      </c>
      <c r="T1751" s="15"/>
      <c r="U1751" s="15"/>
      <c r="V1751" s="15"/>
    </row>
    <row r="1752">
      <c r="A1752" s="2">
        <v>6807.0</v>
      </c>
      <c r="B1752" s="1" t="s">
        <v>58</v>
      </c>
      <c r="C1752" s="2">
        <v>0.0</v>
      </c>
      <c r="D1752" s="2">
        <v>2.21</v>
      </c>
      <c r="E1752" s="2">
        <v>3079.0</v>
      </c>
      <c r="F1752" s="1" t="s">
        <v>1943</v>
      </c>
      <c r="G1752" s="1" t="s">
        <v>66</v>
      </c>
      <c r="H1752" s="1" t="s">
        <v>23</v>
      </c>
      <c r="I1752" s="1" t="s">
        <v>29</v>
      </c>
      <c r="J1752" s="1" t="s">
        <v>1944</v>
      </c>
      <c r="K1752" s="19" t="s">
        <v>26</v>
      </c>
      <c r="L1752" s="20" t="s">
        <v>35</v>
      </c>
      <c r="M1752" s="21">
        <f t="shared" si="1"/>
        <v>3</v>
      </c>
      <c r="N1752" s="2">
        <v>10.01</v>
      </c>
      <c r="O1752" s="2">
        <v>33.0</v>
      </c>
      <c r="P1752" s="2">
        <v>87.18</v>
      </c>
      <c r="Q1752" s="2">
        <v>48483.0</v>
      </c>
      <c r="R1752" s="15" t="b">
        <f>ISNUMBER(MATCH(Q1752,'Returned order'!A:A,0))</f>
        <v>0</v>
      </c>
      <c r="S1752" s="22">
        <v>42165.0</v>
      </c>
      <c r="T1752" s="15"/>
      <c r="U1752" s="15"/>
      <c r="V1752" s="15"/>
    </row>
    <row r="1753">
      <c r="A1753" s="2">
        <v>19756.0</v>
      </c>
      <c r="B1753" s="1" t="s">
        <v>28</v>
      </c>
      <c r="C1753" s="2">
        <v>0.0</v>
      </c>
      <c r="D1753" s="2">
        <v>65.99</v>
      </c>
      <c r="E1753" s="2">
        <v>3084.0</v>
      </c>
      <c r="F1753" s="1" t="s">
        <v>1945</v>
      </c>
      <c r="G1753" s="1" t="s">
        <v>66</v>
      </c>
      <c r="H1753" s="1" t="s">
        <v>46</v>
      </c>
      <c r="I1753" s="1" t="s">
        <v>85</v>
      </c>
      <c r="J1753" s="1" t="s">
        <v>1741</v>
      </c>
      <c r="K1753" s="19" t="s">
        <v>34</v>
      </c>
      <c r="L1753" s="20" t="s">
        <v>27</v>
      </c>
      <c r="M1753" s="21">
        <f t="shared" si="1"/>
        <v>1</v>
      </c>
      <c r="N1753" s="2">
        <v>313.812</v>
      </c>
      <c r="O1753" s="2">
        <v>14.0</v>
      </c>
      <c r="P1753" s="2">
        <v>798.89</v>
      </c>
      <c r="Q1753" s="2">
        <v>89879.0</v>
      </c>
      <c r="R1753" s="15" t="b">
        <f>ISNUMBER(MATCH(Q1753,'Returned order'!A:A,0))</f>
        <v>0</v>
      </c>
      <c r="S1753" s="22">
        <v>42114.0</v>
      </c>
      <c r="T1753" s="15"/>
      <c r="U1753" s="15"/>
      <c r="V1753" s="15"/>
    </row>
    <row r="1754">
      <c r="A1754" s="2">
        <v>20589.0</v>
      </c>
      <c r="B1754" s="1" t="s">
        <v>49</v>
      </c>
      <c r="C1754" s="2">
        <v>0.01</v>
      </c>
      <c r="D1754" s="2">
        <v>7.1</v>
      </c>
      <c r="E1754" s="2">
        <v>3084.0</v>
      </c>
      <c r="F1754" s="1" t="s">
        <v>1945</v>
      </c>
      <c r="G1754" s="1" t="s">
        <v>66</v>
      </c>
      <c r="H1754" s="1" t="s">
        <v>23</v>
      </c>
      <c r="I1754" s="1" t="s">
        <v>24</v>
      </c>
      <c r="J1754" s="1" t="s">
        <v>143</v>
      </c>
      <c r="K1754" s="19" t="s">
        <v>34</v>
      </c>
      <c r="L1754" s="20" t="s">
        <v>35</v>
      </c>
      <c r="M1754" s="21">
        <f t="shared" si="1"/>
        <v>3</v>
      </c>
      <c r="N1754" s="2">
        <v>-39.18625</v>
      </c>
      <c r="O1754" s="2">
        <v>18.0</v>
      </c>
      <c r="P1754" s="2">
        <v>133.19</v>
      </c>
      <c r="Q1754" s="2">
        <v>89880.0</v>
      </c>
      <c r="R1754" s="15" t="b">
        <f>ISNUMBER(MATCH(Q1754,'Returned order'!A:A,0))</f>
        <v>0</v>
      </c>
      <c r="S1754" s="22">
        <v>42179.0</v>
      </c>
      <c r="T1754" s="15"/>
      <c r="U1754" s="15"/>
      <c r="V1754" s="15"/>
    </row>
    <row r="1755">
      <c r="A1755" s="2">
        <v>20590.0</v>
      </c>
      <c r="B1755" s="1" t="s">
        <v>49</v>
      </c>
      <c r="C1755" s="2">
        <v>0.05</v>
      </c>
      <c r="D1755" s="2">
        <v>18.97</v>
      </c>
      <c r="E1755" s="2">
        <v>3084.0</v>
      </c>
      <c r="F1755" s="1" t="s">
        <v>1945</v>
      </c>
      <c r="G1755" s="1" t="s">
        <v>66</v>
      </c>
      <c r="H1755" s="1" t="s">
        <v>23</v>
      </c>
      <c r="I1755" s="1" t="s">
        <v>93</v>
      </c>
      <c r="J1755" s="1" t="s">
        <v>99</v>
      </c>
      <c r="K1755" s="19" t="s">
        <v>34</v>
      </c>
      <c r="L1755" s="20" t="s">
        <v>35</v>
      </c>
      <c r="M1755" s="21">
        <f t="shared" si="1"/>
        <v>3</v>
      </c>
      <c r="N1755" s="2">
        <v>-1.89</v>
      </c>
      <c r="O1755" s="2">
        <v>5.0</v>
      </c>
      <c r="P1755" s="2">
        <v>97.33</v>
      </c>
      <c r="Q1755" s="2">
        <v>89880.0</v>
      </c>
      <c r="R1755" s="15" t="b">
        <f>ISNUMBER(MATCH(Q1755,'Returned order'!A:A,0))</f>
        <v>0</v>
      </c>
      <c r="S1755" s="22">
        <v>42179.0</v>
      </c>
      <c r="T1755" s="15"/>
      <c r="U1755" s="15"/>
      <c r="V1755" s="15"/>
    </row>
    <row r="1756">
      <c r="A1756" s="2">
        <v>20008.0</v>
      </c>
      <c r="B1756" s="1" t="s">
        <v>28</v>
      </c>
      <c r="C1756" s="2">
        <v>0.05</v>
      </c>
      <c r="D1756" s="2">
        <v>39.99</v>
      </c>
      <c r="E1756" s="2">
        <v>3086.0</v>
      </c>
      <c r="F1756" s="1" t="s">
        <v>1946</v>
      </c>
      <c r="G1756" s="1" t="s">
        <v>22</v>
      </c>
      <c r="H1756" s="1" t="s">
        <v>46</v>
      </c>
      <c r="I1756" s="1" t="s">
        <v>47</v>
      </c>
      <c r="J1756" s="1" t="s">
        <v>1947</v>
      </c>
      <c r="K1756" s="19" t="s">
        <v>229</v>
      </c>
      <c r="L1756" s="20" t="s">
        <v>27</v>
      </c>
      <c r="M1756" s="21">
        <f t="shared" si="1"/>
        <v>1</v>
      </c>
      <c r="N1756" s="2">
        <v>4.29</v>
      </c>
      <c r="O1756" s="2">
        <v>3.0</v>
      </c>
      <c r="P1756" s="2">
        <v>130.91</v>
      </c>
      <c r="Q1756" s="2">
        <v>88380.0</v>
      </c>
      <c r="R1756" s="15" t="b">
        <f>ISNUMBER(MATCH(Q1756,'Returned order'!A:A,0))</f>
        <v>0</v>
      </c>
      <c r="S1756" s="22">
        <v>42142.0</v>
      </c>
      <c r="T1756" s="15"/>
      <c r="U1756" s="15"/>
      <c r="V1756" s="15"/>
    </row>
    <row r="1757">
      <c r="A1757" s="2">
        <v>21085.0</v>
      </c>
      <c r="B1757" s="1" t="s">
        <v>170</v>
      </c>
      <c r="C1757" s="2">
        <v>0.07</v>
      </c>
      <c r="D1757" s="2">
        <v>49.43</v>
      </c>
      <c r="E1757" s="2">
        <v>3089.0</v>
      </c>
      <c r="F1757" s="1" t="s">
        <v>1948</v>
      </c>
      <c r="G1757" s="1" t="s">
        <v>32</v>
      </c>
      <c r="H1757" s="1" t="s">
        <v>23</v>
      </c>
      <c r="I1757" s="1" t="s">
        <v>151</v>
      </c>
      <c r="J1757" s="1" t="s">
        <v>1949</v>
      </c>
      <c r="K1757" s="19" t="s">
        <v>68</v>
      </c>
      <c r="L1757" s="20" t="s">
        <v>53</v>
      </c>
      <c r="M1757" s="21">
        <f t="shared" si="1"/>
        <v>6</v>
      </c>
      <c r="N1757" s="2">
        <v>-122.77</v>
      </c>
      <c r="O1757" s="2">
        <v>6.0</v>
      </c>
      <c r="P1757" s="2">
        <v>281.82</v>
      </c>
      <c r="Q1757" s="2">
        <v>91219.0</v>
      </c>
      <c r="R1757" s="15" t="b">
        <f>ISNUMBER(MATCH(Q1757,'Returned order'!A:A,0))</f>
        <v>0</v>
      </c>
      <c r="S1757" s="22">
        <v>42028.0</v>
      </c>
      <c r="T1757" s="15"/>
      <c r="U1757" s="15"/>
      <c r="V1757" s="15"/>
    </row>
    <row r="1758">
      <c r="A1758" s="2">
        <v>20357.0</v>
      </c>
      <c r="B1758" s="1" t="s">
        <v>58</v>
      </c>
      <c r="C1758" s="2">
        <v>0.09</v>
      </c>
      <c r="D1758" s="2">
        <v>207.48</v>
      </c>
      <c r="E1758" s="2">
        <v>3095.0</v>
      </c>
      <c r="F1758" s="1" t="s">
        <v>225</v>
      </c>
      <c r="G1758" s="1" t="s">
        <v>22</v>
      </c>
      <c r="H1758" s="1" t="s">
        <v>23</v>
      </c>
      <c r="I1758" s="1" t="s">
        <v>151</v>
      </c>
      <c r="J1758" s="1" t="s">
        <v>227</v>
      </c>
      <c r="K1758" s="19" t="s">
        <v>26</v>
      </c>
      <c r="L1758" s="20" t="s">
        <v>27</v>
      </c>
      <c r="M1758" s="21">
        <f t="shared" si="1"/>
        <v>1</v>
      </c>
      <c r="N1758" s="2">
        <v>683.9556</v>
      </c>
      <c r="O1758" s="2">
        <v>5.0</v>
      </c>
      <c r="P1758" s="2">
        <v>991.24</v>
      </c>
      <c r="Q1758" s="2">
        <v>86220.0</v>
      </c>
      <c r="R1758" s="15" t="b">
        <f>ISNUMBER(MATCH(Q1758,'Returned order'!A:A,0))</f>
        <v>0</v>
      </c>
      <c r="S1758" s="22">
        <v>42023.0</v>
      </c>
      <c r="T1758" s="15"/>
      <c r="U1758" s="15"/>
      <c r="V1758" s="15"/>
    </row>
    <row r="1759">
      <c r="A1759" s="2">
        <v>21235.0</v>
      </c>
      <c r="B1759" s="1" t="s">
        <v>28</v>
      </c>
      <c r="C1759" s="2">
        <v>0.08</v>
      </c>
      <c r="D1759" s="2">
        <v>40.98</v>
      </c>
      <c r="E1759" s="2">
        <v>3096.0</v>
      </c>
      <c r="F1759" s="1" t="s">
        <v>1950</v>
      </c>
      <c r="G1759" s="1" t="s">
        <v>22</v>
      </c>
      <c r="H1759" s="1" t="s">
        <v>23</v>
      </c>
      <c r="I1759" s="1" t="s">
        <v>151</v>
      </c>
      <c r="J1759" s="1" t="s">
        <v>1951</v>
      </c>
      <c r="K1759" s="19" t="s">
        <v>26</v>
      </c>
      <c r="L1759" s="20" t="s">
        <v>61</v>
      </c>
      <c r="M1759" s="21">
        <f t="shared" si="1"/>
        <v>7</v>
      </c>
      <c r="N1759" s="2">
        <v>-16.64</v>
      </c>
      <c r="O1759" s="2">
        <v>3.0</v>
      </c>
      <c r="P1759" s="2">
        <v>119.86</v>
      </c>
      <c r="Q1759" s="2">
        <v>86221.0</v>
      </c>
      <c r="R1759" s="15" t="b">
        <f>ISNUMBER(MATCH(Q1759,'Returned order'!A:A,0))</f>
        <v>0</v>
      </c>
      <c r="S1759" s="22">
        <v>42148.0</v>
      </c>
      <c r="T1759" s="15"/>
      <c r="U1759" s="15"/>
      <c r="V1759" s="15"/>
    </row>
    <row r="1760">
      <c r="A1760" s="2">
        <v>21236.0</v>
      </c>
      <c r="B1760" s="1" t="s">
        <v>28</v>
      </c>
      <c r="C1760" s="2">
        <v>0.08</v>
      </c>
      <c r="D1760" s="2">
        <v>8.12</v>
      </c>
      <c r="E1760" s="2">
        <v>3096.0</v>
      </c>
      <c r="F1760" s="1" t="s">
        <v>1950</v>
      </c>
      <c r="G1760" s="1" t="s">
        <v>22</v>
      </c>
      <c r="H1760" s="1" t="s">
        <v>46</v>
      </c>
      <c r="I1760" s="1" t="s">
        <v>47</v>
      </c>
      <c r="J1760" s="1" t="s">
        <v>674</v>
      </c>
      <c r="K1760" s="19" t="s">
        <v>26</v>
      </c>
      <c r="L1760" s="20" t="s">
        <v>61</v>
      </c>
      <c r="M1760" s="21">
        <f t="shared" si="1"/>
        <v>7</v>
      </c>
      <c r="N1760" s="2">
        <v>-59.73</v>
      </c>
      <c r="O1760" s="2">
        <v>12.0</v>
      </c>
      <c r="P1760" s="2">
        <v>98.77</v>
      </c>
      <c r="Q1760" s="2">
        <v>86221.0</v>
      </c>
      <c r="R1760" s="15" t="b">
        <f>ISNUMBER(MATCH(Q1760,'Returned order'!A:A,0))</f>
        <v>0</v>
      </c>
      <c r="S1760" s="22">
        <v>42148.0</v>
      </c>
      <c r="T1760" s="15"/>
      <c r="U1760" s="15"/>
      <c r="V1760" s="15"/>
    </row>
    <row r="1761">
      <c r="A1761" s="2">
        <v>21237.0</v>
      </c>
      <c r="B1761" s="1" t="s">
        <v>28</v>
      </c>
      <c r="C1761" s="2">
        <v>0.02</v>
      </c>
      <c r="D1761" s="2">
        <v>262.11</v>
      </c>
      <c r="E1761" s="2">
        <v>3096.0</v>
      </c>
      <c r="F1761" s="1" t="s">
        <v>1950</v>
      </c>
      <c r="G1761" s="1" t="s">
        <v>22</v>
      </c>
      <c r="H1761" s="1" t="s">
        <v>37</v>
      </c>
      <c r="I1761" s="1" t="s">
        <v>73</v>
      </c>
      <c r="J1761" s="1" t="s">
        <v>1952</v>
      </c>
      <c r="K1761" s="19" t="s">
        <v>26</v>
      </c>
      <c r="L1761" s="20" t="s">
        <v>61</v>
      </c>
      <c r="M1761" s="21">
        <f t="shared" si="1"/>
        <v>7</v>
      </c>
      <c r="N1761" s="2">
        <v>-633.441237</v>
      </c>
      <c r="O1761" s="2">
        <v>9.0</v>
      </c>
      <c r="P1761" s="2">
        <v>2495.35</v>
      </c>
      <c r="Q1761" s="2">
        <v>86221.0</v>
      </c>
      <c r="R1761" s="15" t="b">
        <f>ISNUMBER(MATCH(Q1761,'Returned order'!A:A,0))</f>
        <v>0</v>
      </c>
      <c r="S1761" s="22">
        <v>42148.0</v>
      </c>
      <c r="T1761" s="15"/>
      <c r="U1761" s="15"/>
      <c r="V1761" s="15"/>
    </row>
    <row r="1762">
      <c r="A1762" s="2">
        <v>25999.0</v>
      </c>
      <c r="B1762" s="1" t="s">
        <v>58</v>
      </c>
      <c r="C1762" s="2">
        <v>0.04</v>
      </c>
      <c r="D1762" s="2">
        <v>33.89</v>
      </c>
      <c r="E1762" s="2">
        <v>3096.0</v>
      </c>
      <c r="F1762" s="1" t="s">
        <v>1950</v>
      </c>
      <c r="G1762" s="1" t="s">
        <v>22</v>
      </c>
      <c r="H1762" s="1" t="s">
        <v>23</v>
      </c>
      <c r="I1762" s="1" t="s">
        <v>120</v>
      </c>
      <c r="J1762" s="1" t="s">
        <v>1953</v>
      </c>
      <c r="K1762" s="19" t="s">
        <v>26</v>
      </c>
      <c r="L1762" s="20" t="s">
        <v>35</v>
      </c>
      <c r="M1762" s="21">
        <f t="shared" si="1"/>
        <v>3</v>
      </c>
      <c r="N1762" s="2">
        <v>72.984</v>
      </c>
      <c r="O1762" s="2">
        <v>6.0</v>
      </c>
      <c r="P1762" s="2">
        <v>200.83</v>
      </c>
      <c r="Q1762" s="2">
        <v>86222.0</v>
      </c>
      <c r="R1762" s="15" t="b">
        <f>ISNUMBER(MATCH(Q1762,'Returned order'!A:A,0))</f>
        <v>0</v>
      </c>
      <c r="S1762" s="22">
        <v>42172.0</v>
      </c>
      <c r="T1762" s="15"/>
      <c r="U1762" s="15"/>
      <c r="V1762" s="15"/>
    </row>
    <row r="1763">
      <c r="A1763" s="2">
        <v>19816.0</v>
      </c>
      <c r="B1763" s="1" t="s">
        <v>58</v>
      </c>
      <c r="C1763" s="2">
        <v>0.05</v>
      </c>
      <c r="D1763" s="2">
        <v>35.44</v>
      </c>
      <c r="E1763" s="2">
        <v>3098.0</v>
      </c>
      <c r="F1763" s="1" t="s">
        <v>1954</v>
      </c>
      <c r="G1763" s="1" t="s">
        <v>22</v>
      </c>
      <c r="H1763" s="1" t="s">
        <v>23</v>
      </c>
      <c r="I1763" s="1" t="s">
        <v>93</v>
      </c>
      <c r="J1763" s="1" t="s">
        <v>1942</v>
      </c>
      <c r="K1763" s="19" t="s">
        <v>26</v>
      </c>
      <c r="L1763" s="20" t="s">
        <v>35</v>
      </c>
      <c r="M1763" s="21">
        <f t="shared" si="1"/>
        <v>3</v>
      </c>
      <c r="N1763" s="2">
        <v>240.1752</v>
      </c>
      <c r="O1763" s="2">
        <v>10.0</v>
      </c>
      <c r="P1763" s="2">
        <v>348.08</v>
      </c>
      <c r="Q1763" s="2">
        <v>89314.0</v>
      </c>
      <c r="R1763" s="15" t="b">
        <f>ISNUMBER(MATCH(Q1763,'Returned order'!A:A,0))</f>
        <v>0</v>
      </c>
      <c r="S1763" s="22">
        <v>42102.0</v>
      </c>
      <c r="T1763" s="15"/>
      <c r="U1763" s="15"/>
      <c r="V1763" s="15"/>
    </row>
    <row r="1764">
      <c r="A1764" s="2">
        <v>22503.0</v>
      </c>
      <c r="B1764" s="1" t="s">
        <v>170</v>
      </c>
      <c r="C1764" s="2">
        <v>0.0</v>
      </c>
      <c r="D1764" s="2">
        <v>11.7</v>
      </c>
      <c r="E1764" s="2">
        <v>3098.0</v>
      </c>
      <c r="F1764" s="1" t="s">
        <v>1954</v>
      </c>
      <c r="G1764" s="1" t="s">
        <v>22</v>
      </c>
      <c r="H1764" s="1" t="s">
        <v>23</v>
      </c>
      <c r="I1764" s="1" t="s">
        <v>151</v>
      </c>
      <c r="J1764" s="1" t="s">
        <v>974</v>
      </c>
      <c r="K1764" s="19" t="s">
        <v>26</v>
      </c>
      <c r="L1764" s="20" t="s">
        <v>35</v>
      </c>
      <c r="M1764" s="21">
        <f t="shared" si="1"/>
        <v>3</v>
      </c>
      <c r="N1764" s="2">
        <v>-11.248</v>
      </c>
      <c r="O1764" s="2">
        <v>10.0</v>
      </c>
      <c r="P1764" s="2">
        <v>131.69</v>
      </c>
      <c r="Q1764" s="2">
        <v>89315.0</v>
      </c>
      <c r="R1764" s="15" t="b">
        <f>ISNUMBER(MATCH(Q1764,'Returned order'!A:A,0))</f>
        <v>0</v>
      </c>
      <c r="S1764" s="22">
        <v>42172.0</v>
      </c>
      <c r="T1764" s="15"/>
      <c r="U1764" s="15"/>
      <c r="V1764" s="15"/>
    </row>
    <row r="1765">
      <c r="A1765" s="2">
        <v>18930.0</v>
      </c>
      <c r="B1765" s="1" t="s">
        <v>170</v>
      </c>
      <c r="C1765" s="2">
        <v>0.06</v>
      </c>
      <c r="D1765" s="2">
        <v>2.89</v>
      </c>
      <c r="E1765" s="2">
        <v>3098.0</v>
      </c>
      <c r="F1765" s="1" t="s">
        <v>1954</v>
      </c>
      <c r="G1765" s="1" t="s">
        <v>22</v>
      </c>
      <c r="H1765" s="1" t="s">
        <v>23</v>
      </c>
      <c r="I1765" s="1" t="s">
        <v>130</v>
      </c>
      <c r="J1765" s="1" t="s">
        <v>645</v>
      </c>
      <c r="K1765" s="19" t="s">
        <v>26</v>
      </c>
      <c r="L1765" s="20" t="s">
        <v>53</v>
      </c>
      <c r="M1765" s="21">
        <f t="shared" si="1"/>
        <v>6</v>
      </c>
      <c r="N1765" s="2">
        <v>9.6117</v>
      </c>
      <c r="O1765" s="2">
        <v>5.0</v>
      </c>
      <c r="P1765" s="2">
        <v>13.93</v>
      </c>
      <c r="Q1765" s="2">
        <v>89316.0</v>
      </c>
      <c r="R1765" s="15" t="b">
        <f>ISNUMBER(MATCH(Q1765,'Returned order'!A:A,0))</f>
        <v>0</v>
      </c>
      <c r="S1765" s="22">
        <v>42063.0</v>
      </c>
      <c r="T1765" s="15"/>
      <c r="U1765" s="15"/>
      <c r="V1765" s="15"/>
    </row>
    <row r="1766">
      <c r="A1766" s="2">
        <v>19805.0</v>
      </c>
      <c r="B1766" s="1" t="s">
        <v>58</v>
      </c>
      <c r="C1766" s="2">
        <v>0.07</v>
      </c>
      <c r="D1766" s="2">
        <v>35.99</v>
      </c>
      <c r="E1766" s="2">
        <v>3100.0</v>
      </c>
      <c r="F1766" s="1" t="s">
        <v>1955</v>
      </c>
      <c r="G1766" s="1" t="s">
        <v>22</v>
      </c>
      <c r="H1766" s="1" t="s">
        <v>46</v>
      </c>
      <c r="I1766" s="1" t="s">
        <v>85</v>
      </c>
      <c r="J1766" s="1" t="s">
        <v>1293</v>
      </c>
      <c r="K1766" s="19" t="s">
        <v>229</v>
      </c>
      <c r="L1766" s="20" t="s">
        <v>35</v>
      </c>
      <c r="M1766" s="21">
        <f t="shared" si="1"/>
        <v>3</v>
      </c>
      <c r="N1766" s="2">
        <v>-299.8142</v>
      </c>
      <c r="O1766" s="2">
        <v>1.0</v>
      </c>
      <c r="P1766" s="2">
        <v>31.71</v>
      </c>
      <c r="Q1766" s="2">
        <v>89988.0</v>
      </c>
      <c r="R1766" s="15" t="b">
        <f>ISNUMBER(MATCH(Q1766,'Returned order'!A:A,0))</f>
        <v>0</v>
      </c>
      <c r="S1766" s="22">
        <v>42088.0</v>
      </c>
      <c r="T1766" s="15"/>
      <c r="U1766" s="15"/>
      <c r="V1766" s="15"/>
    </row>
    <row r="1767">
      <c r="A1767" s="2">
        <v>18087.0</v>
      </c>
      <c r="B1767" s="1" t="s">
        <v>58</v>
      </c>
      <c r="C1767" s="2">
        <v>0.04</v>
      </c>
      <c r="D1767" s="2">
        <v>3.08</v>
      </c>
      <c r="E1767" s="2">
        <v>3105.0</v>
      </c>
      <c r="F1767" s="1" t="s">
        <v>1956</v>
      </c>
      <c r="G1767" s="1" t="s">
        <v>51</v>
      </c>
      <c r="H1767" s="1" t="s">
        <v>23</v>
      </c>
      <c r="I1767" s="1" t="s">
        <v>130</v>
      </c>
      <c r="J1767" s="1" t="s">
        <v>1445</v>
      </c>
      <c r="K1767" s="19" t="s">
        <v>229</v>
      </c>
      <c r="L1767" s="20" t="s">
        <v>76</v>
      </c>
      <c r="M1767" s="21">
        <f t="shared" si="1"/>
        <v>5</v>
      </c>
      <c r="N1767" s="2">
        <v>13.8</v>
      </c>
      <c r="O1767" s="2">
        <v>19.0</v>
      </c>
      <c r="P1767" s="2">
        <v>60.01</v>
      </c>
      <c r="Q1767" s="2">
        <v>86327.0</v>
      </c>
      <c r="R1767" s="15" t="b">
        <f>ISNUMBER(MATCH(Q1767,'Returned order'!A:A,0))</f>
        <v>0</v>
      </c>
      <c r="S1767" s="22">
        <v>42083.0</v>
      </c>
      <c r="T1767" s="15"/>
      <c r="U1767" s="15"/>
      <c r="V1767" s="15"/>
    </row>
    <row r="1768">
      <c r="A1768" s="2">
        <v>18088.0</v>
      </c>
      <c r="B1768" s="1" t="s">
        <v>58</v>
      </c>
      <c r="C1768" s="2">
        <v>0.02</v>
      </c>
      <c r="D1768" s="2">
        <v>6.48</v>
      </c>
      <c r="E1768" s="2">
        <v>3105.0</v>
      </c>
      <c r="F1768" s="1" t="s">
        <v>1956</v>
      </c>
      <c r="G1768" s="1" t="s">
        <v>51</v>
      </c>
      <c r="H1768" s="1" t="s">
        <v>23</v>
      </c>
      <c r="I1768" s="1" t="s">
        <v>93</v>
      </c>
      <c r="J1768" s="1" t="s">
        <v>594</v>
      </c>
      <c r="K1768" s="19" t="s">
        <v>229</v>
      </c>
      <c r="L1768" s="20" t="s">
        <v>76</v>
      </c>
      <c r="M1768" s="21">
        <f t="shared" si="1"/>
        <v>5</v>
      </c>
      <c r="N1768" s="2">
        <v>4.392</v>
      </c>
      <c r="O1768" s="2">
        <v>13.0</v>
      </c>
      <c r="P1768" s="2">
        <v>90.98</v>
      </c>
      <c r="Q1768" s="2">
        <v>86327.0</v>
      </c>
      <c r="R1768" s="15" t="b">
        <f>ISNUMBER(MATCH(Q1768,'Returned order'!A:A,0))</f>
        <v>0</v>
      </c>
      <c r="S1768" s="22">
        <v>42083.0</v>
      </c>
      <c r="T1768" s="15"/>
      <c r="U1768" s="15"/>
      <c r="V1768" s="15"/>
    </row>
    <row r="1769">
      <c r="A1769" s="2">
        <v>18089.0</v>
      </c>
      <c r="B1769" s="1" t="s">
        <v>58</v>
      </c>
      <c r="C1769" s="2">
        <v>0.04</v>
      </c>
      <c r="D1769" s="2">
        <v>125.99</v>
      </c>
      <c r="E1769" s="2">
        <v>3105.0</v>
      </c>
      <c r="F1769" s="1" t="s">
        <v>1956</v>
      </c>
      <c r="G1769" s="1" t="s">
        <v>51</v>
      </c>
      <c r="H1769" s="1" t="s">
        <v>46</v>
      </c>
      <c r="I1769" s="1" t="s">
        <v>85</v>
      </c>
      <c r="J1769" s="1" t="s">
        <v>1957</v>
      </c>
      <c r="K1769" s="19" t="s">
        <v>229</v>
      </c>
      <c r="L1769" s="20" t="s">
        <v>76</v>
      </c>
      <c r="M1769" s="21">
        <f t="shared" si="1"/>
        <v>5</v>
      </c>
      <c r="N1769" s="2">
        <v>-236.25</v>
      </c>
      <c r="O1769" s="2">
        <v>12.0</v>
      </c>
      <c r="P1769" s="2">
        <v>1270.7</v>
      </c>
      <c r="Q1769" s="2">
        <v>86327.0</v>
      </c>
      <c r="R1769" s="15" t="b">
        <f>ISNUMBER(MATCH(Q1769,'Returned order'!A:A,0))</f>
        <v>0</v>
      </c>
      <c r="S1769" s="22">
        <v>42083.0</v>
      </c>
      <c r="T1769" s="15"/>
      <c r="U1769" s="15"/>
      <c r="V1769" s="15"/>
    </row>
    <row r="1770">
      <c r="A1770" s="2">
        <v>87.0</v>
      </c>
      <c r="B1770" s="1" t="s">
        <v>58</v>
      </c>
      <c r="C1770" s="2">
        <v>0.04</v>
      </c>
      <c r="D1770" s="2">
        <v>3.08</v>
      </c>
      <c r="E1770" s="2">
        <v>3106.0</v>
      </c>
      <c r="F1770" s="1" t="s">
        <v>1958</v>
      </c>
      <c r="G1770" s="1" t="s">
        <v>51</v>
      </c>
      <c r="H1770" s="1" t="s">
        <v>23</v>
      </c>
      <c r="I1770" s="1" t="s">
        <v>130</v>
      </c>
      <c r="J1770" s="1" t="s">
        <v>1445</v>
      </c>
      <c r="K1770" s="19" t="s">
        <v>68</v>
      </c>
      <c r="L1770" s="20" t="s">
        <v>76</v>
      </c>
      <c r="M1770" s="21">
        <f t="shared" si="1"/>
        <v>5</v>
      </c>
      <c r="N1770" s="2">
        <v>36.02</v>
      </c>
      <c r="O1770" s="2">
        <v>75.0</v>
      </c>
      <c r="P1770" s="2">
        <v>236.87</v>
      </c>
      <c r="Q1770" s="2">
        <v>548.0</v>
      </c>
      <c r="R1770" s="15" t="b">
        <f>ISNUMBER(MATCH(Q1770,'Returned order'!A:A,0))</f>
        <v>0</v>
      </c>
      <c r="S1770" s="22">
        <v>42083.0</v>
      </c>
      <c r="T1770" s="15"/>
      <c r="U1770" s="15"/>
      <c r="V1770" s="15"/>
    </row>
    <row r="1771">
      <c r="A1771" s="2">
        <v>88.0</v>
      </c>
      <c r="B1771" s="1" t="s">
        <v>58</v>
      </c>
      <c r="C1771" s="2">
        <v>0.02</v>
      </c>
      <c r="D1771" s="2">
        <v>6.48</v>
      </c>
      <c r="E1771" s="2">
        <v>3106.0</v>
      </c>
      <c r="F1771" s="1" t="s">
        <v>1958</v>
      </c>
      <c r="G1771" s="1" t="s">
        <v>51</v>
      </c>
      <c r="H1771" s="1" t="s">
        <v>23</v>
      </c>
      <c r="I1771" s="1" t="s">
        <v>93</v>
      </c>
      <c r="J1771" s="1" t="s">
        <v>594</v>
      </c>
      <c r="K1771" s="19" t="s">
        <v>68</v>
      </c>
      <c r="L1771" s="20" t="s">
        <v>76</v>
      </c>
      <c r="M1771" s="21">
        <f t="shared" si="1"/>
        <v>5</v>
      </c>
      <c r="N1771" s="2">
        <v>-50.64</v>
      </c>
      <c r="O1771" s="2">
        <v>53.0</v>
      </c>
      <c r="P1771" s="2">
        <v>370.91</v>
      </c>
      <c r="Q1771" s="2">
        <v>548.0</v>
      </c>
      <c r="R1771" s="15" t="b">
        <f>ISNUMBER(MATCH(Q1771,'Returned order'!A:A,0))</f>
        <v>0</v>
      </c>
      <c r="S1771" s="22">
        <v>42083.0</v>
      </c>
      <c r="T1771" s="15"/>
      <c r="U1771" s="15"/>
      <c r="V1771" s="15"/>
    </row>
    <row r="1772">
      <c r="A1772" s="2">
        <v>89.0</v>
      </c>
      <c r="B1772" s="1" t="s">
        <v>58</v>
      </c>
      <c r="C1772" s="2">
        <v>0.04</v>
      </c>
      <c r="D1772" s="2">
        <v>125.99</v>
      </c>
      <c r="E1772" s="2">
        <v>3106.0</v>
      </c>
      <c r="F1772" s="1" t="s">
        <v>1958</v>
      </c>
      <c r="G1772" s="1" t="s">
        <v>51</v>
      </c>
      <c r="H1772" s="1" t="s">
        <v>46</v>
      </c>
      <c r="I1772" s="1" t="s">
        <v>85</v>
      </c>
      <c r="J1772" s="1" t="s">
        <v>1957</v>
      </c>
      <c r="K1772" s="19" t="s">
        <v>68</v>
      </c>
      <c r="L1772" s="20" t="s">
        <v>76</v>
      </c>
      <c r="M1772" s="21">
        <f t="shared" si="1"/>
        <v>5</v>
      </c>
      <c r="N1772" s="2">
        <v>510.489</v>
      </c>
      <c r="O1772" s="2">
        <v>47.0</v>
      </c>
      <c r="P1772" s="2">
        <v>4976.92</v>
      </c>
      <c r="Q1772" s="2">
        <v>548.0</v>
      </c>
      <c r="R1772" s="15" t="b">
        <f>ISNUMBER(MATCH(Q1772,'Returned order'!A:A,0))</f>
        <v>0</v>
      </c>
      <c r="S1772" s="22">
        <v>42083.0</v>
      </c>
      <c r="T1772" s="15"/>
      <c r="U1772" s="15"/>
      <c r="V1772" s="15"/>
    </row>
    <row r="1773">
      <c r="A1773" s="2">
        <v>21120.0</v>
      </c>
      <c r="B1773" s="1" t="s">
        <v>49</v>
      </c>
      <c r="C1773" s="2">
        <v>0.07</v>
      </c>
      <c r="D1773" s="2">
        <v>34.54</v>
      </c>
      <c r="E1773" s="2">
        <v>3113.0</v>
      </c>
      <c r="F1773" s="1" t="s">
        <v>1959</v>
      </c>
      <c r="G1773" s="1" t="s">
        <v>32</v>
      </c>
      <c r="H1773" s="1" t="s">
        <v>23</v>
      </c>
      <c r="I1773" s="1" t="s">
        <v>24</v>
      </c>
      <c r="J1773" s="1" t="s">
        <v>1960</v>
      </c>
      <c r="K1773" s="19" t="s">
        <v>229</v>
      </c>
      <c r="L1773" s="20" t="s">
        <v>61</v>
      </c>
      <c r="M1773" s="21">
        <f t="shared" si="1"/>
        <v>7</v>
      </c>
      <c r="N1773" s="2">
        <v>-20.18226</v>
      </c>
      <c r="O1773" s="2">
        <v>17.0</v>
      </c>
      <c r="P1773" s="2">
        <v>574.97</v>
      </c>
      <c r="Q1773" s="2">
        <v>86860.0</v>
      </c>
      <c r="R1773" s="15" t="b">
        <f>ISNUMBER(MATCH(Q1773,'Returned order'!A:A,0))</f>
        <v>0</v>
      </c>
      <c r="S1773" s="22">
        <v>42141.0</v>
      </c>
      <c r="T1773" s="15"/>
      <c r="U1773" s="15"/>
      <c r="V1773" s="15"/>
    </row>
    <row r="1774">
      <c r="A1774" s="2">
        <v>21121.0</v>
      </c>
      <c r="B1774" s="1" t="s">
        <v>49</v>
      </c>
      <c r="C1774" s="2">
        <v>0.02</v>
      </c>
      <c r="D1774" s="2">
        <v>12.28</v>
      </c>
      <c r="E1774" s="2">
        <v>3113.0</v>
      </c>
      <c r="F1774" s="1" t="s">
        <v>1959</v>
      </c>
      <c r="G1774" s="1" t="s">
        <v>32</v>
      </c>
      <c r="H1774" s="1" t="s">
        <v>23</v>
      </c>
      <c r="I1774" s="1" t="s">
        <v>93</v>
      </c>
      <c r="J1774" s="1" t="s">
        <v>1913</v>
      </c>
      <c r="K1774" s="19" t="s">
        <v>229</v>
      </c>
      <c r="L1774" s="20" t="s">
        <v>61</v>
      </c>
      <c r="M1774" s="21">
        <f t="shared" si="1"/>
        <v>7</v>
      </c>
      <c r="N1774" s="2">
        <v>-156.9722</v>
      </c>
      <c r="O1774" s="2">
        <v>9.0</v>
      </c>
      <c r="P1774" s="2">
        <v>115.22</v>
      </c>
      <c r="Q1774" s="2">
        <v>86860.0</v>
      </c>
      <c r="R1774" s="15" t="b">
        <f>ISNUMBER(MATCH(Q1774,'Returned order'!A:A,0))</f>
        <v>0</v>
      </c>
      <c r="S1774" s="22">
        <v>42141.0</v>
      </c>
      <c r="T1774" s="15"/>
      <c r="U1774" s="15"/>
      <c r="V1774" s="15"/>
    </row>
    <row r="1775">
      <c r="A1775" s="2">
        <v>21122.0</v>
      </c>
      <c r="B1775" s="1" t="s">
        <v>49</v>
      </c>
      <c r="C1775" s="2">
        <v>0.06</v>
      </c>
      <c r="D1775" s="2">
        <v>34.58</v>
      </c>
      <c r="E1775" s="2">
        <v>3113.0</v>
      </c>
      <c r="F1775" s="1" t="s">
        <v>1959</v>
      </c>
      <c r="G1775" s="1" t="s">
        <v>32</v>
      </c>
      <c r="H1775" s="1" t="s">
        <v>23</v>
      </c>
      <c r="I1775" s="1" t="s">
        <v>29</v>
      </c>
      <c r="J1775" s="1" t="s">
        <v>1961</v>
      </c>
      <c r="K1775" s="19" t="s">
        <v>229</v>
      </c>
      <c r="L1775" s="20" t="s">
        <v>61</v>
      </c>
      <c r="M1775" s="21">
        <f t="shared" si="1"/>
        <v>7</v>
      </c>
      <c r="N1775" s="2">
        <v>384.5043</v>
      </c>
      <c r="O1775" s="2">
        <v>13.0</v>
      </c>
      <c r="P1775" s="2">
        <v>456.58</v>
      </c>
      <c r="Q1775" s="2">
        <v>86860.0</v>
      </c>
      <c r="R1775" s="15" t="b">
        <f>ISNUMBER(MATCH(Q1775,'Returned order'!A:A,0))</f>
        <v>0</v>
      </c>
      <c r="S1775" s="22">
        <v>42141.0</v>
      </c>
      <c r="T1775" s="15"/>
      <c r="U1775" s="15"/>
      <c r="V1775" s="15"/>
    </row>
    <row r="1776">
      <c r="A1776" s="2">
        <v>20795.0</v>
      </c>
      <c r="B1776" s="1" t="s">
        <v>58</v>
      </c>
      <c r="C1776" s="2">
        <v>0.08</v>
      </c>
      <c r="D1776" s="2">
        <v>349.45</v>
      </c>
      <c r="E1776" s="2">
        <v>3119.0</v>
      </c>
      <c r="F1776" s="1" t="s">
        <v>1962</v>
      </c>
      <c r="G1776" s="1" t="s">
        <v>32</v>
      </c>
      <c r="H1776" s="1" t="s">
        <v>37</v>
      </c>
      <c r="I1776" s="1" t="s">
        <v>73</v>
      </c>
      <c r="J1776" s="1" t="s">
        <v>787</v>
      </c>
      <c r="K1776" s="19" t="s">
        <v>229</v>
      </c>
      <c r="L1776" s="20" t="s">
        <v>57</v>
      </c>
      <c r="M1776" s="21">
        <f t="shared" si="1"/>
        <v>2</v>
      </c>
      <c r="N1776" s="2">
        <v>513.084</v>
      </c>
      <c r="O1776" s="2">
        <v>11.0</v>
      </c>
      <c r="P1776" s="2">
        <v>3772.19</v>
      </c>
      <c r="Q1776" s="2">
        <v>86432.0</v>
      </c>
      <c r="R1776" s="15" t="b">
        <f>ISNUMBER(MATCH(Q1776,'Returned order'!A:A,0))</f>
        <v>0</v>
      </c>
      <c r="S1776" s="22">
        <v>42185.0</v>
      </c>
      <c r="T1776" s="15"/>
      <c r="U1776" s="15"/>
      <c r="V1776" s="15"/>
    </row>
    <row r="1777">
      <c r="A1777" s="2">
        <v>25473.0</v>
      </c>
      <c r="B1777" s="1" t="s">
        <v>49</v>
      </c>
      <c r="C1777" s="2">
        <v>0.08</v>
      </c>
      <c r="D1777" s="2">
        <v>315.98</v>
      </c>
      <c r="E1777" s="2">
        <v>3120.0</v>
      </c>
      <c r="F1777" s="1" t="s">
        <v>1963</v>
      </c>
      <c r="G1777" s="1" t="s">
        <v>51</v>
      </c>
      <c r="H1777" s="1" t="s">
        <v>23</v>
      </c>
      <c r="I1777" s="1" t="s">
        <v>24</v>
      </c>
      <c r="J1777" s="1" t="s">
        <v>1964</v>
      </c>
      <c r="K1777" s="19" t="s">
        <v>229</v>
      </c>
      <c r="L1777" s="20" t="s">
        <v>61</v>
      </c>
      <c r="M1777" s="21">
        <f t="shared" si="1"/>
        <v>7</v>
      </c>
      <c r="N1777" s="2">
        <v>44.52</v>
      </c>
      <c r="O1777" s="2">
        <v>9.0</v>
      </c>
      <c r="P1777" s="2">
        <v>2642.48</v>
      </c>
      <c r="Q1777" s="2">
        <v>90160.0</v>
      </c>
      <c r="R1777" s="15" t="b">
        <f>ISNUMBER(MATCH(Q1777,'Returned order'!A:A,0))</f>
        <v>0</v>
      </c>
      <c r="S1777" s="22">
        <v>42169.0</v>
      </c>
      <c r="T1777" s="15"/>
      <c r="U1777" s="15"/>
      <c r="V1777" s="15"/>
    </row>
    <row r="1778">
      <c r="A1778" s="2">
        <v>23764.0</v>
      </c>
      <c r="B1778" s="1" t="s">
        <v>170</v>
      </c>
      <c r="C1778" s="2">
        <v>0.02</v>
      </c>
      <c r="D1778" s="2">
        <v>7.1</v>
      </c>
      <c r="E1778" s="2">
        <v>3123.0</v>
      </c>
      <c r="F1778" s="1" t="s">
        <v>1965</v>
      </c>
      <c r="G1778" s="1" t="s">
        <v>51</v>
      </c>
      <c r="H1778" s="1" t="s">
        <v>23</v>
      </c>
      <c r="I1778" s="1" t="s">
        <v>24</v>
      </c>
      <c r="J1778" s="1" t="s">
        <v>143</v>
      </c>
      <c r="K1778" s="19" t="s">
        <v>68</v>
      </c>
      <c r="L1778" s="20" t="s">
        <v>35</v>
      </c>
      <c r="M1778" s="21">
        <f t="shared" si="1"/>
        <v>3</v>
      </c>
      <c r="N1778" s="2">
        <v>-48.875</v>
      </c>
      <c r="O1778" s="2">
        <v>8.0</v>
      </c>
      <c r="P1778" s="2">
        <v>61.5</v>
      </c>
      <c r="Q1778" s="2">
        <v>87287.0</v>
      </c>
      <c r="R1778" s="15" t="b">
        <f>ISNUMBER(MATCH(Q1778,'Returned order'!A:A,0))</f>
        <v>0</v>
      </c>
      <c r="S1778" s="22">
        <v>42011.0</v>
      </c>
      <c r="T1778" s="15"/>
      <c r="U1778" s="15"/>
      <c r="V1778" s="15"/>
    </row>
    <row r="1779">
      <c r="A1779" s="2">
        <v>25060.0</v>
      </c>
      <c r="B1779" s="1" t="s">
        <v>49</v>
      </c>
      <c r="C1779" s="2">
        <v>0.05</v>
      </c>
      <c r="D1779" s="2">
        <v>120.98</v>
      </c>
      <c r="E1779" s="2">
        <v>3124.0</v>
      </c>
      <c r="F1779" s="1" t="s">
        <v>1966</v>
      </c>
      <c r="G1779" s="1" t="s">
        <v>51</v>
      </c>
      <c r="H1779" s="1" t="s">
        <v>23</v>
      </c>
      <c r="I1779" s="1" t="s">
        <v>24</v>
      </c>
      <c r="J1779" s="1" t="s">
        <v>1002</v>
      </c>
      <c r="K1779" s="19" t="s">
        <v>68</v>
      </c>
      <c r="L1779" s="20" t="s">
        <v>53</v>
      </c>
      <c r="M1779" s="21">
        <f t="shared" si="1"/>
        <v>6</v>
      </c>
      <c r="N1779" s="2">
        <v>881.0472</v>
      </c>
      <c r="O1779" s="2">
        <v>11.0</v>
      </c>
      <c r="P1779" s="2">
        <v>1276.88</v>
      </c>
      <c r="Q1779" s="2">
        <v>87286.0</v>
      </c>
      <c r="R1779" s="15" t="b">
        <f>ISNUMBER(MATCH(Q1779,'Returned order'!A:A,0))</f>
        <v>0</v>
      </c>
      <c r="S1779" s="22">
        <v>42154.0</v>
      </c>
      <c r="T1779" s="15"/>
      <c r="U1779" s="15"/>
      <c r="V1779" s="15"/>
    </row>
    <row r="1780">
      <c r="A1780" s="2">
        <v>25352.0</v>
      </c>
      <c r="B1780" s="1" t="s">
        <v>28</v>
      </c>
      <c r="C1780" s="2">
        <v>0.08</v>
      </c>
      <c r="D1780" s="2">
        <v>120.97</v>
      </c>
      <c r="E1780" s="2">
        <v>3125.0</v>
      </c>
      <c r="F1780" s="1" t="s">
        <v>1967</v>
      </c>
      <c r="G1780" s="1" t="s">
        <v>51</v>
      </c>
      <c r="H1780" s="1" t="s">
        <v>46</v>
      </c>
      <c r="I1780" s="1" t="s">
        <v>103</v>
      </c>
      <c r="J1780" s="1" t="s">
        <v>1968</v>
      </c>
      <c r="K1780" s="19" t="s">
        <v>68</v>
      </c>
      <c r="L1780" s="20" t="s">
        <v>27</v>
      </c>
      <c r="M1780" s="21">
        <f t="shared" si="1"/>
        <v>1</v>
      </c>
      <c r="N1780" s="2">
        <v>-233.840688</v>
      </c>
      <c r="O1780" s="2">
        <v>2.0</v>
      </c>
      <c r="P1780" s="2">
        <v>233.58</v>
      </c>
      <c r="Q1780" s="2">
        <v>87285.0</v>
      </c>
      <c r="R1780" s="15" t="b">
        <f>ISNUMBER(MATCH(Q1780,'Returned order'!A:A,0))</f>
        <v>0</v>
      </c>
      <c r="S1780" s="22">
        <v>42009.0</v>
      </c>
      <c r="T1780" s="15"/>
      <c r="U1780" s="15"/>
      <c r="V1780" s="15"/>
    </row>
    <row r="1781">
      <c r="A1781" s="2">
        <v>24457.0</v>
      </c>
      <c r="B1781" s="1" t="s">
        <v>170</v>
      </c>
      <c r="C1781" s="2">
        <v>0.08</v>
      </c>
      <c r="D1781" s="2">
        <v>3.69</v>
      </c>
      <c r="E1781" s="2">
        <v>3128.0</v>
      </c>
      <c r="F1781" s="1" t="s">
        <v>1969</v>
      </c>
      <c r="G1781" s="1" t="s">
        <v>66</v>
      </c>
      <c r="H1781" s="1" t="s">
        <v>23</v>
      </c>
      <c r="I1781" s="1" t="s">
        <v>88</v>
      </c>
      <c r="J1781" s="1" t="s">
        <v>1030</v>
      </c>
      <c r="K1781" s="19" t="s">
        <v>229</v>
      </c>
      <c r="L1781" s="20" t="s">
        <v>70</v>
      </c>
      <c r="M1781" s="21">
        <f t="shared" si="1"/>
        <v>4</v>
      </c>
      <c r="N1781" s="2">
        <v>-139.076</v>
      </c>
      <c r="O1781" s="2">
        <v>9.0</v>
      </c>
      <c r="P1781" s="2">
        <v>31.98</v>
      </c>
      <c r="Q1781" s="2">
        <v>89810.0</v>
      </c>
      <c r="R1781" s="15" t="b">
        <f>ISNUMBER(MATCH(Q1781,'Returned order'!A:A,0))</f>
        <v>0</v>
      </c>
      <c r="S1781" s="22">
        <v>42180.0</v>
      </c>
      <c r="T1781" s="15"/>
      <c r="U1781" s="15"/>
      <c r="V1781" s="15"/>
    </row>
    <row r="1782">
      <c r="A1782" s="2">
        <v>20483.0</v>
      </c>
      <c r="B1782" s="1" t="s">
        <v>28</v>
      </c>
      <c r="C1782" s="2">
        <v>0.1</v>
      </c>
      <c r="D1782" s="2">
        <v>180.98</v>
      </c>
      <c r="E1782" s="2">
        <v>3132.0</v>
      </c>
      <c r="F1782" s="1" t="s">
        <v>1970</v>
      </c>
      <c r="G1782" s="1" t="s">
        <v>32</v>
      </c>
      <c r="H1782" s="1" t="s">
        <v>37</v>
      </c>
      <c r="I1782" s="1" t="s">
        <v>38</v>
      </c>
      <c r="J1782" s="1" t="s">
        <v>285</v>
      </c>
      <c r="K1782" s="19" t="s">
        <v>68</v>
      </c>
      <c r="L1782" s="20" t="s">
        <v>27</v>
      </c>
      <c r="M1782" s="21">
        <f t="shared" si="1"/>
        <v>1</v>
      </c>
      <c r="N1782" s="2">
        <v>-64.664</v>
      </c>
      <c r="O1782" s="2">
        <v>3.0</v>
      </c>
      <c r="P1782" s="2">
        <v>519.42</v>
      </c>
      <c r="Q1782" s="2">
        <v>86790.0</v>
      </c>
      <c r="R1782" s="15" t="b">
        <f>ISNUMBER(MATCH(Q1782,'Returned order'!A:A,0))</f>
        <v>0</v>
      </c>
      <c r="S1782" s="22">
        <v>42177.0</v>
      </c>
      <c r="T1782" s="15"/>
      <c r="U1782" s="15"/>
      <c r="V1782" s="15"/>
    </row>
    <row r="1783">
      <c r="A1783" s="2">
        <v>19258.0</v>
      </c>
      <c r="B1783" s="1" t="s">
        <v>63</v>
      </c>
      <c r="C1783" s="2">
        <v>0.04</v>
      </c>
      <c r="D1783" s="2">
        <v>62.05</v>
      </c>
      <c r="E1783" s="2">
        <v>3132.0</v>
      </c>
      <c r="F1783" s="1" t="s">
        <v>1970</v>
      </c>
      <c r="G1783" s="1" t="s">
        <v>32</v>
      </c>
      <c r="H1783" s="1" t="s">
        <v>23</v>
      </c>
      <c r="I1783" s="1" t="s">
        <v>151</v>
      </c>
      <c r="J1783" s="1" t="s">
        <v>1971</v>
      </c>
      <c r="K1783" s="19" t="s">
        <v>68</v>
      </c>
      <c r="L1783" s="20" t="s">
        <v>61</v>
      </c>
      <c r="M1783" s="21">
        <f t="shared" si="1"/>
        <v>7</v>
      </c>
      <c r="N1783" s="2">
        <v>1644.0768</v>
      </c>
      <c r="O1783" s="2">
        <v>40.0</v>
      </c>
      <c r="P1783" s="2">
        <v>2382.72</v>
      </c>
      <c r="Q1783" s="2">
        <v>86794.0</v>
      </c>
      <c r="R1783" s="15" t="b">
        <f>ISNUMBER(MATCH(Q1783,'Returned order'!A:A,0))</f>
        <v>0</v>
      </c>
      <c r="S1783" s="22">
        <v>42141.0</v>
      </c>
      <c r="T1783" s="15"/>
      <c r="U1783" s="15"/>
      <c r="V1783" s="15"/>
    </row>
    <row r="1784">
      <c r="A1784" s="2">
        <v>22459.0</v>
      </c>
      <c r="B1784" s="1" t="s">
        <v>63</v>
      </c>
      <c r="C1784" s="2">
        <v>0.1</v>
      </c>
      <c r="D1784" s="2">
        <v>5.81</v>
      </c>
      <c r="E1784" s="2">
        <v>3133.0</v>
      </c>
      <c r="F1784" s="1" t="s">
        <v>1972</v>
      </c>
      <c r="G1784" s="1" t="s">
        <v>32</v>
      </c>
      <c r="H1784" s="1" t="s">
        <v>23</v>
      </c>
      <c r="I1784" s="1" t="s">
        <v>24</v>
      </c>
      <c r="J1784" s="1" t="s">
        <v>337</v>
      </c>
      <c r="K1784" s="19" t="s">
        <v>68</v>
      </c>
      <c r="L1784" s="20" t="s">
        <v>76</v>
      </c>
      <c r="M1784" s="21">
        <f t="shared" si="1"/>
        <v>5</v>
      </c>
      <c r="N1784" s="2">
        <v>-350.4395</v>
      </c>
      <c r="O1784" s="2">
        <v>12.0</v>
      </c>
      <c r="P1784" s="2">
        <v>64.96</v>
      </c>
      <c r="Q1784" s="2">
        <v>86789.0</v>
      </c>
      <c r="R1784" s="15" t="b">
        <f>ISNUMBER(MATCH(Q1784,'Returned order'!A:A,0))</f>
        <v>0</v>
      </c>
      <c r="S1784" s="22">
        <v>42020.0</v>
      </c>
      <c r="T1784" s="15"/>
      <c r="U1784" s="15"/>
      <c r="V1784" s="15"/>
    </row>
    <row r="1785">
      <c r="A1785" s="2">
        <v>22460.0</v>
      </c>
      <c r="B1785" s="1" t="s">
        <v>63</v>
      </c>
      <c r="C1785" s="2">
        <v>0.03</v>
      </c>
      <c r="D1785" s="2">
        <v>1.81</v>
      </c>
      <c r="E1785" s="2">
        <v>3133.0</v>
      </c>
      <c r="F1785" s="1" t="s">
        <v>1972</v>
      </c>
      <c r="G1785" s="1" t="s">
        <v>32</v>
      </c>
      <c r="H1785" s="1" t="s">
        <v>23</v>
      </c>
      <c r="I1785" s="1" t="s">
        <v>81</v>
      </c>
      <c r="J1785" s="1" t="s">
        <v>1973</v>
      </c>
      <c r="K1785" s="19" t="s">
        <v>68</v>
      </c>
      <c r="L1785" s="20" t="s">
        <v>76</v>
      </c>
      <c r="M1785" s="21">
        <f t="shared" si="1"/>
        <v>5</v>
      </c>
      <c r="N1785" s="2">
        <v>4.2028</v>
      </c>
      <c r="O1785" s="2">
        <v>10.0</v>
      </c>
      <c r="P1785" s="2">
        <v>19.14</v>
      </c>
      <c r="Q1785" s="2">
        <v>86789.0</v>
      </c>
      <c r="R1785" s="15" t="b">
        <f>ISNUMBER(MATCH(Q1785,'Returned order'!A:A,0))</f>
        <v>0</v>
      </c>
      <c r="S1785" s="22">
        <v>42020.0</v>
      </c>
      <c r="T1785" s="15"/>
      <c r="U1785" s="15"/>
      <c r="V1785" s="15"/>
    </row>
    <row r="1786">
      <c r="A1786" s="2">
        <v>21719.0</v>
      </c>
      <c r="B1786" s="1" t="s">
        <v>58</v>
      </c>
      <c r="C1786" s="2">
        <v>0.08</v>
      </c>
      <c r="D1786" s="2">
        <v>5.4</v>
      </c>
      <c r="E1786" s="2">
        <v>3133.0</v>
      </c>
      <c r="F1786" s="1" t="s">
        <v>1972</v>
      </c>
      <c r="G1786" s="1" t="s">
        <v>32</v>
      </c>
      <c r="H1786" s="1" t="s">
        <v>23</v>
      </c>
      <c r="I1786" s="1" t="s">
        <v>24</v>
      </c>
      <c r="J1786" s="1" t="s">
        <v>328</v>
      </c>
      <c r="K1786" s="19" t="s">
        <v>68</v>
      </c>
      <c r="L1786" s="20" t="s">
        <v>35</v>
      </c>
      <c r="M1786" s="21">
        <f t="shared" si="1"/>
        <v>3</v>
      </c>
      <c r="N1786" s="2">
        <v>-44.068</v>
      </c>
      <c r="O1786" s="2">
        <v>4.0</v>
      </c>
      <c r="P1786" s="2">
        <v>25.35</v>
      </c>
      <c r="Q1786" s="2">
        <v>86792.0</v>
      </c>
      <c r="R1786" s="15" t="b">
        <f>ISNUMBER(MATCH(Q1786,'Returned order'!A:A,0))</f>
        <v>0</v>
      </c>
      <c r="S1786" s="22">
        <v>42067.0</v>
      </c>
      <c r="T1786" s="15"/>
      <c r="U1786" s="15"/>
      <c r="V1786" s="15"/>
    </row>
    <row r="1787">
      <c r="A1787" s="2">
        <v>21720.0</v>
      </c>
      <c r="B1787" s="1" t="s">
        <v>58</v>
      </c>
      <c r="C1787" s="2">
        <v>0.09</v>
      </c>
      <c r="D1787" s="2">
        <v>8.46</v>
      </c>
      <c r="E1787" s="2">
        <v>3133.0</v>
      </c>
      <c r="F1787" s="1" t="s">
        <v>1972</v>
      </c>
      <c r="G1787" s="1" t="s">
        <v>32</v>
      </c>
      <c r="H1787" s="1" t="s">
        <v>46</v>
      </c>
      <c r="I1787" s="1" t="s">
        <v>47</v>
      </c>
      <c r="J1787" s="1" t="s">
        <v>1974</v>
      </c>
      <c r="K1787" s="19" t="s">
        <v>68</v>
      </c>
      <c r="L1787" s="20" t="s">
        <v>35</v>
      </c>
      <c r="M1787" s="21">
        <f t="shared" si="1"/>
        <v>3</v>
      </c>
      <c r="N1787" s="2">
        <v>-100.51</v>
      </c>
      <c r="O1787" s="2">
        <v>5.0</v>
      </c>
      <c r="P1787" s="2">
        <v>45.03</v>
      </c>
      <c r="Q1787" s="2">
        <v>86792.0</v>
      </c>
      <c r="R1787" s="15" t="b">
        <f>ISNUMBER(MATCH(Q1787,'Returned order'!A:A,0))</f>
        <v>0</v>
      </c>
      <c r="S1787" s="22">
        <v>42067.0</v>
      </c>
      <c r="T1787" s="15"/>
      <c r="U1787" s="15"/>
      <c r="V1787" s="15"/>
    </row>
    <row r="1788">
      <c r="A1788" s="2">
        <v>21721.0</v>
      </c>
      <c r="B1788" s="1" t="s">
        <v>58</v>
      </c>
      <c r="C1788" s="2">
        <v>0.21</v>
      </c>
      <c r="D1788" s="2">
        <v>14.98</v>
      </c>
      <c r="E1788" s="2">
        <v>3133.0</v>
      </c>
      <c r="F1788" s="1" t="s">
        <v>1972</v>
      </c>
      <c r="G1788" s="1" t="s">
        <v>32</v>
      </c>
      <c r="H1788" s="1" t="s">
        <v>37</v>
      </c>
      <c r="I1788" s="1" t="s">
        <v>42</v>
      </c>
      <c r="J1788" s="1" t="s">
        <v>1831</v>
      </c>
      <c r="K1788" s="19" t="s">
        <v>68</v>
      </c>
      <c r="L1788" s="20" t="s">
        <v>35</v>
      </c>
      <c r="M1788" s="21">
        <f t="shared" si="1"/>
        <v>3</v>
      </c>
      <c r="N1788" s="2">
        <v>-17.75</v>
      </c>
      <c r="O1788" s="2">
        <v>10.0</v>
      </c>
      <c r="P1788" s="2">
        <v>153.87</v>
      </c>
      <c r="Q1788" s="2">
        <v>86792.0</v>
      </c>
      <c r="R1788" s="15" t="b">
        <f>ISNUMBER(MATCH(Q1788,'Returned order'!A:A,0))</f>
        <v>0</v>
      </c>
      <c r="S1788" s="22">
        <v>42067.0</v>
      </c>
      <c r="T1788" s="15"/>
      <c r="U1788" s="15"/>
      <c r="V1788" s="15"/>
    </row>
    <row r="1789">
      <c r="A1789" s="2">
        <v>21722.0</v>
      </c>
      <c r="B1789" s="1" t="s">
        <v>58</v>
      </c>
      <c r="C1789" s="2">
        <v>0.04</v>
      </c>
      <c r="D1789" s="2">
        <v>155.99</v>
      </c>
      <c r="E1789" s="2">
        <v>3133.0</v>
      </c>
      <c r="F1789" s="1" t="s">
        <v>1972</v>
      </c>
      <c r="G1789" s="1" t="s">
        <v>32</v>
      </c>
      <c r="H1789" s="1" t="s">
        <v>46</v>
      </c>
      <c r="I1789" s="1" t="s">
        <v>85</v>
      </c>
      <c r="J1789" s="1" t="s">
        <v>1975</v>
      </c>
      <c r="K1789" s="19" t="s">
        <v>68</v>
      </c>
      <c r="L1789" s="20" t="s">
        <v>35</v>
      </c>
      <c r="M1789" s="21">
        <f t="shared" si="1"/>
        <v>3</v>
      </c>
      <c r="N1789" s="2">
        <v>1374.948</v>
      </c>
      <c r="O1789" s="2">
        <v>22.0</v>
      </c>
      <c r="P1789" s="2">
        <v>2800.33</v>
      </c>
      <c r="Q1789" s="2">
        <v>86792.0</v>
      </c>
      <c r="R1789" s="15" t="b">
        <f>ISNUMBER(MATCH(Q1789,'Returned order'!A:A,0))</f>
        <v>0</v>
      </c>
      <c r="S1789" s="22">
        <v>42067.0</v>
      </c>
      <c r="T1789" s="15"/>
      <c r="U1789" s="15"/>
      <c r="V1789" s="15"/>
    </row>
    <row r="1790">
      <c r="A1790" s="2">
        <v>23898.0</v>
      </c>
      <c r="B1790" s="1" t="s">
        <v>58</v>
      </c>
      <c r="C1790" s="2">
        <v>0.03</v>
      </c>
      <c r="D1790" s="2">
        <v>150.89</v>
      </c>
      <c r="E1790" s="2">
        <v>3136.0</v>
      </c>
      <c r="F1790" s="1" t="s">
        <v>1976</v>
      </c>
      <c r="G1790" s="1" t="s">
        <v>22</v>
      </c>
      <c r="H1790" s="1" t="s">
        <v>37</v>
      </c>
      <c r="I1790" s="1" t="s">
        <v>38</v>
      </c>
      <c r="J1790" s="1" t="s">
        <v>917</v>
      </c>
      <c r="K1790" s="19" t="s">
        <v>26</v>
      </c>
      <c r="L1790" s="20" t="s">
        <v>61</v>
      </c>
      <c r="M1790" s="21">
        <f t="shared" si="1"/>
        <v>7</v>
      </c>
      <c r="N1790" s="2">
        <v>-677.872</v>
      </c>
      <c r="O1790" s="2">
        <v>23.0</v>
      </c>
      <c r="P1790" s="2">
        <v>3596.03</v>
      </c>
      <c r="Q1790" s="2">
        <v>86791.0</v>
      </c>
      <c r="R1790" s="15" t="b">
        <f>ISNUMBER(MATCH(Q1790,'Returned order'!A:A,0))</f>
        <v>0</v>
      </c>
      <c r="S1790" s="22">
        <v>42057.0</v>
      </c>
      <c r="T1790" s="15"/>
      <c r="U1790" s="15"/>
      <c r="V1790" s="15"/>
    </row>
    <row r="1791">
      <c r="A1791" s="2">
        <v>24691.0</v>
      </c>
      <c r="B1791" s="1" t="s">
        <v>49</v>
      </c>
      <c r="C1791" s="2">
        <v>0.09</v>
      </c>
      <c r="D1791" s="2">
        <v>304.99</v>
      </c>
      <c r="E1791" s="2">
        <v>3137.0</v>
      </c>
      <c r="F1791" s="1" t="s">
        <v>230</v>
      </c>
      <c r="G1791" s="1" t="s">
        <v>32</v>
      </c>
      <c r="H1791" s="1" t="s">
        <v>23</v>
      </c>
      <c r="I1791" s="1" t="s">
        <v>24</v>
      </c>
      <c r="J1791" s="1" t="s">
        <v>231</v>
      </c>
      <c r="K1791" s="19" t="s">
        <v>26</v>
      </c>
      <c r="L1791" s="20" t="s">
        <v>27</v>
      </c>
      <c r="M1791" s="21">
        <f t="shared" si="1"/>
        <v>1</v>
      </c>
      <c r="N1791" s="2">
        <v>1623.9495</v>
      </c>
      <c r="O1791" s="2">
        <v>8.0</v>
      </c>
      <c r="P1791" s="2">
        <v>2353.55</v>
      </c>
      <c r="Q1791" s="2">
        <v>86795.0</v>
      </c>
      <c r="R1791" s="15" t="b">
        <f>ISNUMBER(MATCH(Q1791,'Returned order'!A:A,0))</f>
        <v>0</v>
      </c>
      <c r="S1791" s="22">
        <v>42163.0</v>
      </c>
      <c r="T1791" s="15"/>
      <c r="U1791" s="15"/>
      <c r="V1791" s="15"/>
    </row>
    <row r="1792">
      <c r="A1792" s="2">
        <v>23706.0</v>
      </c>
      <c r="B1792" s="1" t="s">
        <v>49</v>
      </c>
      <c r="C1792" s="2">
        <v>0.05</v>
      </c>
      <c r="D1792" s="2">
        <v>4.06</v>
      </c>
      <c r="E1792" s="2">
        <v>3138.0</v>
      </c>
      <c r="F1792" s="1" t="s">
        <v>1977</v>
      </c>
      <c r="G1792" s="1" t="s">
        <v>32</v>
      </c>
      <c r="H1792" s="1" t="s">
        <v>23</v>
      </c>
      <c r="I1792" s="1" t="s">
        <v>151</v>
      </c>
      <c r="J1792" s="1" t="s">
        <v>733</v>
      </c>
      <c r="K1792" s="19" t="s">
        <v>26</v>
      </c>
      <c r="L1792" s="20" t="s">
        <v>76</v>
      </c>
      <c r="M1792" s="21">
        <f t="shared" si="1"/>
        <v>5</v>
      </c>
      <c r="N1792" s="2">
        <v>-122.835</v>
      </c>
      <c r="O1792" s="2">
        <v>22.0</v>
      </c>
      <c r="P1792" s="2">
        <v>92.57</v>
      </c>
      <c r="Q1792" s="2">
        <v>86796.0</v>
      </c>
      <c r="R1792" s="15" t="b">
        <f>ISNUMBER(MATCH(Q1792,'Returned order'!A:A,0))</f>
        <v>0</v>
      </c>
      <c r="S1792" s="22">
        <v>42174.0</v>
      </c>
      <c r="T1792" s="15"/>
      <c r="U1792" s="15"/>
      <c r="V1792" s="15"/>
    </row>
    <row r="1793">
      <c r="A1793" s="2">
        <v>23427.0</v>
      </c>
      <c r="B1793" s="1" t="s">
        <v>58</v>
      </c>
      <c r="C1793" s="2">
        <v>0.09</v>
      </c>
      <c r="D1793" s="2">
        <v>280.98</v>
      </c>
      <c r="E1793" s="2">
        <v>3139.0</v>
      </c>
      <c r="F1793" s="1" t="s">
        <v>1978</v>
      </c>
      <c r="G1793" s="1" t="s">
        <v>51</v>
      </c>
      <c r="H1793" s="1" t="s">
        <v>37</v>
      </c>
      <c r="I1793" s="1" t="s">
        <v>38</v>
      </c>
      <c r="J1793" s="1" t="s">
        <v>566</v>
      </c>
      <c r="K1793" s="19" t="s">
        <v>26</v>
      </c>
      <c r="L1793" s="20" t="s">
        <v>53</v>
      </c>
      <c r="M1793" s="21">
        <f t="shared" si="1"/>
        <v>6</v>
      </c>
      <c r="N1793" s="2">
        <v>252.488</v>
      </c>
      <c r="O1793" s="2">
        <v>31.0</v>
      </c>
      <c r="P1793" s="2">
        <v>7974.21</v>
      </c>
      <c r="Q1793" s="2">
        <v>86793.0</v>
      </c>
      <c r="R1793" s="15" t="b">
        <f>ISNUMBER(MATCH(Q1793,'Returned order'!A:A,0))</f>
        <v>0</v>
      </c>
      <c r="S1793" s="22">
        <v>42126.0</v>
      </c>
      <c r="T1793" s="15"/>
      <c r="U1793" s="15"/>
      <c r="V1793" s="15"/>
    </row>
    <row r="1794">
      <c r="A1794" s="2">
        <v>18917.0</v>
      </c>
      <c r="B1794" s="1" t="s">
        <v>170</v>
      </c>
      <c r="C1794" s="2">
        <v>0.09</v>
      </c>
      <c r="D1794" s="2">
        <v>6.84</v>
      </c>
      <c r="E1794" s="2">
        <v>3141.0</v>
      </c>
      <c r="F1794" s="1" t="s">
        <v>1979</v>
      </c>
      <c r="G1794" s="1" t="s">
        <v>22</v>
      </c>
      <c r="H1794" s="1" t="s">
        <v>23</v>
      </c>
      <c r="I1794" s="1" t="s">
        <v>257</v>
      </c>
      <c r="J1794" s="1" t="s">
        <v>1251</v>
      </c>
      <c r="K1794" s="19" t="s">
        <v>68</v>
      </c>
      <c r="L1794" s="20" t="s">
        <v>27</v>
      </c>
      <c r="M1794" s="21">
        <f t="shared" si="1"/>
        <v>1</v>
      </c>
      <c r="N1794" s="2">
        <v>-88.585</v>
      </c>
      <c r="O1794" s="2">
        <v>13.0</v>
      </c>
      <c r="P1794" s="2">
        <v>87.1</v>
      </c>
      <c r="Q1794" s="2">
        <v>86369.0</v>
      </c>
      <c r="R1794" s="15" t="b">
        <f>ISNUMBER(MATCH(Q1794,'Returned order'!A:A,0))</f>
        <v>0</v>
      </c>
      <c r="S1794" s="22">
        <v>42156.0</v>
      </c>
      <c r="T1794" s="15"/>
      <c r="U1794" s="15"/>
      <c r="V1794" s="15"/>
    </row>
    <row r="1795">
      <c r="A1795" s="2">
        <v>18918.0</v>
      </c>
      <c r="B1795" s="1" t="s">
        <v>170</v>
      </c>
      <c r="C1795" s="2">
        <v>0.07</v>
      </c>
      <c r="D1795" s="2">
        <v>48.91</v>
      </c>
      <c r="E1795" s="2">
        <v>3141.0</v>
      </c>
      <c r="F1795" s="1" t="s">
        <v>1979</v>
      </c>
      <c r="G1795" s="1" t="s">
        <v>22</v>
      </c>
      <c r="H1795" s="1" t="s">
        <v>23</v>
      </c>
      <c r="I1795" s="1" t="s">
        <v>120</v>
      </c>
      <c r="J1795" s="1" t="s">
        <v>1249</v>
      </c>
      <c r="K1795" s="19" t="s">
        <v>68</v>
      </c>
      <c r="L1795" s="20" t="s">
        <v>27</v>
      </c>
      <c r="M1795" s="21">
        <f t="shared" si="1"/>
        <v>1</v>
      </c>
      <c r="N1795" s="2">
        <v>-485.68</v>
      </c>
      <c r="O1795" s="2">
        <v>15.0</v>
      </c>
      <c r="P1795" s="2">
        <v>736.86</v>
      </c>
      <c r="Q1795" s="2">
        <v>86369.0</v>
      </c>
      <c r="R1795" s="15" t="b">
        <f>ISNUMBER(MATCH(Q1795,'Returned order'!A:A,0))</f>
        <v>0</v>
      </c>
      <c r="S1795" s="22">
        <v>42156.0</v>
      </c>
      <c r="T1795" s="15"/>
      <c r="U1795" s="15"/>
      <c r="V1795" s="15"/>
    </row>
    <row r="1796">
      <c r="A1796" s="2">
        <v>26039.0</v>
      </c>
      <c r="B1796" s="1" t="s">
        <v>63</v>
      </c>
      <c r="C1796" s="2">
        <v>0.02</v>
      </c>
      <c r="D1796" s="2">
        <v>15.42</v>
      </c>
      <c r="E1796" s="2">
        <v>3143.0</v>
      </c>
      <c r="F1796" s="1" t="s">
        <v>1980</v>
      </c>
      <c r="G1796" s="1" t="s">
        <v>22</v>
      </c>
      <c r="H1796" s="1" t="s">
        <v>23</v>
      </c>
      <c r="I1796" s="1" t="s">
        <v>120</v>
      </c>
      <c r="J1796" s="1" t="s">
        <v>1981</v>
      </c>
      <c r="K1796" s="19" t="s">
        <v>68</v>
      </c>
      <c r="L1796" s="20" t="s">
        <v>57</v>
      </c>
      <c r="M1796" s="21">
        <f t="shared" si="1"/>
        <v>2</v>
      </c>
      <c r="N1796" s="2">
        <v>-16.37</v>
      </c>
      <c r="O1796" s="2">
        <v>2.0</v>
      </c>
      <c r="P1796" s="2">
        <v>33.84</v>
      </c>
      <c r="Q1796" s="2">
        <v>86368.0</v>
      </c>
      <c r="R1796" s="15" t="b">
        <f>ISNUMBER(MATCH(Q1796,'Returned order'!A:A,0))</f>
        <v>0</v>
      </c>
      <c r="S1796" s="22">
        <v>42087.0</v>
      </c>
      <c r="T1796" s="15"/>
      <c r="U1796" s="15"/>
      <c r="V1796" s="15"/>
    </row>
    <row r="1797">
      <c r="A1797" s="2">
        <v>19193.0</v>
      </c>
      <c r="B1797" s="1" t="s">
        <v>58</v>
      </c>
      <c r="C1797" s="2">
        <v>0.03</v>
      </c>
      <c r="D1797" s="2">
        <v>3.36</v>
      </c>
      <c r="E1797" s="2">
        <v>3146.0</v>
      </c>
      <c r="F1797" s="1" t="s">
        <v>1982</v>
      </c>
      <c r="G1797" s="1" t="s">
        <v>32</v>
      </c>
      <c r="H1797" s="1" t="s">
        <v>23</v>
      </c>
      <c r="I1797" s="1" t="s">
        <v>24</v>
      </c>
      <c r="J1797" s="1" t="s">
        <v>91</v>
      </c>
      <c r="K1797" s="19" t="s">
        <v>68</v>
      </c>
      <c r="L1797" s="20" t="s">
        <v>61</v>
      </c>
      <c r="M1797" s="21">
        <f t="shared" si="1"/>
        <v>7</v>
      </c>
      <c r="N1797" s="2">
        <v>-94.2586</v>
      </c>
      <c r="O1797" s="2">
        <v>4.0</v>
      </c>
      <c r="P1797" s="2">
        <v>14.9</v>
      </c>
      <c r="Q1797" s="2">
        <v>85850.0</v>
      </c>
      <c r="R1797" s="15" t="b">
        <f>ISNUMBER(MATCH(Q1797,'Returned order'!A:A,0))</f>
        <v>0</v>
      </c>
      <c r="S1797" s="22">
        <v>42008.0</v>
      </c>
      <c r="T1797" s="15"/>
      <c r="U1797" s="15"/>
      <c r="V1797" s="15"/>
    </row>
    <row r="1798">
      <c r="A1798" s="2">
        <v>19194.0</v>
      </c>
      <c r="B1798" s="1" t="s">
        <v>58</v>
      </c>
      <c r="C1798" s="2">
        <v>0.07</v>
      </c>
      <c r="D1798" s="2">
        <v>3.71</v>
      </c>
      <c r="E1798" s="2">
        <v>3146.0</v>
      </c>
      <c r="F1798" s="1" t="s">
        <v>1982</v>
      </c>
      <c r="G1798" s="1" t="s">
        <v>32</v>
      </c>
      <c r="H1798" s="1" t="s">
        <v>23</v>
      </c>
      <c r="I1798" s="1" t="s">
        <v>93</v>
      </c>
      <c r="J1798" s="1" t="s">
        <v>1983</v>
      </c>
      <c r="K1798" s="19" t="s">
        <v>68</v>
      </c>
      <c r="L1798" s="20" t="s">
        <v>61</v>
      </c>
      <c r="M1798" s="21">
        <f t="shared" si="1"/>
        <v>7</v>
      </c>
      <c r="N1798" s="2">
        <v>6.3308</v>
      </c>
      <c r="O1798" s="2">
        <v>11.0</v>
      </c>
      <c r="P1798" s="2">
        <v>39.64</v>
      </c>
      <c r="Q1798" s="2">
        <v>85850.0</v>
      </c>
      <c r="R1798" s="15" t="b">
        <f>ISNUMBER(MATCH(Q1798,'Returned order'!A:A,0))</f>
        <v>0</v>
      </c>
      <c r="S1798" s="22">
        <v>42008.0</v>
      </c>
      <c r="T1798" s="15"/>
      <c r="U1798" s="15"/>
      <c r="V1798" s="15"/>
    </row>
    <row r="1799">
      <c r="A1799" s="2">
        <v>24200.0</v>
      </c>
      <c r="B1799" s="1" t="s">
        <v>63</v>
      </c>
      <c r="C1799" s="2">
        <v>0.06</v>
      </c>
      <c r="D1799" s="2">
        <v>19.99</v>
      </c>
      <c r="E1799" s="2">
        <v>3148.0</v>
      </c>
      <c r="F1799" s="1" t="s">
        <v>1984</v>
      </c>
      <c r="G1799" s="1" t="s">
        <v>32</v>
      </c>
      <c r="H1799" s="1" t="s">
        <v>37</v>
      </c>
      <c r="I1799" s="1" t="s">
        <v>42</v>
      </c>
      <c r="J1799" s="1" t="s">
        <v>461</v>
      </c>
      <c r="K1799" s="19" t="s">
        <v>34</v>
      </c>
      <c r="L1799" s="20" t="s">
        <v>35</v>
      </c>
      <c r="M1799" s="21">
        <f t="shared" si="1"/>
        <v>3</v>
      </c>
      <c r="N1799" s="2">
        <v>-66.8236</v>
      </c>
      <c r="O1799" s="2">
        <v>7.0</v>
      </c>
      <c r="P1799" s="2">
        <v>139.49</v>
      </c>
      <c r="Q1799" s="2">
        <v>89716.0</v>
      </c>
      <c r="R1799" s="15" t="b">
        <f>ISNUMBER(MATCH(Q1799,'Returned order'!A:A,0))</f>
        <v>0</v>
      </c>
      <c r="S1799" s="22">
        <v>42018.0</v>
      </c>
      <c r="T1799" s="15"/>
      <c r="U1799" s="15"/>
      <c r="V1799" s="15"/>
    </row>
    <row r="1800">
      <c r="A1800" s="2">
        <v>24202.0</v>
      </c>
      <c r="B1800" s="1" t="s">
        <v>63</v>
      </c>
      <c r="C1800" s="2">
        <v>0.06</v>
      </c>
      <c r="D1800" s="2">
        <v>320.98</v>
      </c>
      <c r="E1800" s="2">
        <v>3149.0</v>
      </c>
      <c r="F1800" s="1" t="s">
        <v>1985</v>
      </c>
      <c r="G1800" s="1" t="s">
        <v>32</v>
      </c>
      <c r="H1800" s="1" t="s">
        <v>37</v>
      </c>
      <c r="I1800" s="1" t="s">
        <v>38</v>
      </c>
      <c r="J1800" s="1" t="s">
        <v>1986</v>
      </c>
      <c r="K1800" s="19" t="s">
        <v>34</v>
      </c>
      <c r="L1800" s="20" t="s">
        <v>35</v>
      </c>
      <c r="M1800" s="21">
        <f t="shared" si="1"/>
        <v>3</v>
      </c>
      <c r="N1800" s="2">
        <v>971.622</v>
      </c>
      <c r="O1800" s="2">
        <v>6.0</v>
      </c>
      <c r="P1800" s="2">
        <v>1952.43</v>
      </c>
      <c r="Q1800" s="2">
        <v>89716.0</v>
      </c>
      <c r="R1800" s="15" t="b">
        <f>ISNUMBER(MATCH(Q1800,'Returned order'!A:A,0))</f>
        <v>0</v>
      </c>
      <c r="S1800" s="22">
        <v>42018.0</v>
      </c>
      <c r="T1800" s="15"/>
      <c r="U1800" s="15"/>
      <c r="V1800" s="15"/>
    </row>
    <row r="1801">
      <c r="A1801" s="2">
        <v>19625.0</v>
      </c>
      <c r="B1801" s="1" t="s">
        <v>49</v>
      </c>
      <c r="C1801" s="2">
        <v>0.01</v>
      </c>
      <c r="D1801" s="2">
        <v>145.98</v>
      </c>
      <c r="E1801" s="2">
        <v>3151.0</v>
      </c>
      <c r="F1801" s="1" t="s">
        <v>1987</v>
      </c>
      <c r="G1801" s="1" t="s">
        <v>32</v>
      </c>
      <c r="H1801" s="1" t="s">
        <v>37</v>
      </c>
      <c r="I1801" s="1" t="s">
        <v>73</v>
      </c>
      <c r="J1801" s="1" t="s">
        <v>1988</v>
      </c>
      <c r="K1801" s="19" t="s">
        <v>34</v>
      </c>
      <c r="L1801" s="20" t="s">
        <v>35</v>
      </c>
      <c r="M1801" s="21">
        <f t="shared" si="1"/>
        <v>3</v>
      </c>
      <c r="N1801" s="2">
        <v>-134.512</v>
      </c>
      <c r="O1801" s="2">
        <v>9.0</v>
      </c>
      <c r="P1801" s="2">
        <v>1370.79</v>
      </c>
      <c r="Q1801" s="2">
        <v>88543.0</v>
      </c>
      <c r="R1801" s="15" t="b">
        <f>ISNUMBER(MATCH(Q1801,'Returned order'!A:A,0))</f>
        <v>0</v>
      </c>
      <c r="S1801" s="22">
        <v>42158.0</v>
      </c>
      <c r="T1801" s="15"/>
      <c r="U1801" s="15"/>
      <c r="V1801" s="15"/>
    </row>
    <row r="1802">
      <c r="A1802" s="2">
        <v>19618.0</v>
      </c>
      <c r="B1802" s="1" t="s">
        <v>58</v>
      </c>
      <c r="C1802" s="2">
        <v>0.01</v>
      </c>
      <c r="D1802" s="2">
        <v>3502.14</v>
      </c>
      <c r="E1802" s="2">
        <v>3151.0</v>
      </c>
      <c r="F1802" s="1" t="s">
        <v>1987</v>
      </c>
      <c r="G1802" s="1" t="s">
        <v>32</v>
      </c>
      <c r="H1802" s="1" t="s">
        <v>46</v>
      </c>
      <c r="I1802" s="1" t="s">
        <v>103</v>
      </c>
      <c r="J1802" s="1" t="s">
        <v>198</v>
      </c>
      <c r="K1802" s="19" t="s">
        <v>34</v>
      </c>
      <c r="L1802" s="20" t="s">
        <v>35</v>
      </c>
      <c r="M1802" s="21">
        <f t="shared" si="1"/>
        <v>3</v>
      </c>
      <c r="N1802" s="2">
        <v>-4075.933992</v>
      </c>
      <c r="O1802" s="2">
        <v>1.0</v>
      </c>
      <c r="P1802" s="2">
        <v>3501.79</v>
      </c>
      <c r="Q1802" s="2">
        <v>88544.0</v>
      </c>
      <c r="R1802" s="15" t="b">
        <f>ISNUMBER(MATCH(Q1802,'Returned order'!A:A,0))</f>
        <v>0</v>
      </c>
      <c r="S1802" s="22">
        <v>42039.0</v>
      </c>
      <c r="T1802" s="15"/>
      <c r="U1802" s="15"/>
      <c r="V1802" s="15"/>
    </row>
    <row r="1803">
      <c r="A1803" s="2">
        <v>19619.0</v>
      </c>
      <c r="B1803" s="1" t="s">
        <v>58</v>
      </c>
      <c r="C1803" s="2">
        <v>0.06</v>
      </c>
      <c r="D1803" s="2">
        <v>15.73</v>
      </c>
      <c r="E1803" s="2">
        <v>3151.0</v>
      </c>
      <c r="F1803" s="1" t="s">
        <v>1987</v>
      </c>
      <c r="G1803" s="1" t="s">
        <v>32</v>
      </c>
      <c r="H1803" s="1" t="s">
        <v>23</v>
      </c>
      <c r="I1803" s="1" t="s">
        <v>257</v>
      </c>
      <c r="J1803" s="1" t="s">
        <v>1553</v>
      </c>
      <c r="K1803" s="19" t="s">
        <v>34</v>
      </c>
      <c r="L1803" s="20" t="s">
        <v>35</v>
      </c>
      <c r="M1803" s="21">
        <f t="shared" si="1"/>
        <v>3</v>
      </c>
      <c r="N1803" s="2">
        <v>-18.5588</v>
      </c>
      <c r="O1803" s="2">
        <v>4.0</v>
      </c>
      <c r="P1803" s="2">
        <v>63.04</v>
      </c>
      <c r="Q1803" s="2">
        <v>88544.0</v>
      </c>
      <c r="R1803" s="15" t="b">
        <f>ISNUMBER(MATCH(Q1803,'Returned order'!A:A,0))</f>
        <v>0</v>
      </c>
      <c r="S1803" s="22">
        <v>42039.0</v>
      </c>
      <c r="T1803" s="15"/>
      <c r="U1803" s="15"/>
      <c r="V1803" s="15"/>
    </row>
    <row r="1804">
      <c r="A1804" s="2">
        <v>23322.0</v>
      </c>
      <c r="B1804" s="1" t="s">
        <v>49</v>
      </c>
      <c r="C1804" s="2">
        <v>0.05</v>
      </c>
      <c r="D1804" s="2">
        <v>25.99</v>
      </c>
      <c r="E1804" s="2">
        <v>3151.0</v>
      </c>
      <c r="F1804" s="1" t="s">
        <v>1987</v>
      </c>
      <c r="G1804" s="1" t="s">
        <v>32</v>
      </c>
      <c r="H1804" s="1" t="s">
        <v>23</v>
      </c>
      <c r="I1804" s="1" t="s">
        <v>29</v>
      </c>
      <c r="J1804" s="1" t="s">
        <v>1211</v>
      </c>
      <c r="K1804" s="19" t="s">
        <v>34</v>
      </c>
      <c r="L1804" s="20" t="s">
        <v>27</v>
      </c>
      <c r="M1804" s="21">
        <f t="shared" si="1"/>
        <v>1</v>
      </c>
      <c r="N1804" s="2">
        <v>220.3572</v>
      </c>
      <c r="O1804" s="2">
        <v>18.0</v>
      </c>
      <c r="P1804" s="2">
        <v>451.35</v>
      </c>
      <c r="Q1804" s="2">
        <v>88545.0</v>
      </c>
      <c r="R1804" s="15" t="b">
        <f>ISNUMBER(MATCH(Q1804,'Returned order'!A:A,0))</f>
        <v>0</v>
      </c>
      <c r="S1804" s="22">
        <v>42051.0</v>
      </c>
      <c r="T1804" s="15"/>
      <c r="U1804" s="15"/>
      <c r="V1804" s="15"/>
    </row>
    <row r="1805">
      <c r="A1805" s="2">
        <v>24723.0</v>
      </c>
      <c r="B1805" s="1" t="s">
        <v>63</v>
      </c>
      <c r="C1805" s="2">
        <v>0.04</v>
      </c>
      <c r="D1805" s="2">
        <v>17.24</v>
      </c>
      <c r="E1805" s="2">
        <v>3151.0</v>
      </c>
      <c r="F1805" s="1" t="s">
        <v>1987</v>
      </c>
      <c r="G1805" s="1" t="s">
        <v>51</v>
      </c>
      <c r="H1805" s="1" t="s">
        <v>23</v>
      </c>
      <c r="I1805" s="1" t="s">
        <v>257</v>
      </c>
      <c r="J1805" s="1" t="s">
        <v>1989</v>
      </c>
      <c r="K1805" s="19" t="s">
        <v>34</v>
      </c>
      <c r="L1805" s="20" t="s">
        <v>53</v>
      </c>
      <c r="M1805" s="21">
        <f t="shared" si="1"/>
        <v>6</v>
      </c>
      <c r="N1805" s="2">
        <v>47.73</v>
      </c>
      <c r="O1805" s="2">
        <v>7.0</v>
      </c>
      <c r="P1805" s="2">
        <v>119.6</v>
      </c>
      <c r="Q1805" s="2">
        <v>88546.0</v>
      </c>
      <c r="R1805" s="15" t="b">
        <f>ISNUMBER(MATCH(Q1805,'Returned order'!A:A,0))</f>
        <v>0</v>
      </c>
      <c r="S1805" s="22">
        <v>42063.0</v>
      </c>
      <c r="T1805" s="15"/>
      <c r="U1805" s="15"/>
      <c r="V1805" s="15"/>
    </row>
    <row r="1806">
      <c r="A1806" s="2">
        <v>24329.0</v>
      </c>
      <c r="B1806" s="1" t="s">
        <v>63</v>
      </c>
      <c r="C1806" s="2">
        <v>0.02</v>
      </c>
      <c r="D1806" s="2">
        <v>5.98</v>
      </c>
      <c r="E1806" s="2">
        <v>3151.0</v>
      </c>
      <c r="F1806" s="1" t="s">
        <v>1987</v>
      </c>
      <c r="G1806" s="1" t="s">
        <v>32</v>
      </c>
      <c r="H1806" s="1" t="s">
        <v>23</v>
      </c>
      <c r="I1806" s="1" t="s">
        <v>24</v>
      </c>
      <c r="J1806" s="1" t="s">
        <v>173</v>
      </c>
      <c r="K1806" s="19" t="s">
        <v>34</v>
      </c>
      <c r="L1806" s="20" t="s">
        <v>35</v>
      </c>
      <c r="M1806" s="21">
        <f t="shared" si="1"/>
        <v>3</v>
      </c>
      <c r="N1806" s="2">
        <v>28.526</v>
      </c>
      <c r="O1806" s="2">
        <v>10.0</v>
      </c>
      <c r="P1806" s="2">
        <v>59.9</v>
      </c>
      <c r="Q1806" s="2">
        <v>88547.0</v>
      </c>
      <c r="R1806" s="15" t="b">
        <f>ISNUMBER(MATCH(Q1806,'Returned order'!A:A,0))</f>
        <v>0</v>
      </c>
      <c r="S1806" s="22">
        <v>42074.0</v>
      </c>
      <c r="T1806" s="15"/>
      <c r="U1806" s="15"/>
      <c r="V1806" s="15"/>
    </row>
    <row r="1807">
      <c r="A1807" s="2">
        <v>21734.0</v>
      </c>
      <c r="B1807" s="1" t="s">
        <v>28</v>
      </c>
      <c r="C1807" s="2">
        <v>0.01</v>
      </c>
      <c r="D1807" s="2">
        <v>99.23</v>
      </c>
      <c r="E1807" s="2">
        <v>3151.0</v>
      </c>
      <c r="F1807" s="1" t="s">
        <v>1987</v>
      </c>
      <c r="G1807" s="1" t="s">
        <v>32</v>
      </c>
      <c r="H1807" s="1" t="s">
        <v>37</v>
      </c>
      <c r="I1807" s="1" t="s">
        <v>42</v>
      </c>
      <c r="J1807" s="1" t="s">
        <v>426</v>
      </c>
      <c r="K1807" s="19" t="s">
        <v>34</v>
      </c>
      <c r="L1807" s="20" t="s">
        <v>61</v>
      </c>
      <c r="M1807" s="21">
        <f t="shared" si="1"/>
        <v>7</v>
      </c>
      <c r="N1807" s="2">
        <v>-87.46</v>
      </c>
      <c r="O1807" s="2">
        <v>1.0</v>
      </c>
      <c r="P1807" s="2">
        <v>99.22</v>
      </c>
      <c r="Q1807" s="2">
        <v>88548.0</v>
      </c>
      <c r="R1807" s="15" t="b">
        <f>ISNUMBER(MATCH(Q1807,'Returned order'!A:A,0))</f>
        <v>0</v>
      </c>
      <c r="S1807" s="22">
        <v>42092.0</v>
      </c>
      <c r="T1807" s="15"/>
      <c r="U1807" s="15"/>
      <c r="V1807" s="15"/>
    </row>
    <row r="1808">
      <c r="A1808" s="2">
        <v>21436.0</v>
      </c>
      <c r="B1808" s="1" t="s">
        <v>28</v>
      </c>
      <c r="C1808" s="2">
        <v>0.08</v>
      </c>
      <c r="D1808" s="2">
        <v>150.98</v>
      </c>
      <c r="E1808" s="2">
        <v>3154.0</v>
      </c>
      <c r="F1808" s="1" t="s">
        <v>1990</v>
      </c>
      <c r="G1808" s="1" t="s">
        <v>32</v>
      </c>
      <c r="H1808" s="1" t="s">
        <v>46</v>
      </c>
      <c r="I1808" s="1" t="s">
        <v>103</v>
      </c>
      <c r="J1808" s="1" t="s">
        <v>537</v>
      </c>
      <c r="K1808" s="19" t="s">
        <v>229</v>
      </c>
      <c r="L1808" s="20" t="s">
        <v>27</v>
      </c>
      <c r="M1808" s="21">
        <f t="shared" si="1"/>
        <v>1</v>
      </c>
      <c r="N1808" s="2">
        <v>-3.948</v>
      </c>
      <c r="O1808" s="2">
        <v>8.0</v>
      </c>
      <c r="P1808" s="2">
        <v>1183.82</v>
      </c>
      <c r="Q1808" s="2">
        <v>86899.0</v>
      </c>
      <c r="R1808" s="15" t="b">
        <f>ISNUMBER(MATCH(Q1808,'Returned order'!A:A,0))</f>
        <v>0</v>
      </c>
      <c r="S1808" s="22">
        <v>42030.0</v>
      </c>
      <c r="T1808" s="15"/>
      <c r="U1808" s="15"/>
      <c r="V1808" s="15"/>
    </row>
    <row r="1809">
      <c r="A1809" s="2">
        <v>20253.0</v>
      </c>
      <c r="B1809" s="1" t="s">
        <v>58</v>
      </c>
      <c r="C1809" s="2">
        <v>0.03</v>
      </c>
      <c r="D1809" s="2">
        <v>17.7</v>
      </c>
      <c r="E1809" s="2">
        <v>3154.0</v>
      </c>
      <c r="F1809" s="1" t="s">
        <v>1990</v>
      </c>
      <c r="G1809" s="1" t="s">
        <v>22</v>
      </c>
      <c r="H1809" s="1" t="s">
        <v>23</v>
      </c>
      <c r="I1809" s="1" t="s">
        <v>120</v>
      </c>
      <c r="J1809" s="1" t="s">
        <v>1170</v>
      </c>
      <c r="K1809" s="19" t="s">
        <v>229</v>
      </c>
      <c r="L1809" s="20" t="s">
        <v>70</v>
      </c>
      <c r="M1809" s="21">
        <f t="shared" si="1"/>
        <v>4</v>
      </c>
      <c r="N1809" s="2">
        <v>28.1826</v>
      </c>
      <c r="O1809" s="2">
        <v>11.0</v>
      </c>
      <c r="P1809" s="2">
        <v>201.77</v>
      </c>
      <c r="Q1809" s="2">
        <v>86900.0</v>
      </c>
      <c r="R1809" s="15" t="b">
        <f>ISNUMBER(MATCH(Q1809,'Returned order'!A:A,0))</f>
        <v>0</v>
      </c>
      <c r="S1809" s="22">
        <v>42152.0</v>
      </c>
      <c r="T1809" s="15"/>
      <c r="U1809" s="15"/>
      <c r="V1809" s="15"/>
    </row>
    <row r="1810">
      <c r="A1810" s="2">
        <v>18635.0</v>
      </c>
      <c r="B1810" s="1" t="s">
        <v>58</v>
      </c>
      <c r="C1810" s="2">
        <v>0.04</v>
      </c>
      <c r="D1810" s="2">
        <v>21.38</v>
      </c>
      <c r="E1810" s="2">
        <v>3154.0</v>
      </c>
      <c r="F1810" s="1" t="s">
        <v>1990</v>
      </c>
      <c r="G1810" s="1" t="s">
        <v>32</v>
      </c>
      <c r="H1810" s="1" t="s">
        <v>23</v>
      </c>
      <c r="I1810" s="1" t="s">
        <v>29</v>
      </c>
      <c r="J1810" s="1" t="s">
        <v>1578</v>
      </c>
      <c r="K1810" s="19" t="s">
        <v>229</v>
      </c>
      <c r="L1810" s="20" t="s">
        <v>27</v>
      </c>
      <c r="M1810" s="21">
        <f t="shared" si="1"/>
        <v>1</v>
      </c>
      <c r="N1810" s="2">
        <v>-51.66</v>
      </c>
      <c r="O1810" s="2">
        <v>21.0</v>
      </c>
      <c r="P1810" s="2">
        <v>443.66</v>
      </c>
      <c r="Q1810" s="2">
        <v>86901.0</v>
      </c>
      <c r="R1810" s="15" t="b">
        <f>ISNUMBER(MATCH(Q1810,'Returned order'!A:A,0))</f>
        <v>0</v>
      </c>
      <c r="S1810" s="22">
        <v>42093.0</v>
      </c>
      <c r="T1810" s="15"/>
      <c r="U1810" s="15"/>
      <c r="V1810" s="15"/>
    </row>
    <row r="1811">
      <c r="A1811" s="2">
        <v>23392.0</v>
      </c>
      <c r="B1811" s="1" t="s">
        <v>58</v>
      </c>
      <c r="C1811" s="2">
        <v>0.02</v>
      </c>
      <c r="D1811" s="2">
        <v>60.22</v>
      </c>
      <c r="E1811" s="2">
        <v>3155.0</v>
      </c>
      <c r="F1811" s="1" t="s">
        <v>1991</v>
      </c>
      <c r="G1811" s="1" t="s">
        <v>32</v>
      </c>
      <c r="H1811" s="1" t="s">
        <v>23</v>
      </c>
      <c r="I1811" s="1" t="s">
        <v>151</v>
      </c>
      <c r="J1811" s="1" t="s">
        <v>1992</v>
      </c>
      <c r="K1811" s="19" t="s">
        <v>229</v>
      </c>
      <c r="L1811" s="20" t="s">
        <v>57</v>
      </c>
      <c r="M1811" s="21">
        <f t="shared" si="1"/>
        <v>2</v>
      </c>
      <c r="N1811" s="2">
        <v>-193.914</v>
      </c>
      <c r="O1811" s="2">
        <v>9.0</v>
      </c>
      <c r="P1811" s="2">
        <v>541.76</v>
      </c>
      <c r="Q1811" s="2">
        <v>86898.0</v>
      </c>
      <c r="R1811" s="15" t="b">
        <f>ISNUMBER(MATCH(Q1811,'Returned order'!A:A,0))</f>
        <v>0</v>
      </c>
      <c r="S1811" s="22">
        <v>42024.0</v>
      </c>
      <c r="T1811" s="15"/>
      <c r="U1811" s="15"/>
      <c r="V1811" s="15"/>
    </row>
    <row r="1812">
      <c r="A1812" s="2">
        <v>21437.0</v>
      </c>
      <c r="B1812" s="1" t="s">
        <v>28</v>
      </c>
      <c r="C1812" s="2">
        <v>0.03</v>
      </c>
      <c r="D1812" s="2">
        <v>25.98</v>
      </c>
      <c r="E1812" s="2">
        <v>3155.0</v>
      </c>
      <c r="F1812" s="1" t="s">
        <v>1991</v>
      </c>
      <c r="G1812" s="1" t="s">
        <v>32</v>
      </c>
      <c r="H1812" s="1" t="s">
        <v>37</v>
      </c>
      <c r="I1812" s="1" t="s">
        <v>38</v>
      </c>
      <c r="J1812" s="1" t="s">
        <v>795</v>
      </c>
      <c r="K1812" s="19" t="s">
        <v>229</v>
      </c>
      <c r="L1812" s="20" t="s">
        <v>27</v>
      </c>
      <c r="M1812" s="21">
        <f t="shared" si="1"/>
        <v>1</v>
      </c>
      <c r="N1812" s="2">
        <v>57.546</v>
      </c>
      <c r="O1812" s="2">
        <v>4.0</v>
      </c>
      <c r="P1812" s="2">
        <v>107.66</v>
      </c>
      <c r="Q1812" s="2">
        <v>86899.0</v>
      </c>
      <c r="R1812" s="15" t="b">
        <f>ISNUMBER(MATCH(Q1812,'Returned order'!A:A,0))</f>
        <v>0</v>
      </c>
      <c r="S1812" s="22">
        <v>42030.0</v>
      </c>
      <c r="T1812" s="15"/>
      <c r="U1812" s="15"/>
      <c r="V1812" s="15"/>
    </row>
    <row r="1813">
      <c r="A1813" s="2">
        <v>21438.0</v>
      </c>
      <c r="B1813" s="1" t="s">
        <v>28</v>
      </c>
      <c r="C1813" s="2">
        <v>0.1</v>
      </c>
      <c r="D1813" s="2">
        <v>32.48</v>
      </c>
      <c r="E1813" s="2">
        <v>3155.0</v>
      </c>
      <c r="F1813" s="1" t="s">
        <v>1991</v>
      </c>
      <c r="G1813" s="1" t="s">
        <v>32</v>
      </c>
      <c r="H1813" s="1" t="s">
        <v>23</v>
      </c>
      <c r="I1813" s="1" t="s">
        <v>120</v>
      </c>
      <c r="J1813" s="1" t="s">
        <v>564</v>
      </c>
      <c r="K1813" s="19" t="s">
        <v>229</v>
      </c>
      <c r="L1813" s="20" t="s">
        <v>27</v>
      </c>
      <c r="M1813" s="21">
        <f t="shared" si="1"/>
        <v>1</v>
      </c>
      <c r="N1813" s="2">
        <v>-333.4254</v>
      </c>
      <c r="O1813" s="2">
        <v>10.0</v>
      </c>
      <c r="P1813" s="2">
        <v>318.83</v>
      </c>
      <c r="Q1813" s="2">
        <v>86899.0</v>
      </c>
      <c r="R1813" s="15" t="b">
        <f>ISNUMBER(MATCH(Q1813,'Returned order'!A:A,0))</f>
        <v>0</v>
      </c>
      <c r="S1813" s="22">
        <v>42030.0</v>
      </c>
      <c r="T1813" s="15"/>
      <c r="U1813" s="15"/>
      <c r="V1813" s="15"/>
    </row>
    <row r="1814">
      <c r="A1814" s="2">
        <v>22015.0</v>
      </c>
      <c r="B1814" s="1" t="s">
        <v>58</v>
      </c>
      <c r="C1814" s="2">
        <v>0.05</v>
      </c>
      <c r="D1814" s="2">
        <v>159.99</v>
      </c>
      <c r="E1814" s="2">
        <v>3155.0</v>
      </c>
      <c r="F1814" s="1" t="s">
        <v>1991</v>
      </c>
      <c r="G1814" s="1" t="s">
        <v>22</v>
      </c>
      <c r="H1814" s="1" t="s">
        <v>46</v>
      </c>
      <c r="I1814" s="1" t="s">
        <v>47</v>
      </c>
      <c r="J1814" s="1" t="s">
        <v>1993</v>
      </c>
      <c r="K1814" s="19" t="s">
        <v>229</v>
      </c>
      <c r="L1814" s="20" t="s">
        <v>61</v>
      </c>
      <c r="M1814" s="21">
        <f t="shared" si="1"/>
        <v>7</v>
      </c>
      <c r="N1814" s="2">
        <v>12.264</v>
      </c>
      <c r="O1814" s="2">
        <v>23.0</v>
      </c>
      <c r="P1814" s="2">
        <v>3600.65</v>
      </c>
      <c r="Q1814" s="2">
        <v>86902.0</v>
      </c>
      <c r="R1814" s="15" t="b">
        <f>ISNUMBER(MATCH(Q1814,'Returned order'!A:A,0))</f>
        <v>0</v>
      </c>
      <c r="S1814" s="22">
        <v>42113.0</v>
      </c>
      <c r="T1814" s="15"/>
      <c r="U1814" s="15"/>
      <c r="V1814" s="15"/>
    </row>
    <row r="1815">
      <c r="A1815" s="2">
        <v>19374.0</v>
      </c>
      <c r="B1815" s="1" t="s">
        <v>49</v>
      </c>
      <c r="C1815" s="2">
        <v>0.07</v>
      </c>
      <c r="D1815" s="2">
        <v>280.98</v>
      </c>
      <c r="E1815" s="2">
        <v>3167.0</v>
      </c>
      <c r="F1815" s="1" t="s">
        <v>1994</v>
      </c>
      <c r="G1815" s="1" t="s">
        <v>32</v>
      </c>
      <c r="H1815" s="1" t="s">
        <v>37</v>
      </c>
      <c r="I1815" s="1" t="s">
        <v>38</v>
      </c>
      <c r="J1815" s="1" t="s">
        <v>566</v>
      </c>
      <c r="K1815" s="19" t="s">
        <v>229</v>
      </c>
      <c r="L1815" s="20" t="s">
        <v>76</v>
      </c>
      <c r="M1815" s="21">
        <f t="shared" si="1"/>
        <v>5</v>
      </c>
      <c r="N1815" s="2">
        <v>-283.9914</v>
      </c>
      <c r="O1815" s="2">
        <v>14.0</v>
      </c>
      <c r="P1815" s="2">
        <v>3936.61</v>
      </c>
      <c r="Q1815" s="2">
        <v>86491.0</v>
      </c>
      <c r="R1815" s="15" t="b">
        <f>ISNUMBER(MATCH(Q1815,'Returned order'!A:A,0))</f>
        <v>0</v>
      </c>
      <c r="S1815" s="22">
        <v>42174.0</v>
      </c>
      <c r="T1815" s="15"/>
      <c r="U1815" s="15"/>
      <c r="V1815" s="15"/>
    </row>
    <row r="1816">
      <c r="A1816" s="2">
        <v>19375.0</v>
      </c>
      <c r="B1816" s="1" t="s">
        <v>49</v>
      </c>
      <c r="C1816" s="2">
        <v>0.0</v>
      </c>
      <c r="D1816" s="2">
        <v>4.98</v>
      </c>
      <c r="E1816" s="2">
        <v>3167.0</v>
      </c>
      <c r="F1816" s="1" t="s">
        <v>1994</v>
      </c>
      <c r="G1816" s="1" t="s">
        <v>32</v>
      </c>
      <c r="H1816" s="1" t="s">
        <v>23</v>
      </c>
      <c r="I1816" s="1" t="s">
        <v>93</v>
      </c>
      <c r="J1816" s="1" t="s">
        <v>375</v>
      </c>
      <c r="K1816" s="19" t="s">
        <v>229</v>
      </c>
      <c r="L1816" s="20" t="s">
        <v>76</v>
      </c>
      <c r="M1816" s="21">
        <f t="shared" si="1"/>
        <v>5</v>
      </c>
      <c r="N1816" s="2">
        <v>-195.342</v>
      </c>
      <c r="O1816" s="2">
        <v>15.0</v>
      </c>
      <c r="P1816" s="2">
        <v>78.31</v>
      </c>
      <c r="Q1816" s="2">
        <v>86491.0</v>
      </c>
      <c r="R1816" s="15" t="b">
        <f>ISNUMBER(MATCH(Q1816,'Returned order'!A:A,0))</f>
        <v>0</v>
      </c>
      <c r="S1816" s="22">
        <v>42174.0</v>
      </c>
      <c r="T1816" s="15"/>
      <c r="U1816" s="15"/>
      <c r="V1816" s="15"/>
    </row>
    <row r="1817">
      <c r="A1817" s="2">
        <v>19376.0</v>
      </c>
      <c r="B1817" s="1" t="s">
        <v>49</v>
      </c>
      <c r="C1817" s="2">
        <v>0.1</v>
      </c>
      <c r="D1817" s="2">
        <v>3.98</v>
      </c>
      <c r="E1817" s="2">
        <v>3167.0</v>
      </c>
      <c r="F1817" s="1" t="s">
        <v>1994</v>
      </c>
      <c r="G1817" s="1" t="s">
        <v>32</v>
      </c>
      <c r="H1817" s="1" t="s">
        <v>23</v>
      </c>
      <c r="I1817" s="1" t="s">
        <v>29</v>
      </c>
      <c r="J1817" s="1" t="s">
        <v>1062</v>
      </c>
      <c r="K1817" s="19" t="s">
        <v>229</v>
      </c>
      <c r="L1817" s="20" t="s">
        <v>76</v>
      </c>
      <c r="M1817" s="21">
        <f t="shared" si="1"/>
        <v>5</v>
      </c>
      <c r="N1817" s="2">
        <v>-89.7092</v>
      </c>
      <c r="O1817" s="2">
        <v>11.0</v>
      </c>
      <c r="P1817" s="2">
        <v>42.46</v>
      </c>
      <c r="Q1817" s="2">
        <v>86491.0</v>
      </c>
      <c r="R1817" s="15" t="b">
        <f>ISNUMBER(MATCH(Q1817,'Returned order'!A:A,0))</f>
        <v>0</v>
      </c>
      <c r="S1817" s="22">
        <v>42174.0</v>
      </c>
      <c r="T1817" s="15"/>
      <c r="U1817" s="15"/>
      <c r="V1817" s="15"/>
    </row>
    <row r="1818">
      <c r="A1818" s="2">
        <v>25683.0</v>
      </c>
      <c r="B1818" s="1" t="s">
        <v>58</v>
      </c>
      <c r="C1818" s="2">
        <v>0.08</v>
      </c>
      <c r="D1818" s="2">
        <v>7.28</v>
      </c>
      <c r="E1818" s="2">
        <v>3169.0</v>
      </c>
      <c r="F1818" s="1" t="s">
        <v>1995</v>
      </c>
      <c r="G1818" s="1" t="s">
        <v>66</v>
      </c>
      <c r="H1818" s="1" t="s">
        <v>23</v>
      </c>
      <c r="I1818" s="1" t="s">
        <v>93</v>
      </c>
      <c r="J1818" s="1" t="s">
        <v>696</v>
      </c>
      <c r="K1818" s="19" t="s">
        <v>229</v>
      </c>
      <c r="L1818" s="20" t="s">
        <v>27</v>
      </c>
      <c r="M1818" s="21">
        <f t="shared" si="1"/>
        <v>1</v>
      </c>
      <c r="N1818" s="2">
        <v>-44.415</v>
      </c>
      <c r="O1818" s="2">
        <v>1.0</v>
      </c>
      <c r="P1818" s="2">
        <v>14.66</v>
      </c>
      <c r="Q1818" s="2">
        <v>86490.0</v>
      </c>
      <c r="R1818" s="15" t="b">
        <f>ISNUMBER(MATCH(Q1818,'Returned order'!A:A,0))</f>
        <v>0</v>
      </c>
      <c r="S1818" s="22">
        <v>42107.0</v>
      </c>
      <c r="T1818" s="15"/>
      <c r="U1818" s="15"/>
      <c r="V1818" s="15"/>
    </row>
    <row r="1819">
      <c r="A1819" s="2">
        <v>26055.0</v>
      </c>
      <c r="B1819" s="1" t="s">
        <v>63</v>
      </c>
      <c r="C1819" s="2">
        <v>0.1</v>
      </c>
      <c r="D1819" s="2">
        <v>7.28</v>
      </c>
      <c r="E1819" s="2">
        <v>3170.0</v>
      </c>
      <c r="F1819" s="1" t="s">
        <v>1996</v>
      </c>
      <c r="G1819" s="1" t="s">
        <v>32</v>
      </c>
      <c r="H1819" s="1" t="s">
        <v>23</v>
      </c>
      <c r="I1819" s="1" t="s">
        <v>93</v>
      </c>
      <c r="J1819" s="1" t="s">
        <v>1997</v>
      </c>
      <c r="K1819" s="19" t="s">
        <v>229</v>
      </c>
      <c r="L1819" s="20" t="s">
        <v>76</v>
      </c>
      <c r="M1819" s="21">
        <f t="shared" si="1"/>
        <v>5</v>
      </c>
      <c r="N1819" s="2">
        <v>167.334</v>
      </c>
      <c r="O1819" s="2">
        <v>12.0</v>
      </c>
      <c r="P1819" s="2">
        <v>83.14</v>
      </c>
      <c r="Q1819" s="2">
        <v>86489.0</v>
      </c>
      <c r="R1819" s="15" t="b">
        <f>ISNUMBER(MATCH(Q1819,'Returned order'!A:A,0))</f>
        <v>0</v>
      </c>
      <c r="S1819" s="22">
        <v>42048.0</v>
      </c>
      <c r="T1819" s="15"/>
      <c r="U1819" s="15"/>
      <c r="V1819" s="15"/>
    </row>
    <row r="1820">
      <c r="A1820" s="2">
        <v>21961.0</v>
      </c>
      <c r="B1820" s="1" t="s">
        <v>28</v>
      </c>
      <c r="C1820" s="2">
        <v>0.06</v>
      </c>
      <c r="D1820" s="2">
        <v>10.97</v>
      </c>
      <c r="E1820" s="2">
        <v>3176.0</v>
      </c>
      <c r="F1820" s="1" t="s">
        <v>1998</v>
      </c>
      <c r="G1820" s="1" t="s">
        <v>22</v>
      </c>
      <c r="H1820" s="1" t="s">
        <v>46</v>
      </c>
      <c r="I1820" s="1" t="s">
        <v>47</v>
      </c>
      <c r="J1820" s="1" t="s">
        <v>1999</v>
      </c>
      <c r="K1820" s="19" t="s">
        <v>229</v>
      </c>
      <c r="L1820" s="20" t="s">
        <v>27</v>
      </c>
      <c r="M1820" s="21">
        <f t="shared" si="1"/>
        <v>1</v>
      </c>
      <c r="N1820" s="2">
        <v>65.598</v>
      </c>
      <c r="O1820" s="2">
        <v>19.0</v>
      </c>
      <c r="P1820" s="2">
        <v>215.25</v>
      </c>
      <c r="Q1820" s="2">
        <v>90820.0</v>
      </c>
      <c r="R1820" s="15" t="b">
        <f>ISNUMBER(MATCH(Q1820,'Returned order'!A:A,0))</f>
        <v>0</v>
      </c>
      <c r="S1820" s="22">
        <v>42128.0</v>
      </c>
      <c r="T1820" s="15"/>
      <c r="U1820" s="15"/>
      <c r="V1820" s="15"/>
    </row>
    <row r="1821">
      <c r="A1821" s="2">
        <v>20964.0</v>
      </c>
      <c r="B1821" s="1" t="s">
        <v>170</v>
      </c>
      <c r="C1821" s="2">
        <v>0.02</v>
      </c>
      <c r="D1821" s="2">
        <v>58.14</v>
      </c>
      <c r="E1821" s="2">
        <v>3176.0</v>
      </c>
      <c r="F1821" s="1" t="s">
        <v>1998</v>
      </c>
      <c r="G1821" s="1" t="s">
        <v>22</v>
      </c>
      <c r="H1821" s="1" t="s">
        <v>37</v>
      </c>
      <c r="I1821" s="1" t="s">
        <v>55</v>
      </c>
      <c r="J1821" s="1" t="s">
        <v>814</v>
      </c>
      <c r="K1821" s="19" t="s">
        <v>229</v>
      </c>
      <c r="L1821" s="20" t="s">
        <v>70</v>
      </c>
      <c r="M1821" s="21">
        <f t="shared" si="1"/>
        <v>4</v>
      </c>
      <c r="N1821" s="2">
        <v>0.258</v>
      </c>
      <c r="O1821" s="2">
        <v>22.0</v>
      </c>
      <c r="P1821" s="2">
        <v>1358.02</v>
      </c>
      <c r="Q1821" s="2">
        <v>90821.0</v>
      </c>
      <c r="R1821" s="15" t="b">
        <f>ISNUMBER(MATCH(Q1821,'Returned order'!A:A,0))</f>
        <v>0</v>
      </c>
      <c r="S1821" s="22">
        <v>42180.0</v>
      </c>
      <c r="T1821" s="15"/>
      <c r="U1821" s="15"/>
      <c r="V1821" s="15"/>
    </row>
    <row r="1822">
      <c r="A1822" s="2">
        <v>20965.0</v>
      </c>
      <c r="B1822" s="1" t="s">
        <v>170</v>
      </c>
      <c r="C1822" s="2">
        <v>0.03</v>
      </c>
      <c r="D1822" s="2">
        <v>15.57</v>
      </c>
      <c r="E1822" s="2">
        <v>3176.0</v>
      </c>
      <c r="F1822" s="1" t="s">
        <v>1998</v>
      </c>
      <c r="G1822" s="1" t="s">
        <v>22</v>
      </c>
      <c r="H1822" s="1" t="s">
        <v>23</v>
      </c>
      <c r="I1822" s="1" t="s">
        <v>88</v>
      </c>
      <c r="J1822" s="1" t="s">
        <v>602</v>
      </c>
      <c r="K1822" s="19" t="s">
        <v>229</v>
      </c>
      <c r="L1822" s="20" t="s">
        <v>70</v>
      </c>
      <c r="M1822" s="21">
        <f t="shared" si="1"/>
        <v>4</v>
      </c>
      <c r="N1822" s="2">
        <v>63.222</v>
      </c>
      <c r="O1822" s="2">
        <v>22.0</v>
      </c>
      <c r="P1822" s="2">
        <v>358.84</v>
      </c>
      <c r="Q1822" s="2">
        <v>90821.0</v>
      </c>
      <c r="R1822" s="15" t="b">
        <f>ISNUMBER(MATCH(Q1822,'Returned order'!A:A,0))</f>
        <v>0</v>
      </c>
      <c r="S1822" s="22">
        <v>42180.0</v>
      </c>
      <c r="T1822" s="15"/>
      <c r="U1822" s="15"/>
      <c r="V1822" s="15"/>
    </row>
    <row r="1823">
      <c r="A1823" s="2">
        <v>24493.0</v>
      </c>
      <c r="B1823" s="1" t="s">
        <v>49</v>
      </c>
      <c r="C1823" s="2">
        <v>0.1</v>
      </c>
      <c r="D1823" s="2">
        <v>62.18</v>
      </c>
      <c r="E1823" s="2">
        <v>3177.0</v>
      </c>
      <c r="F1823" s="1" t="s">
        <v>2000</v>
      </c>
      <c r="G1823" s="1" t="s">
        <v>22</v>
      </c>
      <c r="H1823" s="1" t="s">
        <v>37</v>
      </c>
      <c r="I1823" s="1" t="s">
        <v>42</v>
      </c>
      <c r="J1823" s="1" t="s">
        <v>1052</v>
      </c>
      <c r="K1823" s="19" t="s">
        <v>229</v>
      </c>
      <c r="L1823" s="20" t="s">
        <v>53</v>
      </c>
      <c r="M1823" s="21">
        <f t="shared" si="1"/>
        <v>6</v>
      </c>
      <c r="N1823" s="2">
        <v>-29.666</v>
      </c>
      <c r="O1823" s="2">
        <v>9.0</v>
      </c>
      <c r="P1823" s="2">
        <v>511.57</v>
      </c>
      <c r="Q1823" s="2">
        <v>90818.0</v>
      </c>
      <c r="R1823" s="15" t="b">
        <f>ISNUMBER(MATCH(Q1823,'Returned order'!A:A,0))</f>
        <v>0</v>
      </c>
      <c r="S1823" s="22">
        <v>42077.0</v>
      </c>
      <c r="T1823" s="15"/>
      <c r="U1823" s="15"/>
      <c r="V1823" s="15"/>
    </row>
    <row r="1824">
      <c r="A1824" s="2">
        <v>22086.0</v>
      </c>
      <c r="B1824" s="1" t="s">
        <v>58</v>
      </c>
      <c r="C1824" s="2">
        <v>0.06</v>
      </c>
      <c r="D1824" s="2">
        <v>1.68</v>
      </c>
      <c r="E1824" s="2">
        <v>3177.0</v>
      </c>
      <c r="F1824" s="1" t="s">
        <v>2000</v>
      </c>
      <c r="G1824" s="1" t="s">
        <v>22</v>
      </c>
      <c r="H1824" s="1" t="s">
        <v>23</v>
      </c>
      <c r="I1824" s="1" t="s">
        <v>29</v>
      </c>
      <c r="J1824" s="1" t="s">
        <v>211</v>
      </c>
      <c r="K1824" s="19" t="s">
        <v>229</v>
      </c>
      <c r="L1824" s="20" t="s">
        <v>57</v>
      </c>
      <c r="M1824" s="21">
        <f t="shared" si="1"/>
        <v>2</v>
      </c>
      <c r="N1824" s="2">
        <v>-1319.5</v>
      </c>
      <c r="O1824" s="2">
        <v>5.0</v>
      </c>
      <c r="P1824" s="2">
        <v>8.65</v>
      </c>
      <c r="Q1824" s="2">
        <v>90819.0</v>
      </c>
      <c r="R1824" s="15" t="b">
        <f>ISNUMBER(MATCH(Q1824,'Returned order'!A:A,0))</f>
        <v>0</v>
      </c>
      <c r="S1824" s="22">
        <v>42094.0</v>
      </c>
      <c r="T1824" s="15"/>
      <c r="U1824" s="15"/>
      <c r="V1824" s="15"/>
    </row>
    <row r="1825">
      <c r="A1825" s="2">
        <v>21554.0</v>
      </c>
      <c r="B1825" s="1" t="s">
        <v>170</v>
      </c>
      <c r="C1825" s="2">
        <v>0.07</v>
      </c>
      <c r="D1825" s="2">
        <v>35.44</v>
      </c>
      <c r="E1825" s="2">
        <v>3179.0</v>
      </c>
      <c r="F1825" s="1" t="s">
        <v>2001</v>
      </c>
      <c r="G1825" s="1" t="s">
        <v>32</v>
      </c>
      <c r="H1825" s="1" t="s">
        <v>23</v>
      </c>
      <c r="I1825" s="1" t="s">
        <v>93</v>
      </c>
      <c r="J1825" s="1" t="s">
        <v>1923</v>
      </c>
      <c r="K1825" s="19" t="s">
        <v>68</v>
      </c>
      <c r="L1825" s="20" t="s">
        <v>76</v>
      </c>
      <c r="M1825" s="21">
        <f t="shared" si="1"/>
        <v>5</v>
      </c>
      <c r="N1825" s="2">
        <v>262.2</v>
      </c>
      <c r="O1825" s="2">
        <v>11.0</v>
      </c>
      <c r="P1825" s="2">
        <v>380.0</v>
      </c>
      <c r="Q1825" s="2">
        <v>86989.0</v>
      </c>
      <c r="R1825" s="15" t="b">
        <f>ISNUMBER(MATCH(Q1825,'Returned order'!A:A,0))</f>
        <v>0</v>
      </c>
      <c r="S1825" s="22">
        <v>42167.0</v>
      </c>
      <c r="T1825" s="15"/>
      <c r="U1825" s="15"/>
      <c r="V1825" s="15"/>
    </row>
    <row r="1826">
      <c r="A1826" s="2">
        <v>24464.0</v>
      </c>
      <c r="B1826" s="1" t="s">
        <v>28</v>
      </c>
      <c r="C1826" s="2">
        <v>0.08</v>
      </c>
      <c r="D1826" s="2">
        <v>170.98</v>
      </c>
      <c r="E1826" s="2">
        <v>3187.0</v>
      </c>
      <c r="F1826" s="1" t="s">
        <v>2002</v>
      </c>
      <c r="G1826" s="1" t="s">
        <v>66</v>
      </c>
      <c r="H1826" s="1" t="s">
        <v>37</v>
      </c>
      <c r="I1826" s="1" t="s">
        <v>55</v>
      </c>
      <c r="J1826" s="1" t="s">
        <v>128</v>
      </c>
      <c r="K1826" s="19" t="s">
        <v>229</v>
      </c>
      <c r="L1826" s="20" t="s">
        <v>27</v>
      </c>
      <c r="M1826" s="21">
        <f t="shared" si="1"/>
        <v>1</v>
      </c>
      <c r="N1826" s="2">
        <v>-119.812</v>
      </c>
      <c r="O1826" s="2">
        <v>1.0</v>
      </c>
      <c r="P1826" s="2">
        <v>199.48</v>
      </c>
      <c r="Q1826" s="2">
        <v>89025.0</v>
      </c>
      <c r="R1826" s="15" t="b">
        <f>ISNUMBER(MATCH(Q1826,'Returned order'!A:A,0))</f>
        <v>0</v>
      </c>
      <c r="S1826" s="22">
        <v>42065.0</v>
      </c>
      <c r="T1826" s="15"/>
      <c r="U1826" s="15"/>
      <c r="V1826" s="15"/>
    </row>
    <row r="1827">
      <c r="A1827" s="2">
        <v>20127.0</v>
      </c>
      <c r="B1827" s="1" t="s">
        <v>58</v>
      </c>
      <c r="C1827" s="2">
        <v>0.01</v>
      </c>
      <c r="D1827" s="2">
        <v>20.99</v>
      </c>
      <c r="E1827" s="2">
        <v>3191.0</v>
      </c>
      <c r="F1827" s="1" t="s">
        <v>2003</v>
      </c>
      <c r="G1827" s="1" t="s">
        <v>32</v>
      </c>
      <c r="H1827" s="1" t="s">
        <v>46</v>
      </c>
      <c r="I1827" s="1" t="s">
        <v>85</v>
      </c>
      <c r="J1827" s="1" t="s">
        <v>440</v>
      </c>
      <c r="K1827" s="19" t="s">
        <v>68</v>
      </c>
      <c r="L1827" s="20" t="s">
        <v>35</v>
      </c>
      <c r="M1827" s="21">
        <f t="shared" si="1"/>
        <v>3</v>
      </c>
      <c r="N1827" s="2">
        <v>-9.108</v>
      </c>
      <c r="O1827" s="2">
        <v>5.0</v>
      </c>
      <c r="P1827" s="2">
        <v>93.81</v>
      </c>
      <c r="Q1827" s="2">
        <v>86447.0</v>
      </c>
      <c r="R1827" s="15" t="b">
        <f>ISNUMBER(MATCH(Q1827,'Returned order'!A:A,0))</f>
        <v>0</v>
      </c>
      <c r="S1827" s="22">
        <v>42081.0</v>
      </c>
      <c r="T1827" s="15"/>
      <c r="U1827" s="15"/>
      <c r="V1827" s="15"/>
    </row>
    <row r="1828">
      <c r="A1828" s="2">
        <v>20303.0</v>
      </c>
      <c r="B1828" s="1" t="s">
        <v>28</v>
      </c>
      <c r="C1828" s="2">
        <v>0.09</v>
      </c>
      <c r="D1828" s="2">
        <v>35.94</v>
      </c>
      <c r="E1828" s="2">
        <v>3191.0</v>
      </c>
      <c r="F1828" s="1" t="s">
        <v>2003</v>
      </c>
      <c r="G1828" s="1" t="s">
        <v>32</v>
      </c>
      <c r="H1828" s="1" t="s">
        <v>23</v>
      </c>
      <c r="I1828" s="1" t="s">
        <v>88</v>
      </c>
      <c r="J1828" s="1" t="s">
        <v>95</v>
      </c>
      <c r="K1828" s="19" t="s">
        <v>68</v>
      </c>
      <c r="L1828" s="20" t="s">
        <v>76</v>
      </c>
      <c r="M1828" s="21">
        <f t="shared" si="1"/>
        <v>5</v>
      </c>
      <c r="N1828" s="2">
        <v>172.5644</v>
      </c>
      <c r="O1828" s="2">
        <v>9.0</v>
      </c>
      <c r="P1828" s="2">
        <v>312.22</v>
      </c>
      <c r="Q1828" s="2">
        <v>86448.0</v>
      </c>
      <c r="R1828" s="15" t="b">
        <f>ISNUMBER(MATCH(Q1828,'Returned order'!A:A,0))</f>
        <v>0</v>
      </c>
      <c r="S1828" s="22">
        <v>42104.0</v>
      </c>
      <c r="T1828" s="15"/>
      <c r="U1828" s="15"/>
      <c r="V1828" s="15"/>
    </row>
    <row r="1829">
      <c r="A1829" s="2">
        <v>22846.0</v>
      </c>
      <c r="B1829" s="1" t="s">
        <v>63</v>
      </c>
      <c r="C1829" s="2">
        <v>0.1</v>
      </c>
      <c r="D1829" s="2">
        <v>4.98</v>
      </c>
      <c r="E1829" s="2">
        <v>3194.0</v>
      </c>
      <c r="F1829" s="1" t="s">
        <v>2004</v>
      </c>
      <c r="G1829" s="1" t="s">
        <v>22</v>
      </c>
      <c r="H1829" s="1" t="s">
        <v>23</v>
      </c>
      <c r="I1829" s="1" t="s">
        <v>93</v>
      </c>
      <c r="J1829" s="1" t="s">
        <v>2005</v>
      </c>
      <c r="K1829" s="19" t="s">
        <v>229</v>
      </c>
      <c r="L1829" s="20" t="s">
        <v>57</v>
      </c>
      <c r="M1829" s="21">
        <f t="shared" si="1"/>
        <v>2</v>
      </c>
      <c r="N1829" s="2">
        <v>45.078</v>
      </c>
      <c r="O1829" s="2">
        <v>9.0</v>
      </c>
      <c r="P1829" s="2">
        <v>43.84</v>
      </c>
      <c r="Q1829" s="2">
        <v>89805.0</v>
      </c>
      <c r="R1829" s="15" t="b">
        <f>ISNUMBER(MATCH(Q1829,'Returned order'!A:A,0))</f>
        <v>0</v>
      </c>
      <c r="S1829" s="22">
        <v>42073.0</v>
      </c>
      <c r="T1829" s="15"/>
      <c r="U1829" s="15"/>
      <c r="V1829" s="15"/>
    </row>
    <row r="1830">
      <c r="A1830" s="2">
        <v>22847.0</v>
      </c>
      <c r="B1830" s="1" t="s">
        <v>63</v>
      </c>
      <c r="C1830" s="2">
        <v>0.0</v>
      </c>
      <c r="D1830" s="2">
        <v>22.84</v>
      </c>
      <c r="E1830" s="2">
        <v>3194.0</v>
      </c>
      <c r="F1830" s="1" t="s">
        <v>2004</v>
      </c>
      <c r="G1830" s="1" t="s">
        <v>22</v>
      </c>
      <c r="H1830" s="1" t="s">
        <v>23</v>
      </c>
      <c r="I1830" s="1" t="s">
        <v>93</v>
      </c>
      <c r="J1830" s="1" t="s">
        <v>1345</v>
      </c>
      <c r="K1830" s="19" t="s">
        <v>229</v>
      </c>
      <c r="L1830" s="20" t="s">
        <v>57</v>
      </c>
      <c r="M1830" s="21">
        <f t="shared" si="1"/>
        <v>2</v>
      </c>
      <c r="N1830" s="2">
        <v>-110.376</v>
      </c>
      <c r="O1830" s="2">
        <v>6.0</v>
      </c>
      <c r="P1830" s="2">
        <v>141.74</v>
      </c>
      <c r="Q1830" s="2">
        <v>89805.0</v>
      </c>
      <c r="R1830" s="15" t="b">
        <f>ISNUMBER(MATCH(Q1830,'Returned order'!A:A,0))</f>
        <v>0</v>
      </c>
      <c r="S1830" s="22">
        <v>42073.0</v>
      </c>
      <c r="T1830" s="15"/>
      <c r="U1830" s="15"/>
      <c r="V1830" s="15"/>
    </row>
    <row r="1831">
      <c r="A1831" s="2">
        <v>3406.0</v>
      </c>
      <c r="B1831" s="1" t="s">
        <v>49</v>
      </c>
      <c r="C1831" s="2">
        <v>0.03</v>
      </c>
      <c r="D1831" s="2">
        <v>200.97</v>
      </c>
      <c r="E1831" s="2">
        <v>3196.0</v>
      </c>
      <c r="F1831" s="1" t="s">
        <v>2006</v>
      </c>
      <c r="G1831" s="1" t="s">
        <v>51</v>
      </c>
      <c r="H1831" s="1" t="s">
        <v>46</v>
      </c>
      <c r="I1831" s="1" t="s">
        <v>103</v>
      </c>
      <c r="J1831" s="1" t="s">
        <v>1009</v>
      </c>
      <c r="K1831" s="19" t="s">
        <v>34</v>
      </c>
      <c r="L1831" s="20" t="s">
        <v>27</v>
      </c>
      <c r="M1831" s="21">
        <f t="shared" si="1"/>
        <v>1</v>
      </c>
      <c r="N1831" s="2">
        <v>1951.3</v>
      </c>
      <c r="O1831" s="2">
        <v>43.0</v>
      </c>
      <c r="P1831" s="2">
        <v>8717.75</v>
      </c>
      <c r="Q1831" s="2">
        <v>24294.0</v>
      </c>
      <c r="R1831" s="15" t="b">
        <f>ISNUMBER(MATCH(Q1831,'Returned order'!A:A,0))</f>
        <v>0</v>
      </c>
      <c r="S1831" s="22">
        <v>42037.0</v>
      </c>
      <c r="T1831" s="15"/>
      <c r="U1831" s="15"/>
      <c r="V1831" s="15"/>
    </row>
    <row r="1832">
      <c r="A1832" s="2">
        <v>21406.0</v>
      </c>
      <c r="B1832" s="1" t="s">
        <v>49</v>
      </c>
      <c r="C1832" s="2">
        <v>0.03</v>
      </c>
      <c r="D1832" s="2">
        <v>200.97</v>
      </c>
      <c r="E1832" s="2">
        <v>3197.0</v>
      </c>
      <c r="F1832" s="1" t="s">
        <v>2007</v>
      </c>
      <c r="G1832" s="1" t="s">
        <v>51</v>
      </c>
      <c r="H1832" s="1" t="s">
        <v>46</v>
      </c>
      <c r="I1832" s="1" t="s">
        <v>103</v>
      </c>
      <c r="J1832" s="1" t="s">
        <v>1009</v>
      </c>
      <c r="K1832" s="19" t="s">
        <v>68</v>
      </c>
      <c r="L1832" s="20" t="s">
        <v>27</v>
      </c>
      <c r="M1832" s="21">
        <f t="shared" si="1"/>
        <v>1</v>
      </c>
      <c r="N1832" s="2">
        <v>1538.7828</v>
      </c>
      <c r="O1832" s="2">
        <v>11.0</v>
      </c>
      <c r="P1832" s="2">
        <v>2230.12</v>
      </c>
      <c r="Q1832" s="2">
        <v>90850.0</v>
      </c>
      <c r="R1832" s="15" t="b">
        <f>ISNUMBER(MATCH(Q1832,'Returned order'!A:A,0))</f>
        <v>0</v>
      </c>
      <c r="S1832" s="22">
        <v>42037.0</v>
      </c>
      <c r="T1832" s="15"/>
      <c r="U1832" s="15"/>
      <c r="V1832" s="15"/>
    </row>
    <row r="1833">
      <c r="A1833" s="2">
        <v>18437.0</v>
      </c>
      <c r="B1833" s="1" t="s">
        <v>170</v>
      </c>
      <c r="C1833" s="2">
        <v>0.07</v>
      </c>
      <c r="D1833" s="2">
        <v>5.98</v>
      </c>
      <c r="E1833" s="2">
        <v>3205.0</v>
      </c>
      <c r="F1833" s="1" t="s">
        <v>2008</v>
      </c>
      <c r="G1833" s="1" t="s">
        <v>22</v>
      </c>
      <c r="H1833" s="1" t="s">
        <v>23</v>
      </c>
      <c r="I1833" s="1" t="s">
        <v>29</v>
      </c>
      <c r="J1833" s="1" t="s">
        <v>1332</v>
      </c>
      <c r="K1833" s="19" t="s">
        <v>34</v>
      </c>
      <c r="L1833" s="20" t="s">
        <v>27</v>
      </c>
      <c r="M1833" s="21">
        <f t="shared" si="1"/>
        <v>1</v>
      </c>
      <c r="N1833" s="2">
        <v>32.83</v>
      </c>
      <c r="O1833" s="2">
        <v>10.0</v>
      </c>
      <c r="P1833" s="2">
        <v>56.4</v>
      </c>
      <c r="Q1833" s="2">
        <v>87933.0</v>
      </c>
      <c r="R1833" s="15" t="b">
        <f>ISNUMBER(MATCH(Q1833,'Returned order'!A:A,0))</f>
        <v>0</v>
      </c>
      <c r="S1833" s="22">
        <v>42093.0</v>
      </c>
      <c r="T1833" s="15"/>
      <c r="U1833" s="15"/>
      <c r="V1833" s="15"/>
    </row>
    <row r="1834">
      <c r="A1834" s="2">
        <v>18438.0</v>
      </c>
      <c r="B1834" s="1" t="s">
        <v>170</v>
      </c>
      <c r="C1834" s="2">
        <v>0.01</v>
      </c>
      <c r="D1834" s="2">
        <v>39.98</v>
      </c>
      <c r="E1834" s="2">
        <v>3206.0</v>
      </c>
      <c r="F1834" s="1" t="s">
        <v>2009</v>
      </c>
      <c r="G1834" s="1" t="s">
        <v>22</v>
      </c>
      <c r="H1834" s="1" t="s">
        <v>46</v>
      </c>
      <c r="I1834" s="1" t="s">
        <v>47</v>
      </c>
      <c r="J1834" s="1" t="s">
        <v>293</v>
      </c>
      <c r="K1834" s="19" t="s">
        <v>34</v>
      </c>
      <c r="L1834" s="20" t="s">
        <v>27</v>
      </c>
      <c r="M1834" s="21">
        <f t="shared" si="1"/>
        <v>1</v>
      </c>
      <c r="N1834" s="2">
        <v>51.59</v>
      </c>
      <c r="O1834" s="2">
        <v>6.0</v>
      </c>
      <c r="P1834" s="2">
        <v>257.52</v>
      </c>
      <c r="Q1834" s="2">
        <v>87933.0</v>
      </c>
      <c r="R1834" s="15" t="b">
        <f>ISNUMBER(MATCH(Q1834,'Returned order'!A:A,0))</f>
        <v>0</v>
      </c>
      <c r="S1834" s="22">
        <v>42093.0</v>
      </c>
      <c r="T1834" s="15"/>
      <c r="U1834" s="15"/>
      <c r="V1834" s="15"/>
    </row>
    <row r="1835">
      <c r="A1835" s="2">
        <v>21229.0</v>
      </c>
      <c r="B1835" s="1" t="s">
        <v>49</v>
      </c>
      <c r="C1835" s="2">
        <v>0.06</v>
      </c>
      <c r="D1835" s="2">
        <v>218.08</v>
      </c>
      <c r="E1835" s="2">
        <v>3206.0</v>
      </c>
      <c r="F1835" s="1" t="s">
        <v>2009</v>
      </c>
      <c r="G1835" s="1" t="s">
        <v>22</v>
      </c>
      <c r="H1835" s="1" t="s">
        <v>37</v>
      </c>
      <c r="I1835" s="1" t="s">
        <v>38</v>
      </c>
      <c r="J1835" s="1" t="s">
        <v>1124</v>
      </c>
      <c r="K1835" s="19" t="s">
        <v>34</v>
      </c>
      <c r="L1835" s="20" t="s">
        <v>70</v>
      </c>
      <c r="M1835" s="21">
        <f t="shared" si="1"/>
        <v>4</v>
      </c>
      <c r="N1835" s="2">
        <v>969.42</v>
      </c>
      <c r="O1835" s="2">
        <v>7.0</v>
      </c>
      <c r="P1835" s="2">
        <v>1488.51</v>
      </c>
      <c r="Q1835" s="2">
        <v>87934.0</v>
      </c>
      <c r="R1835" s="15" t="b">
        <f>ISNUMBER(MATCH(Q1835,'Returned order'!A:A,0))</f>
        <v>0</v>
      </c>
      <c r="S1835" s="22">
        <v>42145.0</v>
      </c>
      <c r="T1835" s="15"/>
      <c r="U1835" s="15"/>
      <c r="V1835" s="15"/>
    </row>
    <row r="1836">
      <c r="A1836" s="2">
        <v>20156.0</v>
      </c>
      <c r="B1836" s="1" t="s">
        <v>49</v>
      </c>
      <c r="C1836" s="2">
        <v>0.05</v>
      </c>
      <c r="D1836" s="2">
        <v>35.44</v>
      </c>
      <c r="E1836" s="2">
        <v>3206.0</v>
      </c>
      <c r="F1836" s="1" t="s">
        <v>2009</v>
      </c>
      <c r="G1836" s="1" t="s">
        <v>22</v>
      </c>
      <c r="H1836" s="1" t="s">
        <v>23</v>
      </c>
      <c r="I1836" s="1" t="s">
        <v>93</v>
      </c>
      <c r="J1836" s="1" t="s">
        <v>1942</v>
      </c>
      <c r="K1836" s="19" t="s">
        <v>34</v>
      </c>
      <c r="L1836" s="20" t="s">
        <v>70</v>
      </c>
      <c r="M1836" s="21">
        <f t="shared" si="1"/>
        <v>4</v>
      </c>
      <c r="N1836" s="2">
        <v>553.3317</v>
      </c>
      <c r="O1836" s="2">
        <v>23.0</v>
      </c>
      <c r="P1836" s="2">
        <v>801.93</v>
      </c>
      <c r="Q1836" s="2">
        <v>87935.0</v>
      </c>
      <c r="R1836" s="15" t="b">
        <f>ISNUMBER(MATCH(Q1836,'Returned order'!A:A,0))</f>
        <v>0</v>
      </c>
      <c r="S1836" s="22">
        <v>42152.0</v>
      </c>
      <c r="T1836" s="15"/>
      <c r="U1836" s="15"/>
      <c r="V1836" s="15"/>
    </row>
    <row r="1837">
      <c r="A1837" s="2">
        <v>24637.0</v>
      </c>
      <c r="B1837" s="1" t="s">
        <v>58</v>
      </c>
      <c r="C1837" s="2">
        <v>0.03</v>
      </c>
      <c r="D1837" s="2">
        <v>4.98</v>
      </c>
      <c r="E1837" s="2">
        <v>3209.0</v>
      </c>
      <c r="F1837" s="1" t="s">
        <v>2010</v>
      </c>
      <c r="G1837" s="1" t="s">
        <v>32</v>
      </c>
      <c r="H1837" s="1" t="s">
        <v>46</v>
      </c>
      <c r="I1837" s="1" t="s">
        <v>47</v>
      </c>
      <c r="J1837" s="1" t="s">
        <v>144</v>
      </c>
      <c r="K1837" s="19" t="s">
        <v>34</v>
      </c>
      <c r="L1837" s="20" t="s">
        <v>61</v>
      </c>
      <c r="M1837" s="21">
        <f t="shared" si="1"/>
        <v>7</v>
      </c>
      <c r="N1837" s="2">
        <v>-30.45</v>
      </c>
      <c r="O1837" s="2">
        <v>8.0</v>
      </c>
      <c r="P1837" s="2">
        <v>44.24</v>
      </c>
      <c r="Q1837" s="2">
        <v>90739.0</v>
      </c>
      <c r="R1837" s="15" t="b">
        <f>ISNUMBER(MATCH(Q1837,'Returned order'!A:A,0))</f>
        <v>0</v>
      </c>
      <c r="S1837" s="22">
        <v>42183.0</v>
      </c>
      <c r="T1837" s="15"/>
      <c r="U1837" s="15"/>
      <c r="V1837" s="15"/>
    </row>
    <row r="1838">
      <c r="A1838" s="2">
        <v>22804.0</v>
      </c>
      <c r="B1838" s="1" t="s">
        <v>28</v>
      </c>
      <c r="C1838" s="2">
        <v>0.1</v>
      </c>
      <c r="D1838" s="2">
        <v>7.31</v>
      </c>
      <c r="E1838" s="2">
        <v>3211.0</v>
      </c>
      <c r="F1838" s="1" t="s">
        <v>2011</v>
      </c>
      <c r="G1838" s="1" t="s">
        <v>32</v>
      </c>
      <c r="H1838" s="1" t="s">
        <v>23</v>
      </c>
      <c r="I1838" s="1" t="s">
        <v>130</v>
      </c>
      <c r="J1838" s="1" t="s">
        <v>834</v>
      </c>
      <c r="K1838" s="19" t="s">
        <v>68</v>
      </c>
      <c r="L1838" s="20" t="s">
        <v>61</v>
      </c>
      <c r="M1838" s="21">
        <f t="shared" si="1"/>
        <v>7</v>
      </c>
      <c r="N1838" s="2">
        <v>55.0206</v>
      </c>
      <c r="O1838" s="2">
        <v>12.0</v>
      </c>
      <c r="P1838" s="2">
        <v>79.74</v>
      </c>
      <c r="Q1838" s="2">
        <v>91522.0</v>
      </c>
      <c r="R1838" s="15" t="b">
        <f>ISNUMBER(MATCH(Q1838,'Returned order'!A:A,0))</f>
        <v>0</v>
      </c>
      <c r="S1838" s="22">
        <v>42050.0</v>
      </c>
      <c r="T1838" s="15"/>
      <c r="U1838" s="15"/>
      <c r="V1838" s="15"/>
    </row>
    <row r="1839">
      <c r="A1839" s="2">
        <v>22805.0</v>
      </c>
      <c r="B1839" s="1" t="s">
        <v>28</v>
      </c>
      <c r="C1839" s="2">
        <v>0.1</v>
      </c>
      <c r="D1839" s="2">
        <v>20.99</v>
      </c>
      <c r="E1839" s="2">
        <v>3211.0</v>
      </c>
      <c r="F1839" s="1" t="s">
        <v>2011</v>
      </c>
      <c r="G1839" s="1" t="s">
        <v>32</v>
      </c>
      <c r="H1839" s="1" t="s">
        <v>46</v>
      </c>
      <c r="I1839" s="1" t="s">
        <v>85</v>
      </c>
      <c r="J1839" s="1" t="s">
        <v>905</v>
      </c>
      <c r="K1839" s="19" t="s">
        <v>68</v>
      </c>
      <c r="L1839" s="20" t="s">
        <v>61</v>
      </c>
      <c r="M1839" s="21">
        <f t="shared" si="1"/>
        <v>7</v>
      </c>
      <c r="N1839" s="2">
        <v>-43.65504</v>
      </c>
      <c r="O1839" s="2">
        <v>23.0</v>
      </c>
      <c r="P1839" s="2">
        <v>392.45</v>
      </c>
      <c r="Q1839" s="2">
        <v>91522.0</v>
      </c>
      <c r="R1839" s="15" t="b">
        <f>ISNUMBER(MATCH(Q1839,'Returned order'!A:A,0))</f>
        <v>0</v>
      </c>
      <c r="S1839" s="22">
        <v>42050.0</v>
      </c>
      <c r="T1839" s="15"/>
      <c r="U1839" s="15"/>
      <c r="V1839" s="15"/>
    </row>
    <row r="1840">
      <c r="A1840" s="2">
        <v>23736.0</v>
      </c>
      <c r="B1840" s="1" t="s">
        <v>49</v>
      </c>
      <c r="C1840" s="2">
        <v>0.03</v>
      </c>
      <c r="D1840" s="2">
        <v>6.68</v>
      </c>
      <c r="E1840" s="2">
        <v>3221.0</v>
      </c>
      <c r="F1840" s="1" t="s">
        <v>2012</v>
      </c>
      <c r="G1840" s="1" t="s">
        <v>32</v>
      </c>
      <c r="H1840" s="1" t="s">
        <v>23</v>
      </c>
      <c r="I1840" s="1" t="s">
        <v>29</v>
      </c>
      <c r="J1840" s="1" t="s">
        <v>1466</v>
      </c>
      <c r="K1840" s="19" t="s">
        <v>229</v>
      </c>
      <c r="L1840" s="20" t="s">
        <v>61</v>
      </c>
      <c r="M1840" s="21">
        <f t="shared" si="1"/>
        <v>7</v>
      </c>
      <c r="N1840" s="2">
        <v>-577.304</v>
      </c>
      <c r="O1840" s="2">
        <v>7.0</v>
      </c>
      <c r="P1840" s="2">
        <v>48.32</v>
      </c>
      <c r="Q1840" s="2">
        <v>90815.0</v>
      </c>
      <c r="R1840" s="15" t="b">
        <f>ISNUMBER(MATCH(Q1840,'Returned order'!A:A,0))</f>
        <v>0</v>
      </c>
      <c r="S1840" s="22">
        <v>42106.0</v>
      </c>
      <c r="T1840" s="15"/>
      <c r="U1840" s="15"/>
      <c r="V1840" s="15"/>
    </row>
    <row r="1841">
      <c r="A1841" s="2">
        <v>25605.0</v>
      </c>
      <c r="B1841" s="1" t="s">
        <v>28</v>
      </c>
      <c r="C1841" s="2">
        <v>0.04</v>
      </c>
      <c r="D1841" s="2">
        <v>39.48</v>
      </c>
      <c r="E1841" s="2">
        <v>3222.0</v>
      </c>
      <c r="F1841" s="1" t="s">
        <v>2013</v>
      </c>
      <c r="G1841" s="1" t="s">
        <v>32</v>
      </c>
      <c r="H1841" s="1" t="s">
        <v>46</v>
      </c>
      <c r="I1841" s="1" t="s">
        <v>47</v>
      </c>
      <c r="J1841" s="1" t="s">
        <v>588</v>
      </c>
      <c r="K1841" s="19" t="s">
        <v>229</v>
      </c>
      <c r="L1841" s="20" t="s">
        <v>70</v>
      </c>
      <c r="M1841" s="21">
        <f t="shared" si="1"/>
        <v>4</v>
      </c>
      <c r="N1841" s="2">
        <v>-1535.4864</v>
      </c>
      <c r="O1841" s="2">
        <v>8.0</v>
      </c>
      <c r="P1841" s="2">
        <v>332.16</v>
      </c>
      <c r="Q1841" s="2">
        <v>90814.0</v>
      </c>
      <c r="R1841" s="15" t="b">
        <f>ISNUMBER(MATCH(Q1841,'Returned order'!A:A,0))</f>
        <v>0</v>
      </c>
      <c r="S1841" s="22">
        <v>42082.0</v>
      </c>
      <c r="T1841" s="15"/>
      <c r="U1841" s="15"/>
      <c r="V1841" s="15"/>
    </row>
    <row r="1842">
      <c r="A1842" s="2">
        <v>25606.0</v>
      </c>
      <c r="B1842" s="1" t="s">
        <v>28</v>
      </c>
      <c r="C1842" s="2">
        <v>0.0</v>
      </c>
      <c r="D1842" s="2">
        <v>8.12</v>
      </c>
      <c r="E1842" s="2">
        <v>3222.0</v>
      </c>
      <c r="F1842" s="1" t="s">
        <v>2013</v>
      </c>
      <c r="G1842" s="1" t="s">
        <v>32</v>
      </c>
      <c r="H1842" s="1" t="s">
        <v>46</v>
      </c>
      <c r="I1842" s="1" t="s">
        <v>47</v>
      </c>
      <c r="J1842" s="1" t="s">
        <v>674</v>
      </c>
      <c r="K1842" s="19" t="s">
        <v>229</v>
      </c>
      <c r="L1842" s="20" t="s">
        <v>70</v>
      </c>
      <c r="M1842" s="21">
        <f t="shared" si="1"/>
        <v>4</v>
      </c>
      <c r="N1842" s="2">
        <v>-159.32</v>
      </c>
      <c r="O1842" s="2">
        <v>17.0</v>
      </c>
      <c r="P1842" s="2">
        <v>147.62</v>
      </c>
      <c r="Q1842" s="2">
        <v>90814.0</v>
      </c>
      <c r="R1842" s="15" t="b">
        <f>ISNUMBER(MATCH(Q1842,'Returned order'!A:A,0))</f>
        <v>0</v>
      </c>
      <c r="S1842" s="22">
        <v>42082.0</v>
      </c>
      <c r="T1842" s="15"/>
      <c r="U1842" s="15"/>
      <c r="V1842" s="15"/>
    </row>
    <row r="1843">
      <c r="A1843" s="2">
        <v>19517.0</v>
      </c>
      <c r="B1843" s="1" t="s">
        <v>58</v>
      </c>
      <c r="C1843" s="2">
        <v>0.06</v>
      </c>
      <c r="D1843" s="2">
        <v>60.98</v>
      </c>
      <c r="E1843" s="2">
        <v>3224.0</v>
      </c>
      <c r="F1843" s="1" t="s">
        <v>2014</v>
      </c>
      <c r="G1843" s="1" t="s">
        <v>66</v>
      </c>
      <c r="H1843" s="1" t="s">
        <v>37</v>
      </c>
      <c r="I1843" s="1" t="s">
        <v>38</v>
      </c>
      <c r="J1843" s="1" t="s">
        <v>2015</v>
      </c>
      <c r="K1843" s="19" t="s">
        <v>229</v>
      </c>
      <c r="L1843" s="20" t="s">
        <v>35</v>
      </c>
      <c r="M1843" s="21">
        <f t="shared" si="1"/>
        <v>3</v>
      </c>
      <c r="N1843" s="2">
        <v>-74.088</v>
      </c>
      <c r="O1843" s="2">
        <v>2.0</v>
      </c>
      <c r="P1843" s="2">
        <v>125.9</v>
      </c>
      <c r="Q1843" s="2">
        <v>86508.0</v>
      </c>
      <c r="R1843" s="15" t="b">
        <f>ISNUMBER(MATCH(Q1843,'Returned order'!A:A,0))</f>
        <v>0</v>
      </c>
      <c r="S1843" s="22">
        <v>42095.0</v>
      </c>
      <c r="T1843" s="15"/>
      <c r="U1843" s="15"/>
      <c r="V1843" s="15"/>
    </row>
    <row r="1844">
      <c r="A1844" s="2">
        <v>22291.0</v>
      </c>
      <c r="B1844" s="1" t="s">
        <v>49</v>
      </c>
      <c r="C1844" s="2">
        <v>0.1</v>
      </c>
      <c r="D1844" s="2">
        <v>208.16</v>
      </c>
      <c r="E1844" s="2">
        <v>3225.0</v>
      </c>
      <c r="F1844" s="1" t="s">
        <v>2016</v>
      </c>
      <c r="G1844" s="1" t="s">
        <v>66</v>
      </c>
      <c r="H1844" s="1" t="s">
        <v>23</v>
      </c>
      <c r="I1844" s="1" t="s">
        <v>151</v>
      </c>
      <c r="J1844" s="1" t="s">
        <v>2017</v>
      </c>
      <c r="K1844" s="19" t="s">
        <v>229</v>
      </c>
      <c r="L1844" s="20" t="s">
        <v>35</v>
      </c>
      <c r="M1844" s="21">
        <f t="shared" si="1"/>
        <v>3</v>
      </c>
      <c r="N1844" s="2">
        <v>-137.522</v>
      </c>
      <c r="O1844" s="2">
        <v>4.0</v>
      </c>
      <c r="P1844" s="2">
        <v>768.81</v>
      </c>
      <c r="Q1844" s="2">
        <v>86507.0</v>
      </c>
      <c r="R1844" s="15" t="b">
        <f>ISNUMBER(MATCH(Q1844,'Returned order'!A:A,0))</f>
        <v>0</v>
      </c>
      <c r="S1844" s="22">
        <v>42018.0</v>
      </c>
      <c r="T1844" s="15"/>
      <c r="U1844" s="15"/>
      <c r="V1844" s="15"/>
    </row>
    <row r="1845">
      <c r="A1845" s="2">
        <v>22292.0</v>
      </c>
      <c r="B1845" s="1" t="s">
        <v>49</v>
      </c>
      <c r="C1845" s="2">
        <v>0.07</v>
      </c>
      <c r="D1845" s="2">
        <v>90.48</v>
      </c>
      <c r="E1845" s="2">
        <v>3226.0</v>
      </c>
      <c r="F1845" s="1" t="s">
        <v>2018</v>
      </c>
      <c r="G1845" s="1" t="s">
        <v>66</v>
      </c>
      <c r="H1845" s="1" t="s">
        <v>23</v>
      </c>
      <c r="I1845" s="1" t="s">
        <v>88</v>
      </c>
      <c r="J1845" s="1" t="s">
        <v>1344</v>
      </c>
      <c r="K1845" s="19" t="s">
        <v>229</v>
      </c>
      <c r="L1845" s="20" t="s">
        <v>35</v>
      </c>
      <c r="M1845" s="21">
        <f t="shared" si="1"/>
        <v>3</v>
      </c>
      <c r="N1845" s="2">
        <v>-11.816</v>
      </c>
      <c r="O1845" s="2">
        <v>2.0</v>
      </c>
      <c r="P1845" s="2">
        <v>183.39</v>
      </c>
      <c r="Q1845" s="2">
        <v>86507.0</v>
      </c>
      <c r="R1845" s="15" t="b">
        <f>ISNUMBER(MATCH(Q1845,'Returned order'!A:A,0))</f>
        <v>0</v>
      </c>
      <c r="S1845" s="22">
        <v>42018.0</v>
      </c>
      <c r="T1845" s="15"/>
      <c r="U1845" s="15"/>
      <c r="V1845" s="15"/>
    </row>
    <row r="1846">
      <c r="A1846" s="2">
        <v>22293.0</v>
      </c>
      <c r="B1846" s="1" t="s">
        <v>49</v>
      </c>
      <c r="C1846" s="2">
        <v>0.01</v>
      </c>
      <c r="D1846" s="2">
        <v>9.48</v>
      </c>
      <c r="E1846" s="2">
        <v>3226.0</v>
      </c>
      <c r="F1846" s="1" t="s">
        <v>2018</v>
      </c>
      <c r="G1846" s="1" t="s">
        <v>66</v>
      </c>
      <c r="H1846" s="1" t="s">
        <v>37</v>
      </c>
      <c r="I1846" s="1" t="s">
        <v>42</v>
      </c>
      <c r="J1846" s="1" t="s">
        <v>60</v>
      </c>
      <c r="K1846" s="19" t="s">
        <v>229</v>
      </c>
      <c r="L1846" s="20" t="s">
        <v>35</v>
      </c>
      <c r="M1846" s="21">
        <f t="shared" si="1"/>
        <v>3</v>
      </c>
      <c r="N1846" s="2">
        <v>238.9338</v>
      </c>
      <c r="O1846" s="2">
        <v>1.0</v>
      </c>
      <c r="P1846" s="2">
        <v>12.9</v>
      </c>
      <c r="Q1846" s="2">
        <v>86507.0</v>
      </c>
      <c r="R1846" s="15" t="b">
        <f>ISNUMBER(MATCH(Q1846,'Returned order'!A:A,0))</f>
        <v>0</v>
      </c>
      <c r="S1846" s="22">
        <v>42018.0</v>
      </c>
      <c r="T1846" s="15"/>
      <c r="U1846" s="15"/>
      <c r="V1846" s="15"/>
    </row>
    <row r="1847">
      <c r="A1847" s="2">
        <v>22294.0</v>
      </c>
      <c r="B1847" s="1" t="s">
        <v>49</v>
      </c>
      <c r="C1847" s="2">
        <v>0.02</v>
      </c>
      <c r="D1847" s="2">
        <v>4.28</v>
      </c>
      <c r="E1847" s="2">
        <v>3226.0</v>
      </c>
      <c r="F1847" s="1" t="s">
        <v>2018</v>
      </c>
      <c r="G1847" s="1" t="s">
        <v>66</v>
      </c>
      <c r="H1847" s="1" t="s">
        <v>23</v>
      </c>
      <c r="I1847" s="1" t="s">
        <v>29</v>
      </c>
      <c r="J1847" s="1" t="s">
        <v>1216</v>
      </c>
      <c r="K1847" s="19" t="s">
        <v>229</v>
      </c>
      <c r="L1847" s="20" t="s">
        <v>35</v>
      </c>
      <c r="M1847" s="21">
        <f t="shared" si="1"/>
        <v>3</v>
      </c>
      <c r="N1847" s="2">
        <v>-105.126</v>
      </c>
      <c r="O1847" s="2">
        <v>4.0</v>
      </c>
      <c r="P1847" s="2">
        <v>17.89</v>
      </c>
      <c r="Q1847" s="2">
        <v>86507.0</v>
      </c>
      <c r="R1847" s="15" t="b">
        <f>ISNUMBER(MATCH(Q1847,'Returned order'!A:A,0))</f>
        <v>0</v>
      </c>
      <c r="S1847" s="22">
        <v>42018.0</v>
      </c>
      <c r="T1847" s="15"/>
      <c r="U1847" s="15"/>
      <c r="V1847" s="15"/>
    </row>
    <row r="1848">
      <c r="A1848" s="2">
        <v>24343.0</v>
      </c>
      <c r="B1848" s="1" t="s">
        <v>63</v>
      </c>
      <c r="C1848" s="2">
        <v>0.06</v>
      </c>
      <c r="D1848" s="2">
        <v>22.24</v>
      </c>
      <c r="E1848" s="2">
        <v>3226.0</v>
      </c>
      <c r="F1848" s="1" t="s">
        <v>2018</v>
      </c>
      <c r="G1848" s="1" t="s">
        <v>66</v>
      </c>
      <c r="H1848" s="1" t="s">
        <v>46</v>
      </c>
      <c r="I1848" s="1" t="s">
        <v>47</v>
      </c>
      <c r="J1848" s="1" t="s">
        <v>2019</v>
      </c>
      <c r="K1848" s="19" t="s">
        <v>229</v>
      </c>
      <c r="L1848" s="20" t="s">
        <v>61</v>
      </c>
      <c r="M1848" s="21">
        <f t="shared" si="1"/>
        <v>7</v>
      </c>
      <c r="N1848" s="2">
        <v>95.388</v>
      </c>
      <c r="O1848" s="2">
        <v>12.0</v>
      </c>
      <c r="P1848" s="2">
        <v>255.88</v>
      </c>
      <c r="Q1848" s="2">
        <v>86509.0</v>
      </c>
      <c r="R1848" s="15" t="b">
        <f>ISNUMBER(MATCH(Q1848,'Returned order'!A:A,0))</f>
        <v>0</v>
      </c>
      <c r="S1848" s="22">
        <v>42183.0</v>
      </c>
      <c r="T1848" s="15"/>
      <c r="U1848" s="15"/>
      <c r="V1848" s="15"/>
    </row>
    <row r="1849">
      <c r="A1849" s="2">
        <v>18940.0</v>
      </c>
      <c r="B1849" s="1" t="s">
        <v>49</v>
      </c>
      <c r="C1849" s="2">
        <v>0.01</v>
      </c>
      <c r="D1849" s="2">
        <v>24.95</v>
      </c>
      <c r="E1849" s="2">
        <v>3229.0</v>
      </c>
      <c r="F1849" s="1" t="s">
        <v>2020</v>
      </c>
      <c r="G1849" s="1" t="s">
        <v>66</v>
      </c>
      <c r="H1849" s="1" t="s">
        <v>23</v>
      </c>
      <c r="I1849" s="1" t="s">
        <v>24</v>
      </c>
      <c r="J1849" s="1" t="s">
        <v>2021</v>
      </c>
      <c r="K1849" s="19" t="s">
        <v>68</v>
      </c>
      <c r="L1849" s="20" t="s">
        <v>35</v>
      </c>
      <c r="M1849" s="21">
        <f t="shared" si="1"/>
        <v>3</v>
      </c>
      <c r="N1849" s="2">
        <v>261.3858</v>
      </c>
      <c r="O1849" s="2">
        <v>15.0</v>
      </c>
      <c r="P1849" s="2">
        <v>378.82</v>
      </c>
      <c r="Q1849" s="2">
        <v>87435.0</v>
      </c>
      <c r="R1849" s="15" t="b">
        <f>ISNUMBER(MATCH(Q1849,'Returned order'!A:A,0))</f>
        <v>0</v>
      </c>
      <c r="S1849" s="22">
        <v>42025.0</v>
      </c>
      <c r="T1849" s="15"/>
      <c r="U1849" s="15"/>
      <c r="V1849" s="15"/>
    </row>
    <row r="1850">
      <c r="A1850" s="2">
        <v>18941.0</v>
      </c>
      <c r="B1850" s="1" t="s">
        <v>49</v>
      </c>
      <c r="C1850" s="2">
        <v>0.0</v>
      </c>
      <c r="D1850" s="2">
        <v>15.98</v>
      </c>
      <c r="E1850" s="2">
        <v>3230.0</v>
      </c>
      <c r="F1850" s="1" t="s">
        <v>2022</v>
      </c>
      <c r="G1850" s="1" t="s">
        <v>66</v>
      </c>
      <c r="H1850" s="1" t="s">
        <v>46</v>
      </c>
      <c r="I1850" s="1" t="s">
        <v>47</v>
      </c>
      <c r="J1850" s="1" t="s">
        <v>2023</v>
      </c>
      <c r="K1850" s="19" t="s">
        <v>68</v>
      </c>
      <c r="L1850" s="20" t="s">
        <v>35</v>
      </c>
      <c r="M1850" s="21">
        <f t="shared" si="1"/>
        <v>3</v>
      </c>
      <c r="N1850" s="2">
        <v>-135.46</v>
      </c>
      <c r="O1850" s="2">
        <v>9.0</v>
      </c>
      <c r="P1850" s="2">
        <v>152.18</v>
      </c>
      <c r="Q1850" s="2">
        <v>87435.0</v>
      </c>
      <c r="R1850" s="15" t="b">
        <f>ISNUMBER(MATCH(Q1850,'Returned order'!A:A,0))</f>
        <v>0</v>
      </c>
      <c r="S1850" s="22">
        <v>42025.0</v>
      </c>
      <c r="T1850" s="15"/>
      <c r="U1850" s="15"/>
      <c r="V1850" s="15"/>
    </row>
    <row r="1851">
      <c r="A1851" s="2">
        <v>19062.0</v>
      </c>
      <c r="B1851" s="1" t="s">
        <v>58</v>
      </c>
      <c r="C1851" s="2">
        <v>0.06</v>
      </c>
      <c r="D1851" s="2">
        <v>4.91</v>
      </c>
      <c r="E1851" s="2">
        <v>3230.0</v>
      </c>
      <c r="F1851" s="1" t="s">
        <v>2022</v>
      </c>
      <c r="G1851" s="1" t="s">
        <v>66</v>
      </c>
      <c r="H1851" s="1" t="s">
        <v>23</v>
      </c>
      <c r="I1851" s="1" t="s">
        <v>24</v>
      </c>
      <c r="J1851" s="1" t="s">
        <v>1056</v>
      </c>
      <c r="K1851" s="19" t="s">
        <v>68</v>
      </c>
      <c r="L1851" s="20" t="s">
        <v>53</v>
      </c>
      <c r="M1851" s="21">
        <f t="shared" si="1"/>
        <v>6</v>
      </c>
      <c r="N1851" s="2">
        <v>-31.68825</v>
      </c>
      <c r="O1851" s="2">
        <v>10.0</v>
      </c>
      <c r="P1851" s="2">
        <v>53.89</v>
      </c>
      <c r="Q1851" s="2">
        <v>87436.0</v>
      </c>
      <c r="R1851" s="15" t="b">
        <f>ISNUMBER(MATCH(Q1851,'Returned order'!A:A,0))</f>
        <v>0</v>
      </c>
      <c r="S1851" s="22">
        <v>42168.0</v>
      </c>
      <c r="T1851" s="15"/>
      <c r="U1851" s="15"/>
      <c r="V1851" s="15"/>
    </row>
    <row r="1852">
      <c r="A1852" s="2">
        <v>19063.0</v>
      </c>
      <c r="B1852" s="1" t="s">
        <v>58</v>
      </c>
      <c r="C1852" s="2">
        <v>0.07</v>
      </c>
      <c r="D1852" s="2">
        <v>48.94</v>
      </c>
      <c r="E1852" s="2">
        <v>3230.0</v>
      </c>
      <c r="F1852" s="1" t="s">
        <v>2022</v>
      </c>
      <c r="G1852" s="1" t="s">
        <v>66</v>
      </c>
      <c r="H1852" s="1" t="s">
        <v>23</v>
      </c>
      <c r="I1852" s="1" t="s">
        <v>93</v>
      </c>
      <c r="J1852" s="1" t="s">
        <v>2024</v>
      </c>
      <c r="K1852" s="19" t="s">
        <v>68</v>
      </c>
      <c r="L1852" s="20" t="s">
        <v>53</v>
      </c>
      <c r="M1852" s="21">
        <f t="shared" si="1"/>
        <v>6</v>
      </c>
      <c r="N1852" s="2">
        <v>690.7038</v>
      </c>
      <c r="O1852" s="2">
        <v>21.0</v>
      </c>
      <c r="P1852" s="2">
        <v>1001.02</v>
      </c>
      <c r="Q1852" s="2">
        <v>87436.0</v>
      </c>
      <c r="R1852" s="15" t="b">
        <f>ISNUMBER(MATCH(Q1852,'Returned order'!A:A,0))</f>
        <v>0</v>
      </c>
      <c r="S1852" s="22">
        <v>42168.0</v>
      </c>
      <c r="T1852" s="15"/>
      <c r="U1852" s="15"/>
      <c r="V1852" s="15"/>
    </row>
    <row r="1853">
      <c r="A1853" s="2">
        <v>19179.0</v>
      </c>
      <c r="B1853" s="1" t="s">
        <v>170</v>
      </c>
      <c r="C1853" s="2">
        <v>0.06</v>
      </c>
      <c r="D1853" s="2">
        <v>115.99</v>
      </c>
      <c r="E1853" s="2">
        <v>3238.0</v>
      </c>
      <c r="F1853" s="1" t="s">
        <v>2025</v>
      </c>
      <c r="G1853" s="1" t="s">
        <v>32</v>
      </c>
      <c r="H1853" s="1" t="s">
        <v>46</v>
      </c>
      <c r="I1853" s="1" t="s">
        <v>85</v>
      </c>
      <c r="J1853" s="1">
        <v>8890.0</v>
      </c>
      <c r="K1853" s="19" t="s">
        <v>34</v>
      </c>
      <c r="L1853" s="20" t="s">
        <v>70</v>
      </c>
      <c r="M1853" s="21">
        <f t="shared" si="1"/>
        <v>4</v>
      </c>
      <c r="N1853" s="2">
        <v>-13.068</v>
      </c>
      <c r="O1853" s="2">
        <v>5.0</v>
      </c>
      <c r="P1853" s="2">
        <v>495.82</v>
      </c>
      <c r="Q1853" s="2">
        <v>89564.0</v>
      </c>
      <c r="R1853" s="15" t="b">
        <f>ISNUMBER(MATCH(Q1853,'Returned order'!A:A,0))</f>
        <v>0</v>
      </c>
      <c r="S1853" s="22">
        <v>42159.0</v>
      </c>
      <c r="T1853" s="15"/>
      <c r="U1853" s="15"/>
      <c r="V1853" s="15"/>
    </row>
    <row r="1854">
      <c r="A1854" s="2">
        <v>23084.0</v>
      </c>
      <c r="B1854" s="1" t="s">
        <v>28</v>
      </c>
      <c r="C1854" s="2">
        <v>0.0</v>
      </c>
      <c r="D1854" s="2">
        <v>7.28</v>
      </c>
      <c r="E1854" s="2">
        <v>3243.0</v>
      </c>
      <c r="F1854" s="1" t="s">
        <v>2026</v>
      </c>
      <c r="G1854" s="1" t="s">
        <v>66</v>
      </c>
      <c r="H1854" s="1" t="s">
        <v>46</v>
      </c>
      <c r="I1854" s="1" t="s">
        <v>47</v>
      </c>
      <c r="J1854" s="1" t="s">
        <v>2027</v>
      </c>
      <c r="K1854" s="19" t="s">
        <v>26</v>
      </c>
      <c r="L1854" s="20" t="s">
        <v>35</v>
      </c>
      <c r="M1854" s="21">
        <f t="shared" si="1"/>
        <v>3</v>
      </c>
      <c r="N1854" s="2">
        <v>-25.104</v>
      </c>
      <c r="O1854" s="2">
        <v>3.0</v>
      </c>
      <c r="P1854" s="2">
        <v>24.44</v>
      </c>
      <c r="Q1854" s="2">
        <v>88329.0</v>
      </c>
      <c r="R1854" s="15" t="b">
        <f>ISNUMBER(MATCH(Q1854,'Returned order'!A:A,0))</f>
        <v>0</v>
      </c>
      <c r="S1854" s="22">
        <v>42165.0</v>
      </c>
      <c r="T1854" s="15"/>
      <c r="U1854" s="15"/>
      <c r="V1854" s="15"/>
    </row>
    <row r="1855">
      <c r="A1855" s="2">
        <v>23267.0</v>
      </c>
      <c r="B1855" s="1" t="s">
        <v>170</v>
      </c>
      <c r="C1855" s="2">
        <v>0.06</v>
      </c>
      <c r="D1855" s="2">
        <v>5.18</v>
      </c>
      <c r="E1855" s="2">
        <v>3246.0</v>
      </c>
      <c r="F1855" s="1" t="s">
        <v>2028</v>
      </c>
      <c r="G1855" s="1" t="s">
        <v>66</v>
      </c>
      <c r="H1855" s="1" t="s">
        <v>23</v>
      </c>
      <c r="I1855" s="1" t="s">
        <v>93</v>
      </c>
      <c r="J1855" s="1" t="s">
        <v>254</v>
      </c>
      <c r="K1855" s="19" t="s">
        <v>26</v>
      </c>
      <c r="L1855" s="20" t="s">
        <v>35</v>
      </c>
      <c r="M1855" s="21">
        <f t="shared" si="1"/>
        <v>3</v>
      </c>
      <c r="N1855" s="2">
        <v>1.9504</v>
      </c>
      <c r="O1855" s="2">
        <v>4.0</v>
      </c>
      <c r="P1855" s="2">
        <v>21.86</v>
      </c>
      <c r="Q1855" s="2">
        <v>88330.0</v>
      </c>
      <c r="R1855" s="15" t="b">
        <f>ISNUMBER(MATCH(Q1855,'Returned order'!A:A,0))</f>
        <v>0</v>
      </c>
      <c r="S1855" s="22">
        <v>42095.0</v>
      </c>
      <c r="T1855" s="15"/>
      <c r="U1855" s="15"/>
      <c r="V1855" s="15"/>
    </row>
    <row r="1856">
      <c r="A1856" s="2">
        <v>18265.0</v>
      </c>
      <c r="B1856" s="1" t="s">
        <v>28</v>
      </c>
      <c r="C1856" s="2">
        <v>0.07</v>
      </c>
      <c r="D1856" s="2">
        <v>2.78</v>
      </c>
      <c r="E1856" s="2">
        <v>3248.0</v>
      </c>
      <c r="F1856" s="1" t="s">
        <v>2029</v>
      </c>
      <c r="G1856" s="1" t="s">
        <v>66</v>
      </c>
      <c r="H1856" s="1" t="s">
        <v>23</v>
      </c>
      <c r="I1856" s="1" t="s">
        <v>24</v>
      </c>
      <c r="J1856" s="1" t="s">
        <v>636</v>
      </c>
      <c r="K1856" s="19" t="s">
        <v>229</v>
      </c>
      <c r="L1856" s="20" t="s">
        <v>70</v>
      </c>
      <c r="M1856" s="21">
        <f t="shared" si="1"/>
        <v>4</v>
      </c>
      <c r="N1856" s="2">
        <v>-340.5311</v>
      </c>
      <c r="O1856" s="2">
        <v>17.0</v>
      </c>
      <c r="P1856" s="2">
        <v>47.12</v>
      </c>
      <c r="Q1856" s="2">
        <v>87297.0</v>
      </c>
      <c r="R1856" s="15" t="b">
        <f>ISNUMBER(MATCH(Q1856,'Returned order'!A:A,0))</f>
        <v>0</v>
      </c>
      <c r="S1856" s="22">
        <v>42131.0</v>
      </c>
      <c r="T1856" s="15"/>
      <c r="U1856" s="15"/>
      <c r="V1856" s="15"/>
    </row>
    <row r="1857">
      <c r="A1857" s="2">
        <v>25820.0</v>
      </c>
      <c r="B1857" s="1" t="s">
        <v>28</v>
      </c>
      <c r="C1857" s="2">
        <v>0.03</v>
      </c>
      <c r="D1857" s="2">
        <v>42.8</v>
      </c>
      <c r="E1857" s="2">
        <v>3249.0</v>
      </c>
      <c r="F1857" s="1" t="s">
        <v>2030</v>
      </c>
      <c r="G1857" s="1" t="s">
        <v>32</v>
      </c>
      <c r="H1857" s="1" t="s">
        <v>23</v>
      </c>
      <c r="I1857" s="1" t="s">
        <v>24</v>
      </c>
      <c r="J1857" s="1" t="s">
        <v>2031</v>
      </c>
      <c r="K1857" s="19" t="s">
        <v>26</v>
      </c>
      <c r="L1857" s="20" t="s">
        <v>53</v>
      </c>
      <c r="M1857" s="21">
        <f t="shared" si="1"/>
        <v>6</v>
      </c>
      <c r="N1857" s="2">
        <v>462.921</v>
      </c>
      <c r="O1857" s="2">
        <v>16.0</v>
      </c>
      <c r="P1857" s="2">
        <v>670.9</v>
      </c>
      <c r="Q1857" s="2">
        <v>87298.0</v>
      </c>
      <c r="R1857" s="15" t="b">
        <f>ISNUMBER(MATCH(Q1857,'Returned order'!A:A,0))</f>
        <v>0</v>
      </c>
      <c r="S1857" s="22">
        <v>42147.0</v>
      </c>
      <c r="T1857" s="15"/>
      <c r="U1857" s="15"/>
      <c r="V1857" s="15"/>
    </row>
    <row r="1858">
      <c r="A1858" s="2">
        <v>5511.0</v>
      </c>
      <c r="B1858" s="1" t="s">
        <v>58</v>
      </c>
      <c r="C1858" s="2">
        <v>0.02</v>
      </c>
      <c r="D1858" s="2">
        <v>5.28</v>
      </c>
      <c r="E1858" s="2">
        <v>3251.0</v>
      </c>
      <c r="F1858" s="1" t="s">
        <v>2032</v>
      </c>
      <c r="G1858" s="1" t="s">
        <v>32</v>
      </c>
      <c r="H1858" s="1" t="s">
        <v>23</v>
      </c>
      <c r="I1858" s="1" t="s">
        <v>93</v>
      </c>
      <c r="J1858" s="1" t="s">
        <v>1033</v>
      </c>
      <c r="K1858" s="19" t="s">
        <v>26</v>
      </c>
      <c r="L1858" s="20" t="s">
        <v>70</v>
      </c>
      <c r="M1858" s="21">
        <f t="shared" si="1"/>
        <v>4</v>
      </c>
      <c r="N1858" s="2">
        <v>-131.16</v>
      </c>
      <c r="O1858" s="2">
        <v>76.0</v>
      </c>
      <c r="P1858" s="2">
        <v>412.72</v>
      </c>
      <c r="Q1858" s="2">
        <v>39076.0</v>
      </c>
      <c r="R1858" s="15" t="b">
        <f>ISNUMBER(MATCH(Q1858,'Returned order'!A:A,0))</f>
        <v>0</v>
      </c>
      <c r="S1858" s="22">
        <v>42166.0</v>
      </c>
      <c r="T1858" s="15"/>
      <c r="U1858" s="15"/>
      <c r="V1858" s="15"/>
    </row>
    <row r="1859">
      <c r="A1859" s="2">
        <v>23324.0</v>
      </c>
      <c r="B1859" s="1" t="s">
        <v>58</v>
      </c>
      <c r="C1859" s="2">
        <v>0.01</v>
      </c>
      <c r="D1859" s="2">
        <v>11.34</v>
      </c>
      <c r="E1859" s="2">
        <v>3252.0</v>
      </c>
      <c r="F1859" s="1" t="s">
        <v>232</v>
      </c>
      <c r="G1859" s="1" t="s">
        <v>66</v>
      </c>
      <c r="H1859" s="1" t="s">
        <v>23</v>
      </c>
      <c r="I1859" s="1" t="s">
        <v>93</v>
      </c>
      <c r="J1859" s="1" t="s">
        <v>233</v>
      </c>
      <c r="K1859" s="19" t="s">
        <v>26</v>
      </c>
      <c r="L1859" s="20" t="s">
        <v>27</v>
      </c>
      <c r="M1859" s="21">
        <f t="shared" si="1"/>
        <v>1</v>
      </c>
      <c r="N1859" s="2">
        <v>-11.83</v>
      </c>
      <c r="O1859" s="2">
        <v>1.0</v>
      </c>
      <c r="P1859" s="2">
        <v>14.52</v>
      </c>
      <c r="Q1859" s="2">
        <v>87296.0</v>
      </c>
      <c r="R1859" s="15" t="b">
        <f>ISNUMBER(MATCH(Q1859,'Returned order'!A:A,0))</f>
        <v>0</v>
      </c>
      <c r="S1859" s="22">
        <v>42093.0</v>
      </c>
      <c r="T1859" s="15"/>
      <c r="U1859" s="15"/>
      <c r="V1859" s="15"/>
    </row>
    <row r="1860">
      <c r="A1860" s="2">
        <v>23511.0</v>
      </c>
      <c r="B1860" s="1" t="s">
        <v>58</v>
      </c>
      <c r="C1860" s="2">
        <v>0.02</v>
      </c>
      <c r="D1860" s="2">
        <v>5.28</v>
      </c>
      <c r="E1860" s="2">
        <v>3252.0</v>
      </c>
      <c r="F1860" s="1" t="s">
        <v>232</v>
      </c>
      <c r="G1860" s="1" t="s">
        <v>32</v>
      </c>
      <c r="H1860" s="1" t="s">
        <v>23</v>
      </c>
      <c r="I1860" s="1" t="s">
        <v>93</v>
      </c>
      <c r="J1860" s="1" t="s">
        <v>1033</v>
      </c>
      <c r="K1860" s="19" t="s">
        <v>26</v>
      </c>
      <c r="L1860" s="20" t="s">
        <v>70</v>
      </c>
      <c r="M1860" s="21">
        <f t="shared" si="1"/>
        <v>4</v>
      </c>
      <c r="N1860" s="2">
        <v>-65.58</v>
      </c>
      <c r="O1860" s="2">
        <v>19.0</v>
      </c>
      <c r="P1860" s="2">
        <v>103.18</v>
      </c>
      <c r="Q1860" s="2">
        <v>87299.0</v>
      </c>
      <c r="R1860" s="15" t="b">
        <f>ISNUMBER(MATCH(Q1860,'Returned order'!A:A,0))</f>
        <v>0</v>
      </c>
      <c r="S1860" s="22">
        <v>42166.0</v>
      </c>
      <c r="T1860" s="15"/>
      <c r="U1860" s="15"/>
      <c r="V1860" s="15"/>
    </row>
    <row r="1861">
      <c r="A1861" s="2">
        <v>21046.0</v>
      </c>
      <c r="B1861" s="1" t="s">
        <v>58</v>
      </c>
      <c r="C1861" s="2">
        <v>0.06</v>
      </c>
      <c r="D1861" s="2">
        <v>47.98</v>
      </c>
      <c r="E1861" s="2">
        <v>3255.0</v>
      </c>
      <c r="F1861" s="1" t="s">
        <v>2033</v>
      </c>
      <c r="G1861" s="1" t="s">
        <v>51</v>
      </c>
      <c r="H1861" s="1" t="s">
        <v>46</v>
      </c>
      <c r="I1861" s="1" t="s">
        <v>47</v>
      </c>
      <c r="J1861" s="1" t="s">
        <v>801</v>
      </c>
      <c r="K1861" s="19" t="s">
        <v>229</v>
      </c>
      <c r="L1861" s="20" t="s">
        <v>35</v>
      </c>
      <c r="M1861" s="21">
        <f t="shared" si="1"/>
        <v>3</v>
      </c>
      <c r="N1861" s="2">
        <v>596.808</v>
      </c>
      <c r="O1861" s="2">
        <v>2.0</v>
      </c>
      <c r="P1861" s="2">
        <v>97.96</v>
      </c>
      <c r="Q1861" s="2">
        <v>90488.0</v>
      </c>
      <c r="R1861" s="15" t="b">
        <f>ISNUMBER(MATCH(Q1861,'Returned order'!A:A,0))</f>
        <v>0</v>
      </c>
      <c r="S1861" s="22">
        <v>42053.0</v>
      </c>
      <c r="T1861" s="15"/>
      <c r="U1861" s="15"/>
      <c r="V1861" s="15"/>
    </row>
    <row r="1862">
      <c r="A1862" s="2">
        <v>18728.0</v>
      </c>
      <c r="B1862" s="1" t="s">
        <v>49</v>
      </c>
      <c r="C1862" s="2">
        <v>0.01</v>
      </c>
      <c r="D1862" s="2">
        <v>349.45</v>
      </c>
      <c r="E1862" s="2">
        <v>3257.0</v>
      </c>
      <c r="F1862" s="1" t="s">
        <v>2034</v>
      </c>
      <c r="G1862" s="1" t="s">
        <v>22</v>
      </c>
      <c r="H1862" s="1" t="s">
        <v>37</v>
      </c>
      <c r="I1862" s="1" t="s">
        <v>73</v>
      </c>
      <c r="J1862" s="1" t="s">
        <v>787</v>
      </c>
      <c r="K1862" s="19" t="s">
        <v>34</v>
      </c>
      <c r="L1862" s="20" t="s">
        <v>57</v>
      </c>
      <c r="M1862" s="21">
        <f t="shared" si="1"/>
        <v>2</v>
      </c>
      <c r="N1862" s="2">
        <v>3739.3929</v>
      </c>
      <c r="O1862" s="2">
        <v>15.0</v>
      </c>
      <c r="P1862" s="2">
        <v>5419.41</v>
      </c>
      <c r="Q1862" s="2">
        <v>88825.0</v>
      </c>
      <c r="R1862" s="15" t="b">
        <f>ISNUMBER(MATCH(Q1862,'Returned order'!A:A,0))</f>
        <v>0</v>
      </c>
      <c r="S1862" s="22">
        <v>42150.0</v>
      </c>
      <c r="T1862" s="15"/>
      <c r="U1862" s="15"/>
      <c r="V1862" s="15"/>
    </row>
    <row r="1863">
      <c r="A1863" s="2">
        <v>21852.0</v>
      </c>
      <c r="B1863" s="1" t="s">
        <v>63</v>
      </c>
      <c r="C1863" s="2">
        <v>0.0</v>
      </c>
      <c r="D1863" s="2">
        <v>25.38</v>
      </c>
      <c r="E1863" s="2">
        <v>3257.0</v>
      </c>
      <c r="F1863" s="1" t="s">
        <v>2034</v>
      </c>
      <c r="G1863" s="1" t="s">
        <v>22</v>
      </c>
      <c r="H1863" s="1" t="s">
        <v>37</v>
      </c>
      <c r="I1863" s="1" t="s">
        <v>42</v>
      </c>
      <c r="J1863" s="1" t="s">
        <v>629</v>
      </c>
      <c r="K1863" s="19" t="s">
        <v>34</v>
      </c>
      <c r="L1863" s="20" t="s">
        <v>35</v>
      </c>
      <c r="M1863" s="21">
        <f t="shared" si="1"/>
        <v>3</v>
      </c>
      <c r="N1863" s="2">
        <v>470.338</v>
      </c>
      <c r="O1863" s="2">
        <v>26.0</v>
      </c>
      <c r="P1863" s="2">
        <v>700.41</v>
      </c>
      <c r="Q1863" s="2">
        <v>88826.0</v>
      </c>
      <c r="R1863" s="15" t="b">
        <f>ISNUMBER(MATCH(Q1863,'Returned order'!A:A,0))</f>
        <v>0</v>
      </c>
      <c r="S1863" s="22">
        <v>42137.0</v>
      </c>
      <c r="T1863" s="15"/>
      <c r="U1863" s="15"/>
      <c r="V1863" s="15"/>
    </row>
    <row r="1864">
      <c r="A1864" s="2">
        <v>23010.0</v>
      </c>
      <c r="B1864" s="1" t="s">
        <v>49</v>
      </c>
      <c r="C1864" s="2">
        <v>0.02</v>
      </c>
      <c r="D1864" s="2">
        <v>55.94</v>
      </c>
      <c r="E1864" s="2">
        <v>3258.0</v>
      </c>
      <c r="F1864" s="1" t="s">
        <v>2035</v>
      </c>
      <c r="G1864" s="1" t="s">
        <v>22</v>
      </c>
      <c r="H1864" s="1" t="s">
        <v>46</v>
      </c>
      <c r="I1864" s="1" t="s">
        <v>47</v>
      </c>
      <c r="J1864" s="1" t="s">
        <v>894</v>
      </c>
      <c r="K1864" s="19" t="s">
        <v>34</v>
      </c>
      <c r="L1864" s="20" t="s">
        <v>53</v>
      </c>
      <c r="M1864" s="21">
        <f t="shared" si="1"/>
        <v>6</v>
      </c>
      <c r="N1864" s="2">
        <v>401.85</v>
      </c>
      <c r="O1864" s="2">
        <v>11.0</v>
      </c>
      <c r="P1864" s="2">
        <v>646.88</v>
      </c>
      <c r="Q1864" s="2">
        <v>88824.0</v>
      </c>
      <c r="R1864" s="15" t="b">
        <f>ISNUMBER(MATCH(Q1864,'Returned order'!A:A,0))</f>
        <v>0</v>
      </c>
      <c r="S1864" s="22">
        <v>42084.0</v>
      </c>
      <c r="T1864" s="15"/>
      <c r="U1864" s="15"/>
      <c r="V1864" s="15"/>
    </row>
    <row r="1865">
      <c r="A1865" s="2">
        <v>22576.0</v>
      </c>
      <c r="B1865" s="1" t="s">
        <v>49</v>
      </c>
      <c r="C1865" s="2">
        <v>0.07</v>
      </c>
      <c r="D1865" s="2">
        <v>105.34</v>
      </c>
      <c r="E1865" s="2">
        <v>3261.0</v>
      </c>
      <c r="F1865" s="1" t="s">
        <v>2036</v>
      </c>
      <c r="G1865" s="1" t="s">
        <v>22</v>
      </c>
      <c r="H1865" s="1" t="s">
        <v>37</v>
      </c>
      <c r="I1865" s="1" t="s">
        <v>42</v>
      </c>
      <c r="J1865" s="1" t="s">
        <v>1837</v>
      </c>
      <c r="K1865" s="19" t="s">
        <v>68</v>
      </c>
      <c r="L1865" s="20" t="s">
        <v>70</v>
      </c>
      <c r="M1865" s="21">
        <f t="shared" si="1"/>
        <v>4</v>
      </c>
      <c r="N1865" s="2">
        <v>710.6724</v>
      </c>
      <c r="O1865" s="2">
        <v>10.0</v>
      </c>
      <c r="P1865" s="2">
        <v>1029.96</v>
      </c>
      <c r="Q1865" s="2">
        <v>90296.0</v>
      </c>
      <c r="R1865" s="15" t="b">
        <f>ISNUMBER(MATCH(Q1865,'Returned order'!A:A,0))</f>
        <v>0</v>
      </c>
      <c r="S1865" s="22">
        <v>42180.0</v>
      </c>
      <c r="T1865" s="15"/>
      <c r="U1865" s="15"/>
      <c r="V1865" s="15"/>
    </row>
    <row r="1866">
      <c r="A1866" s="2">
        <v>19214.0</v>
      </c>
      <c r="B1866" s="1" t="s">
        <v>63</v>
      </c>
      <c r="C1866" s="2">
        <v>0.04</v>
      </c>
      <c r="D1866" s="2">
        <v>9.99</v>
      </c>
      <c r="E1866" s="2">
        <v>3264.0</v>
      </c>
      <c r="F1866" s="1" t="s">
        <v>2037</v>
      </c>
      <c r="G1866" s="1" t="s">
        <v>32</v>
      </c>
      <c r="H1866" s="1" t="s">
        <v>23</v>
      </c>
      <c r="I1866" s="1" t="s">
        <v>93</v>
      </c>
      <c r="J1866" s="1" t="s">
        <v>1392</v>
      </c>
      <c r="K1866" s="19" t="s">
        <v>34</v>
      </c>
      <c r="L1866" s="20" t="s">
        <v>57</v>
      </c>
      <c r="M1866" s="21">
        <f t="shared" si="1"/>
        <v>2</v>
      </c>
      <c r="N1866" s="2">
        <v>-92.32</v>
      </c>
      <c r="O1866" s="2">
        <v>5.0</v>
      </c>
      <c r="P1866" s="2">
        <v>52.09</v>
      </c>
      <c r="Q1866" s="2">
        <v>89835.0</v>
      </c>
      <c r="R1866" s="15" t="b">
        <f>ISNUMBER(MATCH(Q1866,'Returned order'!A:A,0))</f>
        <v>0</v>
      </c>
      <c r="S1866" s="22">
        <v>42143.0</v>
      </c>
      <c r="T1866" s="15"/>
      <c r="U1866" s="15"/>
      <c r="V1866" s="15"/>
    </row>
    <row r="1867">
      <c r="A1867" s="2">
        <v>21459.0</v>
      </c>
      <c r="B1867" s="1" t="s">
        <v>58</v>
      </c>
      <c r="C1867" s="2">
        <v>0.0</v>
      </c>
      <c r="D1867" s="2">
        <v>122.99</v>
      </c>
      <c r="E1867" s="2">
        <v>3266.0</v>
      </c>
      <c r="F1867" s="1" t="s">
        <v>2038</v>
      </c>
      <c r="G1867" s="1" t="s">
        <v>32</v>
      </c>
      <c r="H1867" s="1" t="s">
        <v>37</v>
      </c>
      <c r="I1867" s="1" t="s">
        <v>38</v>
      </c>
      <c r="J1867" s="1" t="s">
        <v>39</v>
      </c>
      <c r="K1867" s="19" t="s">
        <v>26</v>
      </c>
      <c r="L1867" s="20" t="s">
        <v>35</v>
      </c>
      <c r="M1867" s="21">
        <f t="shared" si="1"/>
        <v>3</v>
      </c>
      <c r="N1867" s="2">
        <v>-1764.29</v>
      </c>
      <c r="O1867" s="2">
        <v>14.0</v>
      </c>
      <c r="P1867" s="2">
        <v>1794.88</v>
      </c>
      <c r="Q1867" s="2">
        <v>89836.0</v>
      </c>
      <c r="R1867" s="15" t="b">
        <f>ISNUMBER(MATCH(Q1867,'Returned order'!A:A,0))</f>
        <v>0</v>
      </c>
      <c r="S1867" s="22">
        <v>42032.0</v>
      </c>
      <c r="T1867" s="15"/>
      <c r="U1867" s="15"/>
      <c r="V1867" s="15"/>
    </row>
    <row r="1868">
      <c r="A1868" s="2">
        <v>21458.0</v>
      </c>
      <c r="B1868" s="1" t="s">
        <v>58</v>
      </c>
      <c r="C1868" s="2">
        <v>0.01</v>
      </c>
      <c r="D1868" s="2">
        <v>60.97</v>
      </c>
      <c r="E1868" s="2">
        <v>3269.0</v>
      </c>
      <c r="F1868" s="1" t="s">
        <v>2039</v>
      </c>
      <c r="G1868" s="1" t="s">
        <v>32</v>
      </c>
      <c r="H1868" s="1" t="s">
        <v>23</v>
      </c>
      <c r="I1868" s="1" t="s">
        <v>151</v>
      </c>
      <c r="J1868" s="1" t="s">
        <v>1537</v>
      </c>
      <c r="K1868" s="19" t="s">
        <v>26</v>
      </c>
      <c r="L1868" s="20" t="s">
        <v>35</v>
      </c>
      <c r="M1868" s="21">
        <f t="shared" si="1"/>
        <v>3</v>
      </c>
      <c r="N1868" s="2">
        <v>527.8776</v>
      </c>
      <c r="O1868" s="2">
        <v>12.0</v>
      </c>
      <c r="P1868" s="2">
        <v>765.04</v>
      </c>
      <c r="Q1868" s="2">
        <v>89836.0</v>
      </c>
      <c r="R1868" s="15" t="b">
        <f>ISNUMBER(MATCH(Q1868,'Returned order'!A:A,0))</f>
        <v>0</v>
      </c>
      <c r="S1868" s="22">
        <v>42032.0</v>
      </c>
      <c r="T1868" s="15"/>
      <c r="U1868" s="15"/>
      <c r="V1868" s="15"/>
    </row>
    <row r="1869">
      <c r="A1869" s="2">
        <v>19047.0</v>
      </c>
      <c r="B1869" s="1" t="s">
        <v>170</v>
      </c>
      <c r="C1869" s="2">
        <v>0.02</v>
      </c>
      <c r="D1869" s="2">
        <v>13.48</v>
      </c>
      <c r="E1869" s="2">
        <v>3275.0</v>
      </c>
      <c r="F1869" s="1" t="s">
        <v>2040</v>
      </c>
      <c r="G1869" s="1" t="s">
        <v>51</v>
      </c>
      <c r="H1869" s="1" t="s">
        <v>23</v>
      </c>
      <c r="I1869" s="1" t="s">
        <v>120</v>
      </c>
      <c r="J1869" s="1" t="s">
        <v>1775</v>
      </c>
      <c r="K1869" s="19" t="s">
        <v>34</v>
      </c>
      <c r="L1869" s="20" t="s">
        <v>53</v>
      </c>
      <c r="M1869" s="21">
        <f t="shared" si="1"/>
        <v>6</v>
      </c>
      <c r="N1869" s="2">
        <v>34.52</v>
      </c>
      <c r="O1869" s="2">
        <v>9.0</v>
      </c>
      <c r="P1869" s="2">
        <v>127.12</v>
      </c>
      <c r="Q1869" s="2">
        <v>86233.0</v>
      </c>
      <c r="R1869" s="15" t="b">
        <f>ISNUMBER(MATCH(Q1869,'Returned order'!A:A,0))</f>
        <v>0</v>
      </c>
      <c r="S1869" s="22">
        <v>42084.0</v>
      </c>
      <c r="T1869" s="15"/>
      <c r="U1869" s="15"/>
      <c r="V1869" s="15"/>
    </row>
    <row r="1870">
      <c r="A1870" s="2">
        <v>19232.0</v>
      </c>
      <c r="B1870" s="1" t="s">
        <v>170</v>
      </c>
      <c r="C1870" s="2">
        <v>0.04</v>
      </c>
      <c r="D1870" s="2">
        <v>449.99</v>
      </c>
      <c r="E1870" s="2">
        <v>3275.0</v>
      </c>
      <c r="F1870" s="1" t="s">
        <v>2040</v>
      </c>
      <c r="G1870" s="1" t="s">
        <v>66</v>
      </c>
      <c r="H1870" s="1" t="s">
        <v>46</v>
      </c>
      <c r="I1870" s="1" t="s">
        <v>138</v>
      </c>
      <c r="J1870" s="1" t="s">
        <v>2041</v>
      </c>
      <c r="K1870" s="19" t="s">
        <v>34</v>
      </c>
      <c r="L1870" s="20" t="s">
        <v>70</v>
      </c>
      <c r="M1870" s="21">
        <f t="shared" si="1"/>
        <v>4</v>
      </c>
      <c r="N1870" s="2">
        <v>3576.8841</v>
      </c>
      <c r="O1870" s="2">
        <v>12.0</v>
      </c>
      <c r="P1870" s="2">
        <v>5183.89</v>
      </c>
      <c r="Q1870" s="2">
        <v>86234.0</v>
      </c>
      <c r="R1870" s="15" t="b">
        <f>ISNUMBER(MATCH(Q1870,'Returned order'!A:A,0))</f>
        <v>0</v>
      </c>
      <c r="S1870" s="22">
        <v>42005.0</v>
      </c>
      <c r="T1870" s="15"/>
      <c r="U1870" s="15"/>
      <c r="V1870" s="15"/>
    </row>
    <row r="1871">
      <c r="A1871" s="2">
        <v>19233.0</v>
      </c>
      <c r="B1871" s="1" t="s">
        <v>170</v>
      </c>
      <c r="C1871" s="2">
        <v>0.01</v>
      </c>
      <c r="D1871" s="2">
        <v>5.84</v>
      </c>
      <c r="E1871" s="2">
        <v>3275.0</v>
      </c>
      <c r="F1871" s="1" t="s">
        <v>2040</v>
      </c>
      <c r="G1871" s="1" t="s">
        <v>66</v>
      </c>
      <c r="H1871" s="1" t="s">
        <v>23</v>
      </c>
      <c r="I1871" s="1" t="s">
        <v>29</v>
      </c>
      <c r="J1871" s="1" t="s">
        <v>996</v>
      </c>
      <c r="K1871" s="19" t="s">
        <v>34</v>
      </c>
      <c r="L1871" s="20" t="s">
        <v>70</v>
      </c>
      <c r="M1871" s="21">
        <f t="shared" si="1"/>
        <v>4</v>
      </c>
      <c r="N1871" s="2">
        <v>20.38</v>
      </c>
      <c r="O1871" s="2">
        <v>6.0</v>
      </c>
      <c r="P1871" s="2">
        <v>36.09</v>
      </c>
      <c r="Q1871" s="2">
        <v>86234.0</v>
      </c>
      <c r="R1871" s="15" t="b">
        <f>ISNUMBER(MATCH(Q1871,'Returned order'!A:A,0))</f>
        <v>0</v>
      </c>
      <c r="S1871" s="22">
        <v>42005.0</v>
      </c>
      <c r="T1871" s="15"/>
      <c r="U1871" s="15"/>
      <c r="V1871" s="15"/>
    </row>
    <row r="1872">
      <c r="A1872" s="2">
        <v>20039.0</v>
      </c>
      <c r="B1872" s="1" t="s">
        <v>28</v>
      </c>
      <c r="C1872" s="2">
        <v>0.06</v>
      </c>
      <c r="D1872" s="2">
        <v>89.83</v>
      </c>
      <c r="E1872" s="2">
        <v>3279.0</v>
      </c>
      <c r="F1872" s="1" t="s">
        <v>2042</v>
      </c>
      <c r="G1872" s="1" t="s">
        <v>51</v>
      </c>
      <c r="H1872" s="1" t="s">
        <v>23</v>
      </c>
      <c r="I1872" s="1" t="s">
        <v>120</v>
      </c>
      <c r="J1872" s="1" t="s">
        <v>2043</v>
      </c>
      <c r="K1872" s="19" t="s">
        <v>229</v>
      </c>
      <c r="L1872" s="20" t="s">
        <v>27</v>
      </c>
      <c r="M1872" s="21">
        <f t="shared" si="1"/>
        <v>1</v>
      </c>
      <c r="N1872" s="2">
        <v>31.11</v>
      </c>
      <c r="O1872" s="2">
        <v>4.0</v>
      </c>
      <c r="P1872" s="2">
        <v>366.26</v>
      </c>
      <c r="Q1872" s="2">
        <v>90766.0</v>
      </c>
      <c r="R1872" s="15" t="b">
        <f>ISNUMBER(MATCH(Q1872,'Returned order'!A:A,0))</f>
        <v>0</v>
      </c>
      <c r="S1872" s="22">
        <v>42100.0</v>
      </c>
      <c r="T1872" s="15"/>
      <c r="U1872" s="15"/>
      <c r="V1872" s="15"/>
    </row>
    <row r="1873">
      <c r="A1873" s="2">
        <v>20040.0</v>
      </c>
      <c r="B1873" s="1" t="s">
        <v>28</v>
      </c>
      <c r="C1873" s="2">
        <v>0.1</v>
      </c>
      <c r="D1873" s="2">
        <v>13.43</v>
      </c>
      <c r="E1873" s="2">
        <v>3279.0</v>
      </c>
      <c r="F1873" s="1" t="s">
        <v>2042</v>
      </c>
      <c r="G1873" s="1" t="s">
        <v>51</v>
      </c>
      <c r="H1873" s="1" t="s">
        <v>23</v>
      </c>
      <c r="I1873" s="1" t="s">
        <v>120</v>
      </c>
      <c r="J1873" s="1" t="s">
        <v>1255</v>
      </c>
      <c r="K1873" s="19" t="s">
        <v>229</v>
      </c>
      <c r="L1873" s="20" t="s">
        <v>27</v>
      </c>
      <c r="M1873" s="21">
        <f t="shared" si="1"/>
        <v>1</v>
      </c>
      <c r="N1873" s="2">
        <v>358.2954</v>
      </c>
      <c r="O1873" s="2">
        <v>12.0</v>
      </c>
      <c r="P1873" s="2">
        <v>157.99</v>
      </c>
      <c r="Q1873" s="2">
        <v>90766.0</v>
      </c>
      <c r="R1873" s="15" t="b">
        <f>ISNUMBER(MATCH(Q1873,'Returned order'!A:A,0))</f>
        <v>0</v>
      </c>
      <c r="S1873" s="22">
        <v>42100.0</v>
      </c>
      <c r="T1873" s="15"/>
      <c r="U1873" s="15"/>
      <c r="V1873" s="15"/>
    </row>
    <row r="1874">
      <c r="A1874" s="2">
        <v>20041.0</v>
      </c>
      <c r="B1874" s="1" t="s">
        <v>28</v>
      </c>
      <c r="C1874" s="2">
        <v>0.01</v>
      </c>
      <c r="D1874" s="2">
        <v>125.99</v>
      </c>
      <c r="E1874" s="2">
        <v>3279.0</v>
      </c>
      <c r="F1874" s="1" t="s">
        <v>2042</v>
      </c>
      <c r="G1874" s="1" t="s">
        <v>51</v>
      </c>
      <c r="H1874" s="1" t="s">
        <v>46</v>
      </c>
      <c r="I1874" s="1" t="s">
        <v>85</v>
      </c>
      <c r="J1874" s="1" t="s">
        <v>941</v>
      </c>
      <c r="K1874" s="19" t="s">
        <v>229</v>
      </c>
      <c r="L1874" s="20" t="s">
        <v>27</v>
      </c>
      <c r="M1874" s="21">
        <f t="shared" si="1"/>
        <v>1</v>
      </c>
      <c r="N1874" s="2">
        <v>8.322</v>
      </c>
      <c r="O1874" s="2">
        <v>11.0</v>
      </c>
      <c r="P1874" s="2">
        <v>1212.88</v>
      </c>
      <c r="Q1874" s="2">
        <v>90766.0</v>
      </c>
      <c r="R1874" s="15" t="b">
        <f>ISNUMBER(MATCH(Q1874,'Returned order'!A:A,0))</f>
        <v>0</v>
      </c>
      <c r="S1874" s="22">
        <v>42100.0</v>
      </c>
      <c r="T1874" s="15"/>
      <c r="U1874" s="15"/>
      <c r="V1874" s="15"/>
    </row>
    <row r="1875">
      <c r="A1875" s="2">
        <v>21620.0</v>
      </c>
      <c r="B1875" s="1" t="s">
        <v>63</v>
      </c>
      <c r="C1875" s="2">
        <v>0.01</v>
      </c>
      <c r="D1875" s="2">
        <v>45.99</v>
      </c>
      <c r="E1875" s="2">
        <v>3279.0</v>
      </c>
      <c r="F1875" s="1" t="s">
        <v>2042</v>
      </c>
      <c r="G1875" s="1" t="s">
        <v>51</v>
      </c>
      <c r="H1875" s="1" t="s">
        <v>46</v>
      </c>
      <c r="I1875" s="1" t="s">
        <v>85</v>
      </c>
      <c r="J1875" s="1" t="s">
        <v>865</v>
      </c>
      <c r="K1875" s="19" t="s">
        <v>229</v>
      </c>
      <c r="L1875" s="20" t="s">
        <v>53</v>
      </c>
      <c r="M1875" s="21">
        <f t="shared" si="1"/>
        <v>6</v>
      </c>
      <c r="N1875" s="2">
        <v>24.018</v>
      </c>
      <c r="O1875" s="2">
        <v>3.0</v>
      </c>
      <c r="P1875" s="2">
        <v>125.19</v>
      </c>
      <c r="Q1875" s="2">
        <v>90767.0</v>
      </c>
      <c r="R1875" s="15" t="b">
        <f>ISNUMBER(MATCH(Q1875,'Returned order'!A:A,0))</f>
        <v>0</v>
      </c>
      <c r="S1875" s="22">
        <v>42077.0</v>
      </c>
      <c r="T1875" s="15"/>
      <c r="U1875" s="15"/>
      <c r="V1875" s="15"/>
    </row>
    <row r="1876">
      <c r="A1876" s="2">
        <v>23022.0</v>
      </c>
      <c r="B1876" s="1" t="s">
        <v>58</v>
      </c>
      <c r="C1876" s="2">
        <v>0.05</v>
      </c>
      <c r="D1876" s="2">
        <v>363.25</v>
      </c>
      <c r="E1876" s="2">
        <v>3283.0</v>
      </c>
      <c r="F1876" s="1" t="s">
        <v>2044</v>
      </c>
      <c r="G1876" s="1" t="s">
        <v>32</v>
      </c>
      <c r="H1876" s="1" t="s">
        <v>23</v>
      </c>
      <c r="I1876" s="1" t="s">
        <v>151</v>
      </c>
      <c r="J1876" s="1" t="s">
        <v>958</v>
      </c>
      <c r="K1876" s="19" t="s">
        <v>229</v>
      </c>
      <c r="L1876" s="20" t="s">
        <v>57</v>
      </c>
      <c r="M1876" s="21">
        <f t="shared" si="1"/>
        <v>2</v>
      </c>
      <c r="N1876" s="2">
        <v>-269.7555</v>
      </c>
      <c r="O1876" s="2">
        <v>5.0</v>
      </c>
      <c r="P1876" s="2">
        <v>1867.04</v>
      </c>
      <c r="Q1876" s="2">
        <v>90752.0</v>
      </c>
      <c r="R1876" s="15" t="b">
        <f>ISNUMBER(MATCH(Q1876,'Returned order'!A:A,0))</f>
        <v>0</v>
      </c>
      <c r="S1876" s="22">
        <v>42115.0</v>
      </c>
      <c r="T1876" s="15"/>
      <c r="U1876" s="15"/>
      <c r="V1876" s="15"/>
    </row>
    <row r="1877">
      <c r="A1877" s="2">
        <v>23211.0</v>
      </c>
      <c r="B1877" s="1" t="s">
        <v>28</v>
      </c>
      <c r="C1877" s="2">
        <v>0.03</v>
      </c>
      <c r="D1877" s="2">
        <v>17.48</v>
      </c>
      <c r="E1877" s="2">
        <v>3283.0</v>
      </c>
      <c r="F1877" s="1" t="s">
        <v>2044</v>
      </c>
      <c r="G1877" s="1" t="s">
        <v>32</v>
      </c>
      <c r="H1877" s="1" t="s">
        <v>46</v>
      </c>
      <c r="I1877" s="1" t="s">
        <v>47</v>
      </c>
      <c r="J1877" s="1" t="s">
        <v>363</v>
      </c>
      <c r="K1877" s="19" t="s">
        <v>229</v>
      </c>
      <c r="L1877" s="20" t="s">
        <v>61</v>
      </c>
      <c r="M1877" s="21">
        <f t="shared" si="1"/>
        <v>7</v>
      </c>
      <c r="N1877" s="2">
        <v>710.8074</v>
      </c>
      <c r="O1877" s="2">
        <v>31.0</v>
      </c>
      <c r="P1877" s="2">
        <v>537.8</v>
      </c>
      <c r="Q1877" s="2">
        <v>90753.0</v>
      </c>
      <c r="R1877" s="15" t="b">
        <f>ISNUMBER(MATCH(Q1877,'Returned order'!A:A,0))</f>
        <v>0</v>
      </c>
      <c r="S1877" s="22">
        <v>42134.0</v>
      </c>
      <c r="T1877" s="15"/>
      <c r="U1877" s="15"/>
      <c r="V1877" s="15"/>
    </row>
    <row r="1878">
      <c r="A1878" s="2">
        <v>26141.0</v>
      </c>
      <c r="B1878" s="1" t="s">
        <v>28</v>
      </c>
      <c r="C1878" s="2">
        <v>0.05</v>
      </c>
      <c r="D1878" s="2">
        <v>19.23</v>
      </c>
      <c r="E1878" s="2">
        <v>3284.0</v>
      </c>
      <c r="F1878" s="1" t="s">
        <v>2045</v>
      </c>
      <c r="G1878" s="1" t="s">
        <v>32</v>
      </c>
      <c r="H1878" s="1" t="s">
        <v>37</v>
      </c>
      <c r="I1878" s="1" t="s">
        <v>42</v>
      </c>
      <c r="J1878" s="1" t="s">
        <v>438</v>
      </c>
      <c r="K1878" s="19" t="s">
        <v>229</v>
      </c>
      <c r="L1878" s="20" t="s">
        <v>76</v>
      </c>
      <c r="M1878" s="21">
        <f t="shared" si="1"/>
        <v>5</v>
      </c>
      <c r="N1878" s="2">
        <v>-2133.278</v>
      </c>
      <c r="O1878" s="2">
        <v>6.0</v>
      </c>
      <c r="P1878" s="2">
        <v>119.78</v>
      </c>
      <c r="Q1878" s="2">
        <v>90751.0</v>
      </c>
      <c r="R1878" s="15" t="b">
        <f>ISNUMBER(MATCH(Q1878,'Returned order'!A:A,0))</f>
        <v>0</v>
      </c>
      <c r="S1878" s="22">
        <v>42055.0</v>
      </c>
      <c r="T1878" s="15"/>
      <c r="U1878" s="15"/>
      <c r="V1878" s="15"/>
    </row>
    <row r="1879">
      <c r="A1879" s="2">
        <v>20350.0</v>
      </c>
      <c r="B1879" s="1" t="s">
        <v>49</v>
      </c>
      <c r="C1879" s="2">
        <v>0.06</v>
      </c>
      <c r="D1879" s="2">
        <v>1.7</v>
      </c>
      <c r="E1879" s="2">
        <v>3285.0</v>
      </c>
      <c r="F1879" s="1" t="s">
        <v>2046</v>
      </c>
      <c r="G1879" s="1" t="s">
        <v>22</v>
      </c>
      <c r="H1879" s="1" t="s">
        <v>46</v>
      </c>
      <c r="I1879" s="1" t="s">
        <v>47</v>
      </c>
      <c r="J1879" s="1" t="s">
        <v>664</v>
      </c>
      <c r="K1879" s="19" t="s">
        <v>229</v>
      </c>
      <c r="L1879" s="20" t="s">
        <v>57</v>
      </c>
      <c r="M1879" s="21">
        <f t="shared" si="1"/>
        <v>2</v>
      </c>
      <c r="N1879" s="2">
        <v>80.0712</v>
      </c>
      <c r="O1879" s="2">
        <v>7.0</v>
      </c>
      <c r="P1879" s="2">
        <v>12.15</v>
      </c>
      <c r="Q1879" s="2">
        <v>90750.0</v>
      </c>
      <c r="R1879" s="15" t="b">
        <f>ISNUMBER(MATCH(Q1879,'Returned order'!A:A,0))</f>
        <v>0</v>
      </c>
      <c r="S1879" s="22">
        <v>42010.0</v>
      </c>
      <c r="T1879" s="15"/>
      <c r="U1879" s="15"/>
      <c r="V1879" s="15"/>
    </row>
    <row r="1880">
      <c r="A1880" s="2">
        <v>20351.0</v>
      </c>
      <c r="B1880" s="1" t="s">
        <v>49</v>
      </c>
      <c r="C1880" s="2">
        <v>0.01</v>
      </c>
      <c r="D1880" s="2">
        <v>30.98</v>
      </c>
      <c r="E1880" s="2">
        <v>3285.0</v>
      </c>
      <c r="F1880" s="1" t="s">
        <v>2046</v>
      </c>
      <c r="G1880" s="1" t="s">
        <v>22</v>
      </c>
      <c r="H1880" s="1" t="s">
        <v>23</v>
      </c>
      <c r="I1880" s="1" t="s">
        <v>93</v>
      </c>
      <c r="J1880" s="1" t="s">
        <v>2047</v>
      </c>
      <c r="K1880" s="19" t="s">
        <v>229</v>
      </c>
      <c r="L1880" s="20" t="s">
        <v>57</v>
      </c>
      <c r="M1880" s="21">
        <f t="shared" si="1"/>
        <v>2</v>
      </c>
      <c r="N1880" s="2">
        <v>896.406</v>
      </c>
      <c r="O1880" s="2">
        <v>9.0</v>
      </c>
      <c r="P1880" s="2">
        <v>288.42</v>
      </c>
      <c r="Q1880" s="2">
        <v>90750.0</v>
      </c>
      <c r="R1880" s="15" t="b">
        <f>ISNUMBER(MATCH(Q1880,'Returned order'!A:A,0))</f>
        <v>0</v>
      </c>
      <c r="S1880" s="22">
        <v>42010.0</v>
      </c>
      <c r="T1880" s="15"/>
      <c r="U1880" s="15"/>
      <c r="V1880" s="15"/>
    </row>
    <row r="1881">
      <c r="A1881" s="2">
        <v>21567.0</v>
      </c>
      <c r="B1881" s="1" t="s">
        <v>170</v>
      </c>
      <c r="C1881" s="2">
        <v>0.08</v>
      </c>
      <c r="D1881" s="2">
        <v>30.56</v>
      </c>
      <c r="E1881" s="2">
        <v>3287.0</v>
      </c>
      <c r="F1881" s="1" t="s">
        <v>2048</v>
      </c>
      <c r="G1881" s="1" t="s">
        <v>66</v>
      </c>
      <c r="H1881" s="1" t="s">
        <v>23</v>
      </c>
      <c r="I1881" s="1" t="s">
        <v>24</v>
      </c>
      <c r="J1881" s="1" t="s">
        <v>1822</v>
      </c>
      <c r="K1881" s="19" t="s">
        <v>34</v>
      </c>
      <c r="L1881" s="20" t="s">
        <v>27</v>
      </c>
      <c r="M1881" s="21">
        <f t="shared" si="1"/>
        <v>1</v>
      </c>
      <c r="N1881" s="2">
        <v>352.8798</v>
      </c>
      <c r="O1881" s="2">
        <v>17.0</v>
      </c>
      <c r="P1881" s="2">
        <v>511.42</v>
      </c>
      <c r="Q1881" s="2">
        <v>89897.0</v>
      </c>
      <c r="R1881" s="15" t="b">
        <f>ISNUMBER(MATCH(Q1881,'Returned order'!A:A,0))</f>
        <v>0</v>
      </c>
      <c r="S1881" s="22">
        <v>42149.0</v>
      </c>
      <c r="T1881" s="15"/>
      <c r="U1881" s="15"/>
      <c r="V1881" s="15"/>
    </row>
    <row r="1882">
      <c r="A1882" s="2">
        <v>23198.0</v>
      </c>
      <c r="B1882" s="1" t="s">
        <v>170</v>
      </c>
      <c r="C1882" s="2">
        <v>0.04</v>
      </c>
      <c r="D1882" s="2">
        <v>33.89</v>
      </c>
      <c r="E1882" s="2">
        <v>3303.0</v>
      </c>
      <c r="F1882" s="1" t="s">
        <v>2049</v>
      </c>
      <c r="G1882" s="1" t="s">
        <v>51</v>
      </c>
      <c r="H1882" s="1" t="s">
        <v>23</v>
      </c>
      <c r="I1882" s="1" t="s">
        <v>120</v>
      </c>
      <c r="J1882" s="1" t="s">
        <v>1953</v>
      </c>
      <c r="K1882" s="19" t="s">
        <v>229</v>
      </c>
      <c r="L1882" s="20" t="s">
        <v>35</v>
      </c>
      <c r="M1882" s="21">
        <f t="shared" si="1"/>
        <v>3</v>
      </c>
      <c r="N1882" s="2">
        <v>68.676</v>
      </c>
      <c r="O1882" s="2">
        <v>6.0</v>
      </c>
      <c r="P1882" s="2">
        <v>200.64</v>
      </c>
      <c r="Q1882" s="2">
        <v>87795.0</v>
      </c>
      <c r="R1882" s="15" t="b">
        <f>ISNUMBER(MATCH(Q1882,'Returned order'!A:A,0))</f>
        <v>0</v>
      </c>
      <c r="S1882" s="22">
        <v>42011.0</v>
      </c>
      <c r="T1882" s="15"/>
      <c r="U1882" s="15"/>
      <c r="V1882" s="15"/>
    </row>
    <row r="1883">
      <c r="A1883" s="2">
        <v>20447.0</v>
      </c>
      <c r="B1883" s="1" t="s">
        <v>63</v>
      </c>
      <c r="C1883" s="2">
        <v>0.06</v>
      </c>
      <c r="D1883" s="2">
        <v>11.33</v>
      </c>
      <c r="E1883" s="2">
        <v>3306.0</v>
      </c>
      <c r="F1883" s="1" t="s">
        <v>2050</v>
      </c>
      <c r="G1883" s="1" t="s">
        <v>66</v>
      </c>
      <c r="H1883" s="1" t="s">
        <v>23</v>
      </c>
      <c r="I1883" s="1" t="s">
        <v>151</v>
      </c>
      <c r="J1883" s="1" t="s">
        <v>1548</v>
      </c>
      <c r="K1883" s="19" t="s">
        <v>26</v>
      </c>
      <c r="L1883" s="20" t="s">
        <v>35</v>
      </c>
      <c r="M1883" s="21">
        <f t="shared" si="1"/>
        <v>3</v>
      </c>
      <c r="N1883" s="2">
        <v>-15.92</v>
      </c>
      <c r="O1883" s="2">
        <v>1.0</v>
      </c>
      <c r="P1883" s="2">
        <v>17.62</v>
      </c>
      <c r="Q1883" s="2">
        <v>90461.0</v>
      </c>
      <c r="R1883" s="15" t="b">
        <f>ISNUMBER(MATCH(Q1883,'Returned order'!A:A,0))</f>
        <v>0</v>
      </c>
      <c r="S1883" s="22">
        <v>42095.0</v>
      </c>
      <c r="T1883" s="15"/>
      <c r="U1883" s="15"/>
      <c r="V1883" s="15"/>
    </row>
    <row r="1884">
      <c r="A1884" s="2">
        <v>22732.0</v>
      </c>
      <c r="B1884" s="1" t="s">
        <v>170</v>
      </c>
      <c r="C1884" s="2">
        <v>0.07</v>
      </c>
      <c r="D1884" s="2">
        <v>16.74</v>
      </c>
      <c r="E1884" s="2">
        <v>3307.0</v>
      </c>
      <c r="F1884" s="1" t="s">
        <v>234</v>
      </c>
      <c r="G1884" s="1" t="s">
        <v>66</v>
      </c>
      <c r="H1884" s="1" t="s">
        <v>23</v>
      </c>
      <c r="I1884" s="1" t="s">
        <v>120</v>
      </c>
      <c r="J1884" s="1" t="s">
        <v>235</v>
      </c>
      <c r="K1884" s="19" t="s">
        <v>26</v>
      </c>
      <c r="L1884" s="20" t="s">
        <v>27</v>
      </c>
      <c r="M1884" s="21">
        <f t="shared" si="1"/>
        <v>1</v>
      </c>
      <c r="N1884" s="2">
        <v>-114.2</v>
      </c>
      <c r="O1884" s="2">
        <v>5.0</v>
      </c>
      <c r="P1884" s="2">
        <v>80.58</v>
      </c>
      <c r="Q1884" s="2">
        <v>90462.0</v>
      </c>
      <c r="R1884" s="15" t="b">
        <f>ISNUMBER(MATCH(Q1884,'Returned order'!A:A,0))</f>
        <v>0</v>
      </c>
      <c r="S1884" s="22">
        <v>42030.0</v>
      </c>
      <c r="T1884" s="15"/>
      <c r="U1884" s="15"/>
      <c r="V1884" s="15"/>
    </row>
    <row r="1885">
      <c r="A1885" s="2">
        <v>23451.0</v>
      </c>
      <c r="B1885" s="1" t="s">
        <v>58</v>
      </c>
      <c r="C1885" s="2">
        <v>0.1</v>
      </c>
      <c r="D1885" s="2">
        <v>6.64</v>
      </c>
      <c r="E1885" s="2">
        <v>3309.0</v>
      </c>
      <c r="F1885" s="1" t="s">
        <v>2051</v>
      </c>
      <c r="G1885" s="1" t="s">
        <v>66</v>
      </c>
      <c r="H1885" s="1" t="s">
        <v>37</v>
      </c>
      <c r="I1885" s="1" t="s">
        <v>42</v>
      </c>
      <c r="J1885" s="1" t="s">
        <v>2052</v>
      </c>
      <c r="K1885" s="19" t="s">
        <v>26</v>
      </c>
      <c r="L1885" s="20" t="s">
        <v>57</v>
      </c>
      <c r="M1885" s="21">
        <f t="shared" si="1"/>
        <v>2</v>
      </c>
      <c r="N1885" s="2">
        <v>-25.0</v>
      </c>
      <c r="O1885" s="2">
        <v>4.0</v>
      </c>
      <c r="P1885" s="2">
        <v>25.31</v>
      </c>
      <c r="Q1885" s="2">
        <v>90460.0</v>
      </c>
      <c r="R1885" s="15" t="b">
        <f>ISNUMBER(MATCH(Q1885,'Returned order'!A:A,0))</f>
        <v>0</v>
      </c>
      <c r="S1885" s="22">
        <v>42087.0</v>
      </c>
      <c r="T1885" s="15"/>
      <c r="U1885" s="15"/>
      <c r="V1885" s="15"/>
    </row>
    <row r="1886">
      <c r="A1886" s="2">
        <v>23452.0</v>
      </c>
      <c r="B1886" s="1" t="s">
        <v>58</v>
      </c>
      <c r="C1886" s="2">
        <v>0.05</v>
      </c>
      <c r="D1886" s="2">
        <v>90.48</v>
      </c>
      <c r="E1886" s="2">
        <v>3310.0</v>
      </c>
      <c r="F1886" s="1" t="s">
        <v>2053</v>
      </c>
      <c r="G1886" s="1" t="s">
        <v>66</v>
      </c>
      <c r="H1886" s="1" t="s">
        <v>23</v>
      </c>
      <c r="I1886" s="1" t="s">
        <v>88</v>
      </c>
      <c r="J1886" s="1" t="s">
        <v>1344</v>
      </c>
      <c r="K1886" s="19" t="s">
        <v>26</v>
      </c>
      <c r="L1886" s="20" t="s">
        <v>57</v>
      </c>
      <c r="M1886" s="21">
        <f t="shared" si="1"/>
        <v>2</v>
      </c>
      <c r="N1886" s="2">
        <v>255.1482</v>
      </c>
      <c r="O1886" s="2">
        <v>4.0</v>
      </c>
      <c r="P1886" s="2">
        <v>369.78</v>
      </c>
      <c r="Q1886" s="2">
        <v>90460.0</v>
      </c>
      <c r="R1886" s="15" t="b">
        <f>ISNUMBER(MATCH(Q1886,'Returned order'!A:A,0))</f>
        <v>0</v>
      </c>
      <c r="S1886" s="22">
        <v>42087.0</v>
      </c>
      <c r="T1886" s="15"/>
      <c r="U1886" s="15"/>
      <c r="V1886" s="15"/>
    </row>
    <row r="1887">
      <c r="A1887" s="2">
        <v>22734.0</v>
      </c>
      <c r="B1887" s="1" t="s">
        <v>170</v>
      </c>
      <c r="C1887" s="2">
        <v>0.06</v>
      </c>
      <c r="D1887" s="2">
        <v>6.45</v>
      </c>
      <c r="E1887" s="2">
        <v>3311.0</v>
      </c>
      <c r="F1887" s="1" t="s">
        <v>236</v>
      </c>
      <c r="G1887" s="1" t="s">
        <v>66</v>
      </c>
      <c r="H1887" s="1" t="s">
        <v>23</v>
      </c>
      <c r="I1887" s="1" t="s">
        <v>93</v>
      </c>
      <c r="J1887" s="1" t="s">
        <v>237</v>
      </c>
      <c r="K1887" s="19" t="s">
        <v>26</v>
      </c>
      <c r="L1887" s="20" t="s">
        <v>27</v>
      </c>
      <c r="M1887" s="21">
        <f t="shared" si="1"/>
        <v>1</v>
      </c>
      <c r="N1887" s="2">
        <v>39.4266</v>
      </c>
      <c r="O1887" s="2">
        <v>9.0</v>
      </c>
      <c r="P1887" s="2">
        <v>57.14</v>
      </c>
      <c r="Q1887" s="2">
        <v>90462.0</v>
      </c>
      <c r="R1887" s="15" t="b">
        <f>ISNUMBER(MATCH(Q1887,'Returned order'!A:A,0))</f>
        <v>0</v>
      </c>
      <c r="S1887" s="22">
        <v>42030.0</v>
      </c>
      <c r="T1887" s="15"/>
      <c r="U1887" s="15"/>
      <c r="V1887" s="15"/>
    </row>
    <row r="1888">
      <c r="A1888" s="2">
        <v>22733.0</v>
      </c>
      <c r="B1888" s="1" t="s">
        <v>170</v>
      </c>
      <c r="C1888" s="2">
        <v>0.05</v>
      </c>
      <c r="D1888" s="2">
        <v>122.99</v>
      </c>
      <c r="E1888" s="2">
        <v>3314.0</v>
      </c>
      <c r="F1888" s="1" t="s">
        <v>239</v>
      </c>
      <c r="G1888" s="1" t="s">
        <v>66</v>
      </c>
      <c r="H1888" s="1" t="s">
        <v>37</v>
      </c>
      <c r="I1888" s="1" t="s">
        <v>38</v>
      </c>
      <c r="J1888" s="1" t="s">
        <v>39</v>
      </c>
      <c r="K1888" s="19" t="s">
        <v>26</v>
      </c>
      <c r="L1888" s="20" t="s">
        <v>27</v>
      </c>
      <c r="M1888" s="21">
        <f t="shared" si="1"/>
        <v>1</v>
      </c>
      <c r="N1888" s="2">
        <v>-722.23</v>
      </c>
      <c r="O1888" s="2">
        <v>4.0</v>
      </c>
      <c r="P1888" s="2">
        <v>498.31</v>
      </c>
      <c r="Q1888" s="2">
        <v>90462.0</v>
      </c>
      <c r="R1888" s="15" t="b">
        <f>ISNUMBER(MATCH(Q1888,'Returned order'!A:A,0))</f>
        <v>0</v>
      </c>
      <c r="S1888" s="22">
        <v>42030.0</v>
      </c>
      <c r="T1888" s="15"/>
      <c r="U1888" s="15"/>
      <c r="V1888" s="15"/>
    </row>
    <row r="1889">
      <c r="A1889" s="2">
        <v>19422.0</v>
      </c>
      <c r="B1889" s="1" t="s">
        <v>170</v>
      </c>
      <c r="C1889" s="2">
        <v>0.03</v>
      </c>
      <c r="D1889" s="2">
        <v>20.98</v>
      </c>
      <c r="E1889" s="2">
        <v>3319.0</v>
      </c>
      <c r="F1889" s="1" t="s">
        <v>2054</v>
      </c>
      <c r="G1889" s="1" t="s">
        <v>66</v>
      </c>
      <c r="H1889" s="1" t="s">
        <v>23</v>
      </c>
      <c r="I1889" s="1" t="s">
        <v>24</v>
      </c>
      <c r="J1889" s="1" t="s">
        <v>1155</v>
      </c>
      <c r="K1889" s="19" t="s">
        <v>229</v>
      </c>
      <c r="L1889" s="20" t="s">
        <v>70</v>
      </c>
      <c r="M1889" s="21">
        <f t="shared" si="1"/>
        <v>4</v>
      </c>
      <c r="N1889" s="2">
        <v>30.024</v>
      </c>
      <c r="O1889" s="2">
        <v>20.0</v>
      </c>
      <c r="P1889" s="2">
        <v>431.43</v>
      </c>
      <c r="Q1889" s="2">
        <v>90104.0</v>
      </c>
      <c r="R1889" s="15" t="b">
        <f>ISNUMBER(MATCH(Q1889,'Returned order'!A:A,0))</f>
        <v>0</v>
      </c>
      <c r="S1889" s="22">
        <v>42145.0</v>
      </c>
      <c r="T1889" s="15"/>
      <c r="U1889" s="15"/>
      <c r="V1889" s="15"/>
    </row>
    <row r="1890">
      <c r="A1890" s="2">
        <v>20203.0</v>
      </c>
      <c r="B1890" s="1" t="s">
        <v>49</v>
      </c>
      <c r="C1890" s="2">
        <v>0.08</v>
      </c>
      <c r="D1890" s="2">
        <v>3.28</v>
      </c>
      <c r="E1890" s="2">
        <v>3320.0</v>
      </c>
      <c r="F1890" s="1" t="s">
        <v>2055</v>
      </c>
      <c r="G1890" s="1" t="s">
        <v>66</v>
      </c>
      <c r="H1890" s="1" t="s">
        <v>23</v>
      </c>
      <c r="I1890" s="1" t="s">
        <v>29</v>
      </c>
      <c r="J1890" s="1" t="s">
        <v>1313</v>
      </c>
      <c r="K1890" s="19" t="s">
        <v>229</v>
      </c>
      <c r="L1890" s="20" t="s">
        <v>27</v>
      </c>
      <c r="M1890" s="21">
        <f t="shared" si="1"/>
        <v>1</v>
      </c>
      <c r="N1890" s="2">
        <v>0.4266</v>
      </c>
      <c r="O1890" s="2">
        <v>18.0</v>
      </c>
      <c r="P1890" s="2">
        <v>57.24</v>
      </c>
      <c r="Q1890" s="2">
        <v>90103.0</v>
      </c>
      <c r="R1890" s="15" t="b">
        <f>ISNUMBER(MATCH(Q1890,'Returned order'!A:A,0))</f>
        <v>0</v>
      </c>
      <c r="S1890" s="22">
        <v>42121.0</v>
      </c>
      <c r="T1890" s="15"/>
      <c r="U1890" s="15"/>
      <c r="V1890" s="15"/>
    </row>
    <row r="1891">
      <c r="A1891" s="2">
        <v>20204.0</v>
      </c>
      <c r="B1891" s="1" t="s">
        <v>49</v>
      </c>
      <c r="C1891" s="2">
        <v>0.09</v>
      </c>
      <c r="D1891" s="2">
        <v>40.97</v>
      </c>
      <c r="E1891" s="2">
        <v>3320.0</v>
      </c>
      <c r="F1891" s="1" t="s">
        <v>2055</v>
      </c>
      <c r="G1891" s="1" t="s">
        <v>66</v>
      </c>
      <c r="H1891" s="1" t="s">
        <v>23</v>
      </c>
      <c r="I1891" s="1" t="s">
        <v>29</v>
      </c>
      <c r="J1891" s="1" t="s">
        <v>1736</v>
      </c>
      <c r="K1891" s="19" t="s">
        <v>229</v>
      </c>
      <c r="L1891" s="20" t="s">
        <v>27</v>
      </c>
      <c r="M1891" s="21">
        <f t="shared" si="1"/>
        <v>1</v>
      </c>
      <c r="N1891" s="2">
        <v>66.216</v>
      </c>
      <c r="O1891" s="2">
        <v>22.0</v>
      </c>
      <c r="P1891" s="2">
        <v>824.7</v>
      </c>
      <c r="Q1891" s="2">
        <v>90103.0</v>
      </c>
      <c r="R1891" s="15" t="b">
        <f>ISNUMBER(MATCH(Q1891,'Returned order'!A:A,0))</f>
        <v>0</v>
      </c>
      <c r="S1891" s="22">
        <v>42121.0</v>
      </c>
      <c r="T1891" s="15"/>
      <c r="U1891" s="15"/>
      <c r="V1891" s="15"/>
    </row>
    <row r="1892">
      <c r="A1892" s="2">
        <v>25330.0</v>
      </c>
      <c r="B1892" s="1" t="s">
        <v>63</v>
      </c>
      <c r="C1892" s="2">
        <v>0.05</v>
      </c>
      <c r="D1892" s="2">
        <v>6.48</v>
      </c>
      <c r="E1892" s="2">
        <v>3324.0</v>
      </c>
      <c r="F1892" s="1" t="s">
        <v>2056</v>
      </c>
      <c r="G1892" s="1" t="s">
        <v>22</v>
      </c>
      <c r="H1892" s="1" t="s">
        <v>23</v>
      </c>
      <c r="I1892" s="1" t="s">
        <v>93</v>
      </c>
      <c r="J1892" s="1" t="s">
        <v>1806</v>
      </c>
      <c r="K1892" s="19" t="s">
        <v>34</v>
      </c>
      <c r="L1892" s="20" t="s">
        <v>70</v>
      </c>
      <c r="M1892" s="21">
        <f t="shared" si="1"/>
        <v>4</v>
      </c>
      <c r="N1892" s="2">
        <v>-164.18</v>
      </c>
      <c r="O1892" s="2">
        <v>9.0</v>
      </c>
      <c r="P1892" s="2">
        <v>58.5</v>
      </c>
      <c r="Q1892" s="2">
        <v>90985.0</v>
      </c>
      <c r="R1892" s="15" t="b">
        <f>ISNUMBER(MATCH(Q1892,'Returned order'!A:A,0))</f>
        <v>0</v>
      </c>
      <c r="S1892" s="22">
        <v>42047.0</v>
      </c>
      <c r="T1892" s="15"/>
      <c r="U1892" s="15"/>
      <c r="V1892" s="15"/>
    </row>
    <row r="1893">
      <c r="A1893" s="2">
        <v>20488.0</v>
      </c>
      <c r="B1893" s="1" t="s">
        <v>170</v>
      </c>
      <c r="C1893" s="2">
        <v>0.0</v>
      </c>
      <c r="D1893" s="2">
        <v>8.74</v>
      </c>
      <c r="E1893" s="2">
        <v>3325.0</v>
      </c>
      <c r="F1893" s="1" t="s">
        <v>2057</v>
      </c>
      <c r="G1893" s="1" t="s">
        <v>22</v>
      </c>
      <c r="H1893" s="1" t="s">
        <v>23</v>
      </c>
      <c r="I1893" s="1" t="s">
        <v>88</v>
      </c>
      <c r="J1893" s="1" t="s">
        <v>1111</v>
      </c>
      <c r="K1893" s="19" t="s">
        <v>34</v>
      </c>
      <c r="L1893" s="20" t="s">
        <v>35</v>
      </c>
      <c r="M1893" s="21">
        <f t="shared" si="1"/>
        <v>3</v>
      </c>
      <c r="N1893" s="2">
        <v>-79.4</v>
      </c>
      <c r="O1893" s="2">
        <v>14.0</v>
      </c>
      <c r="P1893" s="2">
        <v>131.62</v>
      </c>
      <c r="Q1893" s="2">
        <v>90986.0</v>
      </c>
      <c r="R1893" s="15" t="b">
        <f>ISNUMBER(MATCH(Q1893,'Returned order'!A:A,0))</f>
        <v>0</v>
      </c>
      <c r="S1893" s="22">
        <v>42179.0</v>
      </c>
      <c r="T1893" s="15"/>
      <c r="U1893" s="15"/>
      <c r="V1893" s="15"/>
    </row>
    <row r="1894">
      <c r="A1894" s="2">
        <v>23476.0</v>
      </c>
      <c r="B1894" s="1" t="s">
        <v>58</v>
      </c>
      <c r="C1894" s="2">
        <v>0.07</v>
      </c>
      <c r="D1894" s="2">
        <v>5.58</v>
      </c>
      <c r="E1894" s="2">
        <v>3325.0</v>
      </c>
      <c r="F1894" s="1" t="s">
        <v>2057</v>
      </c>
      <c r="G1894" s="1" t="s">
        <v>22</v>
      </c>
      <c r="H1894" s="1" t="s">
        <v>23</v>
      </c>
      <c r="I1894" s="1" t="s">
        <v>29</v>
      </c>
      <c r="J1894" s="1" t="s">
        <v>2058</v>
      </c>
      <c r="K1894" s="19" t="s">
        <v>34</v>
      </c>
      <c r="L1894" s="20" t="s">
        <v>76</v>
      </c>
      <c r="M1894" s="21">
        <f t="shared" si="1"/>
        <v>5</v>
      </c>
      <c r="N1894" s="2">
        <v>23.046</v>
      </c>
      <c r="O1894" s="2">
        <v>23.0</v>
      </c>
      <c r="P1894" s="2">
        <v>121.46</v>
      </c>
      <c r="Q1894" s="2">
        <v>90987.0</v>
      </c>
      <c r="R1894" s="15" t="b">
        <f>ISNUMBER(MATCH(Q1894,'Returned order'!A:A,0))</f>
        <v>0</v>
      </c>
      <c r="S1894" s="22">
        <v>42118.0</v>
      </c>
      <c r="T1894" s="15"/>
      <c r="U1894" s="15"/>
      <c r="V1894" s="15"/>
    </row>
    <row r="1895">
      <c r="A1895" s="2">
        <v>18259.0</v>
      </c>
      <c r="B1895" s="1" t="s">
        <v>49</v>
      </c>
      <c r="C1895" s="2">
        <v>0.06</v>
      </c>
      <c r="D1895" s="2">
        <v>113.98</v>
      </c>
      <c r="E1895" s="2">
        <v>3327.0</v>
      </c>
      <c r="F1895" s="1" t="s">
        <v>2059</v>
      </c>
      <c r="G1895" s="1" t="s">
        <v>66</v>
      </c>
      <c r="H1895" s="1" t="s">
        <v>37</v>
      </c>
      <c r="I1895" s="1" t="s">
        <v>38</v>
      </c>
      <c r="J1895" s="1" t="s">
        <v>2060</v>
      </c>
      <c r="K1895" s="19" t="s">
        <v>68</v>
      </c>
      <c r="L1895" s="20" t="s">
        <v>76</v>
      </c>
      <c r="M1895" s="21">
        <f t="shared" si="1"/>
        <v>5</v>
      </c>
      <c r="N1895" s="2">
        <v>-127.3</v>
      </c>
      <c r="O1895" s="2">
        <v>3.0</v>
      </c>
      <c r="P1895" s="2">
        <v>356.14</v>
      </c>
      <c r="Q1895" s="2">
        <v>87272.0</v>
      </c>
      <c r="R1895" s="15" t="b">
        <f>ISNUMBER(MATCH(Q1895,'Returned order'!A:A,0))</f>
        <v>0</v>
      </c>
      <c r="S1895" s="22">
        <v>42069.0</v>
      </c>
      <c r="T1895" s="15"/>
      <c r="U1895" s="15"/>
      <c r="V1895" s="15"/>
    </row>
    <row r="1896">
      <c r="A1896" s="2">
        <v>18260.0</v>
      </c>
      <c r="B1896" s="1" t="s">
        <v>49</v>
      </c>
      <c r="C1896" s="2">
        <v>0.05</v>
      </c>
      <c r="D1896" s="2">
        <v>6.48</v>
      </c>
      <c r="E1896" s="2">
        <v>3327.0</v>
      </c>
      <c r="F1896" s="1" t="s">
        <v>2059</v>
      </c>
      <c r="G1896" s="1" t="s">
        <v>66</v>
      </c>
      <c r="H1896" s="1" t="s">
        <v>23</v>
      </c>
      <c r="I1896" s="1" t="s">
        <v>93</v>
      </c>
      <c r="J1896" s="1" t="s">
        <v>746</v>
      </c>
      <c r="K1896" s="19" t="s">
        <v>68</v>
      </c>
      <c r="L1896" s="20" t="s">
        <v>76</v>
      </c>
      <c r="M1896" s="21">
        <f t="shared" si="1"/>
        <v>5</v>
      </c>
      <c r="N1896" s="2">
        <v>-52.77</v>
      </c>
      <c r="O1896" s="2">
        <v>4.0</v>
      </c>
      <c r="P1896" s="2">
        <v>27.08</v>
      </c>
      <c r="Q1896" s="2">
        <v>87272.0</v>
      </c>
      <c r="R1896" s="15" t="b">
        <f>ISNUMBER(MATCH(Q1896,'Returned order'!A:A,0))</f>
        <v>0</v>
      </c>
      <c r="S1896" s="22">
        <v>42069.0</v>
      </c>
      <c r="T1896" s="15"/>
      <c r="U1896" s="15"/>
      <c r="V1896" s="15"/>
    </row>
    <row r="1897">
      <c r="A1897" s="2">
        <v>21588.0</v>
      </c>
      <c r="B1897" s="1" t="s">
        <v>63</v>
      </c>
      <c r="C1897" s="2">
        <v>0.09</v>
      </c>
      <c r="D1897" s="2">
        <v>5.98</v>
      </c>
      <c r="E1897" s="2">
        <v>3331.0</v>
      </c>
      <c r="F1897" s="1" t="s">
        <v>2061</v>
      </c>
      <c r="G1897" s="1" t="s">
        <v>32</v>
      </c>
      <c r="H1897" s="1" t="s">
        <v>23</v>
      </c>
      <c r="I1897" s="1" t="s">
        <v>120</v>
      </c>
      <c r="J1897" s="1" t="s">
        <v>1061</v>
      </c>
      <c r="K1897" s="19" t="s">
        <v>229</v>
      </c>
      <c r="L1897" s="20" t="s">
        <v>27</v>
      </c>
      <c r="M1897" s="21">
        <f t="shared" si="1"/>
        <v>1</v>
      </c>
      <c r="N1897" s="2">
        <v>-781.1342</v>
      </c>
      <c r="O1897" s="2">
        <v>11.0</v>
      </c>
      <c r="P1897" s="2">
        <v>65.85</v>
      </c>
      <c r="Q1897" s="2">
        <v>86283.0</v>
      </c>
      <c r="R1897" s="15" t="b">
        <f>ISNUMBER(MATCH(Q1897,'Returned order'!A:A,0))</f>
        <v>0</v>
      </c>
      <c r="S1897" s="22">
        <v>42009.0</v>
      </c>
      <c r="T1897" s="15"/>
      <c r="U1897" s="15"/>
      <c r="V1897" s="15"/>
    </row>
    <row r="1898">
      <c r="A1898" s="2">
        <v>23294.0</v>
      </c>
      <c r="B1898" s="1" t="s">
        <v>49</v>
      </c>
      <c r="C1898" s="2">
        <v>0.02</v>
      </c>
      <c r="D1898" s="2">
        <v>4.0</v>
      </c>
      <c r="E1898" s="2">
        <v>3331.0</v>
      </c>
      <c r="F1898" s="1" t="s">
        <v>2061</v>
      </c>
      <c r="G1898" s="1" t="s">
        <v>32</v>
      </c>
      <c r="H1898" s="1" t="s">
        <v>23</v>
      </c>
      <c r="I1898" s="1" t="s">
        <v>93</v>
      </c>
      <c r="J1898" s="1" t="s">
        <v>265</v>
      </c>
      <c r="K1898" s="19" t="s">
        <v>229</v>
      </c>
      <c r="L1898" s="20" t="s">
        <v>76</v>
      </c>
      <c r="M1898" s="21">
        <f t="shared" si="1"/>
        <v>5</v>
      </c>
      <c r="N1898" s="2">
        <v>-23.296</v>
      </c>
      <c r="O1898" s="2">
        <v>12.0</v>
      </c>
      <c r="P1898" s="2">
        <v>50.71</v>
      </c>
      <c r="Q1898" s="2">
        <v>86284.0</v>
      </c>
      <c r="R1898" s="15" t="b">
        <f>ISNUMBER(MATCH(Q1898,'Returned order'!A:A,0))</f>
        <v>0</v>
      </c>
      <c r="S1898" s="22">
        <v>42013.0</v>
      </c>
      <c r="T1898" s="15"/>
      <c r="U1898" s="15"/>
      <c r="V1898" s="15"/>
    </row>
    <row r="1899">
      <c r="A1899" s="2">
        <v>21429.0</v>
      </c>
      <c r="B1899" s="1" t="s">
        <v>28</v>
      </c>
      <c r="C1899" s="2">
        <v>0.08</v>
      </c>
      <c r="D1899" s="2">
        <v>6.48</v>
      </c>
      <c r="E1899" s="2">
        <v>3338.0</v>
      </c>
      <c r="F1899" s="1" t="s">
        <v>2062</v>
      </c>
      <c r="G1899" s="1" t="s">
        <v>22</v>
      </c>
      <c r="H1899" s="1" t="s">
        <v>23</v>
      </c>
      <c r="I1899" s="1" t="s">
        <v>93</v>
      </c>
      <c r="J1899" s="1" t="s">
        <v>613</v>
      </c>
      <c r="K1899" s="19" t="s">
        <v>229</v>
      </c>
      <c r="L1899" s="20" t="s">
        <v>70</v>
      </c>
      <c r="M1899" s="21">
        <f t="shared" si="1"/>
        <v>4</v>
      </c>
      <c r="N1899" s="2">
        <v>58.812</v>
      </c>
      <c r="O1899" s="2">
        <v>7.0</v>
      </c>
      <c r="P1899" s="2">
        <v>45.0</v>
      </c>
      <c r="Q1899" s="2">
        <v>85979.0</v>
      </c>
      <c r="R1899" s="15" t="b">
        <f>ISNUMBER(MATCH(Q1899,'Returned order'!A:A,0))</f>
        <v>0</v>
      </c>
      <c r="S1899" s="22">
        <v>42131.0</v>
      </c>
      <c r="T1899" s="15"/>
      <c r="U1899" s="15"/>
      <c r="V1899" s="15"/>
    </row>
    <row r="1900">
      <c r="A1900" s="2">
        <v>25613.0</v>
      </c>
      <c r="B1900" s="1" t="s">
        <v>28</v>
      </c>
      <c r="C1900" s="2">
        <v>0.03</v>
      </c>
      <c r="D1900" s="2">
        <v>2.61</v>
      </c>
      <c r="E1900" s="2">
        <v>3339.0</v>
      </c>
      <c r="F1900" s="1" t="s">
        <v>2063</v>
      </c>
      <c r="G1900" s="1" t="s">
        <v>22</v>
      </c>
      <c r="H1900" s="1" t="s">
        <v>23</v>
      </c>
      <c r="I1900" s="1" t="s">
        <v>130</v>
      </c>
      <c r="J1900" s="1" t="s">
        <v>881</v>
      </c>
      <c r="K1900" s="19" t="s">
        <v>229</v>
      </c>
      <c r="L1900" s="20" t="s">
        <v>61</v>
      </c>
      <c r="M1900" s="21">
        <f t="shared" si="1"/>
        <v>7</v>
      </c>
      <c r="N1900" s="2">
        <v>4.0443</v>
      </c>
      <c r="O1900" s="2">
        <v>7.0</v>
      </c>
      <c r="P1900" s="2">
        <v>19.02</v>
      </c>
      <c r="Q1900" s="2">
        <v>85981.0</v>
      </c>
      <c r="R1900" s="15" t="b">
        <f>ISNUMBER(MATCH(Q1900,'Returned order'!A:A,0))</f>
        <v>0</v>
      </c>
      <c r="S1900" s="22">
        <v>42169.0</v>
      </c>
      <c r="T1900" s="15"/>
      <c r="U1900" s="15"/>
      <c r="V1900" s="15"/>
    </row>
    <row r="1901">
      <c r="A1901" s="2">
        <v>25614.0</v>
      </c>
      <c r="B1901" s="1" t="s">
        <v>28</v>
      </c>
      <c r="C1901" s="2">
        <v>0.01</v>
      </c>
      <c r="D1901" s="2">
        <v>11.66</v>
      </c>
      <c r="E1901" s="2">
        <v>3339.0</v>
      </c>
      <c r="F1901" s="1" t="s">
        <v>2063</v>
      </c>
      <c r="G1901" s="1" t="s">
        <v>22</v>
      </c>
      <c r="H1901" s="1" t="s">
        <v>23</v>
      </c>
      <c r="I1901" s="1" t="s">
        <v>29</v>
      </c>
      <c r="J1901" s="1" t="s">
        <v>1265</v>
      </c>
      <c r="K1901" s="19" t="s">
        <v>229</v>
      </c>
      <c r="L1901" s="20" t="s">
        <v>61</v>
      </c>
      <c r="M1901" s="21">
        <f t="shared" si="1"/>
        <v>7</v>
      </c>
      <c r="N1901" s="2">
        <v>-10.3684</v>
      </c>
      <c r="O1901" s="2">
        <v>16.0</v>
      </c>
      <c r="P1901" s="2">
        <v>193.87</v>
      </c>
      <c r="Q1901" s="2">
        <v>85981.0</v>
      </c>
      <c r="R1901" s="15" t="b">
        <f>ISNUMBER(MATCH(Q1901,'Returned order'!A:A,0))</f>
        <v>0</v>
      </c>
      <c r="S1901" s="22">
        <v>42169.0</v>
      </c>
      <c r="T1901" s="15"/>
      <c r="U1901" s="15"/>
      <c r="V1901" s="15"/>
    </row>
    <row r="1902">
      <c r="A1902" s="2">
        <v>22857.0</v>
      </c>
      <c r="B1902" s="1" t="s">
        <v>63</v>
      </c>
      <c r="C1902" s="2">
        <v>0.08</v>
      </c>
      <c r="D1902" s="2">
        <v>125.99</v>
      </c>
      <c r="E1902" s="2">
        <v>3340.0</v>
      </c>
      <c r="F1902" s="1" t="s">
        <v>2064</v>
      </c>
      <c r="G1902" s="1" t="s">
        <v>22</v>
      </c>
      <c r="H1902" s="1" t="s">
        <v>46</v>
      </c>
      <c r="I1902" s="1" t="s">
        <v>85</v>
      </c>
      <c r="J1902" s="1" t="s">
        <v>2065</v>
      </c>
      <c r="K1902" s="19" t="s">
        <v>34</v>
      </c>
      <c r="L1902" s="20" t="s">
        <v>57</v>
      </c>
      <c r="M1902" s="21">
        <f t="shared" si="1"/>
        <v>2</v>
      </c>
      <c r="N1902" s="2">
        <v>989.8119</v>
      </c>
      <c r="O1902" s="2">
        <v>14.0</v>
      </c>
      <c r="P1902" s="2">
        <v>1434.51</v>
      </c>
      <c r="Q1902" s="2">
        <v>85980.0</v>
      </c>
      <c r="R1902" s="15" t="b">
        <f>ISNUMBER(MATCH(Q1902,'Returned order'!A:A,0))</f>
        <v>0</v>
      </c>
      <c r="S1902" s="22">
        <v>42017.0</v>
      </c>
      <c r="T1902" s="15"/>
      <c r="U1902" s="15"/>
      <c r="V1902" s="15"/>
    </row>
    <row r="1903">
      <c r="A1903" s="2">
        <v>2986.0</v>
      </c>
      <c r="B1903" s="1" t="s">
        <v>58</v>
      </c>
      <c r="C1903" s="2">
        <v>0.03</v>
      </c>
      <c r="D1903" s="2">
        <v>194.3</v>
      </c>
      <c r="E1903" s="2">
        <v>3342.0</v>
      </c>
      <c r="F1903" s="1" t="s">
        <v>2066</v>
      </c>
      <c r="G1903" s="1" t="s">
        <v>51</v>
      </c>
      <c r="H1903" s="1" t="s">
        <v>37</v>
      </c>
      <c r="I1903" s="1" t="s">
        <v>42</v>
      </c>
      <c r="J1903" s="1" t="s">
        <v>899</v>
      </c>
      <c r="K1903" s="19" t="s">
        <v>26</v>
      </c>
      <c r="L1903" s="20" t="s">
        <v>76</v>
      </c>
      <c r="M1903" s="21">
        <f t="shared" si="1"/>
        <v>5</v>
      </c>
      <c r="N1903" s="2">
        <v>2861.01</v>
      </c>
      <c r="O1903" s="2">
        <v>42.0</v>
      </c>
      <c r="P1903" s="2">
        <v>8549.04</v>
      </c>
      <c r="Q1903" s="2">
        <v>21572.0</v>
      </c>
      <c r="R1903" s="15" t="b">
        <f>ISNUMBER(MATCH(Q1903,'Returned order'!A:A,0))</f>
        <v>0</v>
      </c>
      <c r="S1903" s="22">
        <v>42048.0</v>
      </c>
      <c r="T1903" s="15"/>
      <c r="U1903" s="15"/>
      <c r="V1903" s="15"/>
    </row>
    <row r="1904">
      <c r="A1904" s="2">
        <v>20986.0</v>
      </c>
      <c r="B1904" s="1" t="s">
        <v>58</v>
      </c>
      <c r="C1904" s="2">
        <v>0.03</v>
      </c>
      <c r="D1904" s="2">
        <v>194.3</v>
      </c>
      <c r="E1904" s="2">
        <v>3344.0</v>
      </c>
      <c r="F1904" s="1" t="s">
        <v>2067</v>
      </c>
      <c r="G1904" s="1" t="s">
        <v>51</v>
      </c>
      <c r="H1904" s="1" t="s">
        <v>37</v>
      </c>
      <c r="I1904" s="1" t="s">
        <v>42</v>
      </c>
      <c r="J1904" s="1" t="s">
        <v>899</v>
      </c>
      <c r="K1904" s="19" t="s">
        <v>68</v>
      </c>
      <c r="L1904" s="20" t="s">
        <v>76</v>
      </c>
      <c r="M1904" s="21">
        <f t="shared" si="1"/>
        <v>5</v>
      </c>
      <c r="N1904" s="2">
        <v>1544.9307</v>
      </c>
      <c r="O1904" s="2">
        <v>11.0</v>
      </c>
      <c r="P1904" s="2">
        <v>2239.03</v>
      </c>
      <c r="Q1904" s="2">
        <v>89928.0</v>
      </c>
      <c r="R1904" s="15" t="b">
        <f>ISNUMBER(MATCH(Q1904,'Returned order'!A:A,0))</f>
        <v>0</v>
      </c>
      <c r="S1904" s="22">
        <v>42048.0</v>
      </c>
      <c r="T1904" s="15"/>
      <c r="U1904" s="15"/>
      <c r="V1904" s="15"/>
    </row>
    <row r="1905">
      <c r="A1905" s="2">
        <v>18947.0</v>
      </c>
      <c r="B1905" s="1" t="s">
        <v>63</v>
      </c>
      <c r="C1905" s="2">
        <v>0.07</v>
      </c>
      <c r="D1905" s="2">
        <v>7.68</v>
      </c>
      <c r="E1905" s="2">
        <v>3347.0</v>
      </c>
      <c r="F1905" s="1" t="s">
        <v>2068</v>
      </c>
      <c r="G1905" s="1" t="s">
        <v>22</v>
      </c>
      <c r="H1905" s="1" t="s">
        <v>23</v>
      </c>
      <c r="I1905" s="1" t="s">
        <v>24</v>
      </c>
      <c r="J1905" s="1" t="s">
        <v>2069</v>
      </c>
      <c r="K1905" s="19" t="s">
        <v>229</v>
      </c>
      <c r="L1905" s="20" t="s">
        <v>57</v>
      </c>
      <c r="M1905" s="21">
        <f t="shared" si="1"/>
        <v>2</v>
      </c>
      <c r="N1905" s="2">
        <v>125.9982</v>
      </c>
      <c r="O1905" s="2">
        <v>1.0</v>
      </c>
      <c r="P1905" s="2">
        <v>22.13</v>
      </c>
      <c r="Q1905" s="2">
        <v>89355.0</v>
      </c>
      <c r="R1905" s="15" t="b">
        <f>ISNUMBER(MATCH(Q1905,'Returned order'!A:A,0))</f>
        <v>0</v>
      </c>
      <c r="S1905" s="22">
        <v>42010.0</v>
      </c>
      <c r="T1905" s="15"/>
      <c r="U1905" s="15"/>
      <c r="V1905" s="15"/>
    </row>
    <row r="1906">
      <c r="A1906" s="2">
        <v>18948.0</v>
      </c>
      <c r="B1906" s="1" t="s">
        <v>63</v>
      </c>
      <c r="C1906" s="2">
        <v>0.05</v>
      </c>
      <c r="D1906" s="2">
        <v>6.64</v>
      </c>
      <c r="E1906" s="2">
        <v>3347.0</v>
      </c>
      <c r="F1906" s="1" t="s">
        <v>2068</v>
      </c>
      <c r="G1906" s="1" t="s">
        <v>22</v>
      </c>
      <c r="H1906" s="1" t="s">
        <v>37</v>
      </c>
      <c r="I1906" s="1" t="s">
        <v>42</v>
      </c>
      <c r="J1906" s="1" t="s">
        <v>2052</v>
      </c>
      <c r="K1906" s="19" t="s">
        <v>229</v>
      </c>
      <c r="L1906" s="20" t="s">
        <v>57</v>
      </c>
      <c r="M1906" s="21">
        <f t="shared" si="1"/>
        <v>2</v>
      </c>
      <c r="N1906" s="2">
        <v>-92.9292</v>
      </c>
      <c r="O1906" s="2">
        <v>5.0</v>
      </c>
      <c r="P1906" s="2">
        <v>34.17</v>
      </c>
      <c r="Q1906" s="2">
        <v>89355.0</v>
      </c>
      <c r="R1906" s="15" t="b">
        <f>ISNUMBER(MATCH(Q1906,'Returned order'!A:A,0))</f>
        <v>0</v>
      </c>
      <c r="S1906" s="22">
        <v>42010.0</v>
      </c>
      <c r="T1906" s="15"/>
      <c r="U1906" s="15"/>
      <c r="V1906" s="15"/>
    </row>
    <row r="1907">
      <c r="A1907" s="2">
        <v>19461.0</v>
      </c>
      <c r="B1907" s="1" t="s">
        <v>63</v>
      </c>
      <c r="C1907" s="2">
        <v>0.02</v>
      </c>
      <c r="D1907" s="2">
        <v>110.99</v>
      </c>
      <c r="E1907" s="2">
        <v>3347.0</v>
      </c>
      <c r="F1907" s="1" t="s">
        <v>2068</v>
      </c>
      <c r="G1907" s="1" t="s">
        <v>22</v>
      </c>
      <c r="H1907" s="1" t="s">
        <v>46</v>
      </c>
      <c r="I1907" s="1" t="s">
        <v>85</v>
      </c>
      <c r="J1907" s="1" t="s">
        <v>457</v>
      </c>
      <c r="K1907" s="19" t="s">
        <v>229</v>
      </c>
      <c r="L1907" s="20" t="s">
        <v>57</v>
      </c>
      <c r="M1907" s="21">
        <f t="shared" si="1"/>
        <v>2</v>
      </c>
      <c r="N1907" s="2">
        <v>-39.809</v>
      </c>
      <c r="O1907" s="2">
        <v>1.0</v>
      </c>
      <c r="P1907" s="2">
        <v>94.3</v>
      </c>
      <c r="Q1907" s="2">
        <v>89356.0</v>
      </c>
      <c r="R1907" s="15" t="b">
        <f>ISNUMBER(MATCH(Q1907,'Returned order'!A:A,0))</f>
        <v>0</v>
      </c>
      <c r="S1907" s="22">
        <v>42031.0</v>
      </c>
      <c r="T1907" s="15"/>
      <c r="U1907" s="15"/>
      <c r="V1907" s="15"/>
    </row>
    <row r="1908">
      <c r="A1908" s="2">
        <v>21485.0</v>
      </c>
      <c r="B1908" s="1" t="s">
        <v>63</v>
      </c>
      <c r="C1908" s="2">
        <v>0.01</v>
      </c>
      <c r="D1908" s="2">
        <v>73.98</v>
      </c>
      <c r="E1908" s="2">
        <v>3350.0</v>
      </c>
      <c r="F1908" s="1" t="s">
        <v>2070</v>
      </c>
      <c r="G1908" s="1" t="s">
        <v>66</v>
      </c>
      <c r="H1908" s="1" t="s">
        <v>46</v>
      </c>
      <c r="I1908" s="1" t="s">
        <v>47</v>
      </c>
      <c r="J1908" s="1" t="s">
        <v>242</v>
      </c>
      <c r="K1908" s="19" t="s">
        <v>34</v>
      </c>
      <c r="L1908" s="20" t="s">
        <v>76</v>
      </c>
      <c r="M1908" s="21">
        <f t="shared" si="1"/>
        <v>5</v>
      </c>
      <c r="N1908" s="2">
        <v>-29.0656</v>
      </c>
      <c r="O1908" s="2">
        <v>5.0</v>
      </c>
      <c r="P1908" s="2">
        <v>384.22</v>
      </c>
      <c r="Q1908" s="2">
        <v>91296.0</v>
      </c>
      <c r="R1908" s="15" t="b">
        <f>ISNUMBER(MATCH(Q1908,'Returned order'!A:A,0))</f>
        <v>0</v>
      </c>
      <c r="S1908" s="22">
        <v>42027.0</v>
      </c>
      <c r="T1908" s="15"/>
      <c r="U1908" s="15"/>
      <c r="V1908" s="15"/>
    </row>
    <row r="1909">
      <c r="A1909" s="2">
        <v>23248.0</v>
      </c>
      <c r="B1909" s="1" t="s">
        <v>58</v>
      </c>
      <c r="C1909" s="2">
        <v>0.1</v>
      </c>
      <c r="D1909" s="2">
        <v>10.89</v>
      </c>
      <c r="E1909" s="2">
        <v>3351.0</v>
      </c>
      <c r="F1909" s="1" t="s">
        <v>2071</v>
      </c>
      <c r="G1909" s="1" t="s">
        <v>66</v>
      </c>
      <c r="H1909" s="1" t="s">
        <v>23</v>
      </c>
      <c r="I1909" s="1" t="s">
        <v>151</v>
      </c>
      <c r="J1909" s="1" t="s">
        <v>296</v>
      </c>
      <c r="K1909" s="19" t="s">
        <v>34</v>
      </c>
      <c r="L1909" s="20" t="s">
        <v>35</v>
      </c>
      <c r="M1909" s="21">
        <f t="shared" si="1"/>
        <v>3</v>
      </c>
      <c r="N1909" s="2">
        <v>-19.2972</v>
      </c>
      <c r="O1909" s="2">
        <v>17.0</v>
      </c>
      <c r="P1909" s="2">
        <v>178.68</v>
      </c>
      <c r="Q1909" s="2">
        <v>91297.0</v>
      </c>
      <c r="R1909" s="15" t="b">
        <f>ISNUMBER(MATCH(Q1909,'Returned order'!A:A,0))</f>
        <v>0</v>
      </c>
      <c r="S1909" s="22">
        <v>42039.0</v>
      </c>
      <c r="T1909" s="15"/>
      <c r="U1909" s="15"/>
      <c r="V1909" s="15"/>
    </row>
    <row r="1910">
      <c r="A1910" s="2">
        <v>23474.0</v>
      </c>
      <c r="B1910" s="1" t="s">
        <v>28</v>
      </c>
      <c r="C1910" s="2">
        <v>0.06</v>
      </c>
      <c r="D1910" s="2">
        <v>6.7</v>
      </c>
      <c r="E1910" s="2">
        <v>3351.0</v>
      </c>
      <c r="F1910" s="1" t="s">
        <v>2071</v>
      </c>
      <c r="G1910" s="1" t="s">
        <v>66</v>
      </c>
      <c r="H1910" s="1" t="s">
        <v>23</v>
      </c>
      <c r="I1910" s="1" t="s">
        <v>29</v>
      </c>
      <c r="J1910" s="1" t="s">
        <v>835</v>
      </c>
      <c r="K1910" s="19" t="s">
        <v>34</v>
      </c>
      <c r="L1910" s="20" t="s">
        <v>53</v>
      </c>
      <c r="M1910" s="21">
        <f t="shared" si="1"/>
        <v>6</v>
      </c>
      <c r="N1910" s="2">
        <v>40.6556</v>
      </c>
      <c r="O1910" s="2">
        <v>12.0</v>
      </c>
      <c r="P1910" s="2">
        <v>79.39</v>
      </c>
      <c r="Q1910" s="2">
        <v>91298.0</v>
      </c>
      <c r="R1910" s="15" t="b">
        <f>ISNUMBER(MATCH(Q1910,'Returned order'!A:A,0))</f>
        <v>0</v>
      </c>
      <c r="S1910" s="22">
        <v>42042.0</v>
      </c>
      <c r="T1910" s="15"/>
      <c r="U1910" s="15"/>
      <c r="V1910" s="15"/>
    </row>
    <row r="1911">
      <c r="A1911" s="2">
        <v>19838.0</v>
      </c>
      <c r="B1911" s="1" t="s">
        <v>28</v>
      </c>
      <c r="C1911" s="2">
        <v>0.03</v>
      </c>
      <c r="D1911" s="2">
        <v>28.53</v>
      </c>
      <c r="E1911" s="2">
        <v>3354.0</v>
      </c>
      <c r="F1911" s="1" t="s">
        <v>2072</v>
      </c>
      <c r="G1911" s="1" t="s">
        <v>32</v>
      </c>
      <c r="H1911" s="1" t="s">
        <v>23</v>
      </c>
      <c r="I1911" s="1" t="s">
        <v>24</v>
      </c>
      <c r="J1911" s="1" t="s">
        <v>341</v>
      </c>
      <c r="K1911" s="19" t="s">
        <v>34</v>
      </c>
      <c r="L1911" s="20" t="s">
        <v>53</v>
      </c>
      <c r="M1911" s="21">
        <f t="shared" si="1"/>
        <v>6</v>
      </c>
      <c r="N1911" s="2">
        <v>137.6757</v>
      </c>
      <c r="O1911" s="2">
        <v>7.0</v>
      </c>
      <c r="P1911" s="2">
        <v>199.53</v>
      </c>
      <c r="Q1911" s="2">
        <v>88589.0</v>
      </c>
      <c r="R1911" s="15" t="b">
        <f>ISNUMBER(MATCH(Q1911,'Returned order'!A:A,0))</f>
        <v>0</v>
      </c>
      <c r="S1911" s="22">
        <v>42140.0</v>
      </c>
      <c r="T1911" s="15"/>
      <c r="U1911" s="15"/>
      <c r="V1911" s="15"/>
    </row>
    <row r="1912">
      <c r="A1912" s="2">
        <v>19839.0</v>
      </c>
      <c r="B1912" s="1" t="s">
        <v>28</v>
      </c>
      <c r="C1912" s="2">
        <v>0.07</v>
      </c>
      <c r="D1912" s="2">
        <v>5.98</v>
      </c>
      <c r="E1912" s="2">
        <v>3354.0</v>
      </c>
      <c r="F1912" s="1" t="s">
        <v>2072</v>
      </c>
      <c r="G1912" s="1" t="s">
        <v>32</v>
      </c>
      <c r="H1912" s="1" t="s">
        <v>23</v>
      </c>
      <c r="I1912" s="1" t="s">
        <v>93</v>
      </c>
      <c r="J1912" s="1" t="s">
        <v>243</v>
      </c>
      <c r="K1912" s="19" t="s">
        <v>34</v>
      </c>
      <c r="L1912" s="20" t="s">
        <v>53</v>
      </c>
      <c r="M1912" s="21">
        <f t="shared" si="1"/>
        <v>6</v>
      </c>
      <c r="N1912" s="2">
        <v>-62.0</v>
      </c>
      <c r="O1912" s="2">
        <v>6.0</v>
      </c>
      <c r="P1912" s="2">
        <v>37.05</v>
      </c>
      <c r="Q1912" s="2">
        <v>88589.0</v>
      </c>
      <c r="R1912" s="15" t="b">
        <f>ISNUMBER(MATCH(Q1912,'Returned order'!A:A,0))</f>
        <v>0</v>
      </c>
      <c r="S1912" s="22">
        <v>42140.0</v>
      </c>
      <c r="T1912" s="15"/>
      <c r="U1912" s="15"/>
      <c r="V1912" s="15"/>
    </row>
    <row r="1913">
      <c r="A1913" s="2">
        <v>19666.0</v>
      </c>
      <c r="B1913" s="1" t="s">
        <v>49</v>
      </c>
      <c r="C1913" s="2">
        <v>0.04</v>
      </c>
      <c r="D1913" s="2">
        <v>3.69</v>
      </c>
      <c r="E1913" s="2">
        <v>3354.0</v>
      </c>
      <c r="F1913" s="1" t="s">
        <v>2072</v>
      </c>
      <c r="G1913" s="1" t="s">
        <v>32</v>
      </c>
      <c r="H1913" s="1" t="s">
        <v>23</v>
      </c>
      <c r="I1913" s="1" t="s">
        <v>130</v>
      </c>
      <c r="J1913" s="1" t="s">
        <v>1150</v>
      </c>
      <c r="K1913" s="19" t="s">
        <v>34</v>
      </c>
      <c r="L1913" s="20" t="s">
        <v>76</v>
      </c>
      <c r="M1913" s="21">
        <f t="shared" si="1"/>
        <v>5</v>
      </c>
      <c r="N1913" s="2">
        <v>47.5272</v>
      </c>
      <c r="O1913" s="2">
        <v>19.0</v>
      </c>
      <c r="P1913" s="2">
        <v>68.88</v>
      </c>
      <c r="Q1913" s="2">
        <v>88590.0</v>
      </c>
      <c r="R1913" s="15" t="b">
        <f>ISNUMBER(MATCH(Q1913,'Returned order'!A:A,0))</f>
        <v>0</v>
      </c>
      <c r="S1913" s="22">
        <v>42090.0</v>
      </c>
      <c r="T1913" s="15"/>
      <c r="U1913" s="15"/>
      <c r="V1913" s="15"/>
    </row>
    <row r="1914">
      <c r="A1914" s="2">
        <v>23906.0</v>
      </c>
      <c r="B1914" s="1" t="s">
        <v>170</v>
      </c>
      <c r="C1914" s="2">
        <v>0.1</v>
      </c>
      <c r="D1914" s="2">
        <v>120.98</v>
      </c>
      <c r="E1914" s="2">
        <v>3355.0</v>
      </c>
      <c r="F1914" s="1" t="s">
        <v>2073</v>
      </c>
      <c r="G1914" s="1" t="s">
        <v>32</v>
      </c>
      <c r="H1914" s="1" t="s">
        <v>23</v>
      </c>
      <c r="I1914" s="1" t="s">
        <v>24</v>
      </c>
      <c r="J1914" s="1" t="s">
        <v>1002</v>
      </c>
      <c r="K1914" s="19" t="s">
        <v>34</v>
      </c>
      <c r="L1914" s="20" t="s">
        <v>53</v>
      </c>
      <c r="M1914" s="21">
        <f t="shared" si="1"/>
        <v>6</v>
      </c>
      <c r="N1914" s="2">
        <v>379.3965</v>
      </c>
      <c r="O1914" s="2">
        <v>5.0</v>
      </c>
      <c r="P1914" s="2">
        <v>549.85</v>
      </c>
      <c r="Q1914" s="2">
        <v>88587.0</v>
      </c>
      <c r="R1914" s="15" t="b">
        <f>ISNUMBER(MATCH(Q1914,'Returned order'!A:A,0))</f>
        <v>0</v>
      </c>
      <c r="S1914" s="22">
        <v>42063.0</v>
      </c>
      <c r="T1914" s="15"/>
      <c r="U1914" s="15"/>
      <c r="V1914" s="15"/>
    </row>
    <row r="1915">
      <c r="A1915" s="2">
        <v>23907.0</v>
      </c>
      <c r="B1915" s="1" t="s">
        <v>170</v>
      </c>
      <c r="C1915" s="2">
        <v>0.08</v>
      </c>
      <c r="D1915" s="2">
        <v>8.32</v>
      </c>
      <c r="E1915" s="2">
        <v>3355.0</v>
      </c>
      <c r="F1915" s="1" t="s">
        <v>2073</v>
      </c>
      <c r="G1915" s="1" t="s">
        <v>32</v>
      </c>
      <c r="H1915" s="1" t="s">
        <v>46</v>
      </c>
      <c r="I1915" s="1" t="s">
        <v>47</v>
      </c>
      <c r="J1915" s="1" t="s">
        <v>522</v>
      </c>
      <c r="K1915" s="19" t="s">
        <v>34</v>
      </c>
      <c r="L1915" s="20" t="s">
        <v>53</v>
      </c>
      <c r="M1915" s="21">
        <f t="shared" si="1"/>
        <v>6</v>
      </c>
      <c r="N1915" s="2">
        <v>-41.83</v>
      </c>
      <c r="O1915" s="2">
        <v>6.0</v>
      </c>
      <c r="P1915" s="2">
        <v>48.99</v>
      </c>
      <c r="Q1915" s="2">
        <v>88587.0</v>
      </c>
      <c r="R1915" s="15" t="b">
        <f>ISNUMBER(MATCH(Q1915,'Returned order'!A:A,0))</f>
        <v>0</v>
      </c>
      <c r="S1915" s="22">
        <v>42063.0</v>
      </c>
      <c r="T1915" s="15"/>
      <c r="U1915" s="15"/>
      <c r="V1915" s="15"/>
    </row>
    <row r="1916">
      <c r="A1916" s="2">
        <v>23908.0</v>
      </c>
      <c r="B1916" s="1" t="s">
        <v>170</v>
      </c>
      <c r="C1916" s="2">
        <v>0.1</v>
      </c>
      <c r="D1916" s="2">
        <v>125.99</v>
      </c>
      <c r="E1916" s="2">
        <v>3355.0</v>
      </c>
      <c r="F1916" s="1" t="s">
        <v>2073</v>
      </c>
      <c r="G1916" s="1" t="s">
        <v>32</v>
      </c>
      <c r="H1916" s="1" t="s">
        <v>46</v>
      </c>
      <c r="I1916" s="1" t="s">
        <v>85</v>
      </c>
      <c r="J1916" s="1" t="s">
        <v>1957</v>
      </c>
      <c r="K1916" s="19" t="s">
        <v>34</v>
      </c>
      <c r="L1916" s="20" t="s">
        <v>53</v>
      </c>
      <c r="M1916" s="21">
        <f t="shared" si="1"/>
        <v>6</v>
      </c>
      <c r="N1916" s="2">
        <v>372.402</v>
      </c>
      <c r="O1916" s="2">
        <v>7.0</v>
      </c>
      <c r="P1916" s="2">
        <v>681.42</v>
      </c>
      <c r="Q1916" s="2">
        <v>88587.0</v>
      </c>
      <c r="R1916" s="15" t="b">
        <f>ISNUMBER(MATCH(Q1916,'Returned order'!A:A,0))</f>
        <v>0</v>
      </c>
      <c r="S1916" s="22">
        <v>42063.0</v>
      </c>
      <c r="T1916" s="15"/>
      <c r="U1916" s="15"/>
      <c r="V1916" s="15"/>
    </row>
    <row r="1917">
      <c r="A1917" s="2">
        <v>18628.0</v>
      </c>
      <c r="B1917" s="1" t="s">
        <v>63</v>
      </c>
      <c r="C1917" s="2">
        <v>0.07</v>
      </c>
      <c r="D1917" s="2">
        <v>5.34</v>
      </c>
      <c r="E1917" s="2">
        <v>3356.0</v>
      </c>
      <c r="F1917" s="1" t="s">
        <v>2074</v>
      </c>
      <c r="G1917" s="1" t="s">
        <v>32</v>
      </c>
      <c r="H1917" s="1" t="s">
        <v>23</v>
      </c>
      <c r="I1917" s="1" t="s">
        <v>24</v>
      </c>
      <c r="J1917" s="1" t="s">
        <v>452</v>
      </c>
      <c r="K1917" s="19" t="s">
        <v>34</v>
      </c>
      <c r="L1917" s="20" t="s">
        <v>27</v>
      </c>
      <c r="M1917" s="21">
        <f t="shared" si="1"/>
        <v>1</v>
      </c>
      <c r="N1917" s="2">
        <v>-116.3455</v>
      </c>
      <c r="O1917" s="2">
        <v>13.0</v>
      </c>
      <c r="P1917" s="2">
        <v>66.65</v>
      </c>
      <c r="Q1917" s="2">
        <v>88588.0</v>
      </c>
      <c r="R1917" s="15" t="b">
        <f>ISNUMBER(MATCH(Q1917,'Returned order'!A:A,0))</f>
        <v>0</v>
      </c>
      <c r="S1917" s="22">
        <v>42128.0</v>
      </c>
      <c r="T1917" s="15"/>
      <c r="U1917" s="15"/>
      <c r="V1917" s="15"/>
    </row>
    <row r="1918">
      <c r="A1918" s="2">
        <v>18629.0</v>
      </c>
      <c r="B1918" s="1" t="s">
        <v>63</v>
      </c>
      <c r="C1918" s="2">
        <v>0.03</v>
      </c>
      <c r="D1918" s="2">
        <v>160.98</v>
      </c>
      <c r="E1918" s="2">
        <v>3356.0</v>
      </c>
      <c r="F1918" s="1" t="s">
        <v>2074</v>
      </c>
      <c r="G1918" s="1" t="s">
        <v>32</v>
      </c>
      <c r="H1918" s="1" t="s">
        <v>37</v>
      </c>
      <c r="I1918" s="1" t="s">
        <v>38</v>
      </c>
      <c r="J1918" s="1" t="s">
        <v>260</v>
      </c>
      <c r="K1918" s="19" t="s">
        <v>34</v>
      </c>
      <c r="L1918" s="20" t="s">
        <v>27</v>
      </c>
      <c r="M1918" s="21">
        <f t="shared" si="1"/>
        <v>1</v>
      </c>
      <c r="N1918" s="2">
        <v>1304.9</v>
      </c>
      <c r="O1918" s="2">
        <v>18.0</v>
      </c>
      <c r="P1918" s="2">
        <v>2934.16</v>
      </c>
      <c r="Q1918" s="2">
        <v>88588.0</v>
      </c>
      <c r="R1918" s="15" t="b">
        <f>ISNUMBER(MATCH(Q1918,'Returned order'!A:A,0))</f>
        <v>0</v>
      </c>
      <c r="S1918" s="22">
        <v>42128.0</v>
      </c>
      <c r="T1918" s="15"/>
      <c r="U1918" s="15"/>
      <c r="V1918" s="15"/>
    </row>
    <row r="1919">
      <c r="A1919" s="2">
        <v>18630.0</v>
      </c>
      <c r="B1919" s="1" t="s">
        <v>63</v>
      </c>
      <c r="C1919" s="2">
        <v>0.04</v>
      </c>
      <c r="D1919" s="2">
        <v>65.99</v>
      </c>
      <c r="E1919" s="2">
        <v>3356.0</v>
      </c>
      <c r="F1919" s="1" t="s">
        <v>2074</v>
      </c>
      <c r="G1919" s="1" t="s">
        <v>32</v>
      </c>
      <c r="H1919" s="1" t="s">
        <v>46</v>
      </c>
      <c r="I1919" s="1" t="s">
        <v>85</v>
      </c>
      <c r="J1919" s="1">
        <v>2190.0</v>
      </c>
      <c r="K1919" s="19" t="s">
        <v>34</v>
      </c>
      <c r="L1919" s="20" t="s">
        <v>27</v>
      </c>
      <c r="M1919" s="21">
        <f t="shared" si="1"/>
        <v>1</v>
      </c>
      <c r="N1919" s="2">
        <v>605.0472</v>
      </c>
      <c r="O1919" s="2">
        <v>15.0</v>
      </c>
      <c r="P1919" s="2">
        <v>876.88</v>
      </c>
      <c r="Q1919" s="2">
        <v>88588.0</v>
      </c>
      <c r="R1919" s="15" t="b">
        <f>ISNUMBER(MATCH(Q1919,'Returned order'!A:A,0))</f>
        <v>0</v>
      </c>
      <c r="S1919" s="22">
        <v>42128.0</v>
      </c>
      <c r="T1919" s="15"/>
      <c r="U1919" s="15"/>
      <c r="V1919" s="15"/>
    </row>
    <row r="1920">
      <c r="A1920" s="2">
        <v>22597.0</v>
      </c>
      <c r="B1920" s="1" t="s">
        <v>28</v>
      </c>
      <c r="C1920" s="2">
        <v>0.09</v>
      </c>
      <c r="D1920" s="2">
        <v>28.53</v>
      </c>
      <c r="E1920" s="2">
        <v>3359.0</v>
      </c>
      <c r="F1920" s="1" t="s">
        <v>2075</v>
      </c>
      <c r="G1920" s="1" t="s">
        <v>51</v>
      </c>
      <c r="H1920" s="1" t="s">
        <v>23</v>
      </c>
      <c r="I1920" s="1" t="s">
        <v>24</v>
      </c>
      <c r="J1920" s="1" t="s">
        <v>341</v>
      </c>
      <c r="K1920" s="19" t="s">
        <v>68</v>
      </c>
      <c r="L1920" s="20" t="s">
        <v>57</v>
      </c>
      <c r="M1920" s="21">
        <f t="shared" si="1"/>
        <v>2</v>
      </c>
      <c r="N1920" s="2">
        <v>107.45462</v>
      </c>
      <c r="O1920" s="2">
        <v>6.0</v>
      </c>
      <c r="P1920" s="2">
        <v>157.33</v>
      </c>
      <c r="Q1920" s="2">
        <v>91437.0</v>
      </c>
      <c r="R1920" s="15" t="b">
        <f>ISNUMBER(MATCH(Q1920,'Returned order'!A:A,0))</f>
        <v>0</v>
      </c>
      <c r="S1920" s="22">
        <v>42122.0</v>
      </c>
      <c r="T1920" s="15"/>
      <c r="U1920" s="15"/>
      <c r="V1920" s="15"/>
    </row>
    <row r="1921">
      <c r="A1921" s="2">
        <v>23359.0</v>
      </c>
      <c r="B1921" s="1" t="s">
        <v>49</v>
      </c>
      <c r="C1921" s="2">
        <v>0.02</v>
      </c>
      <c r="D1921" s="2">
        <v>9.11</v>
      </c>
      <c r="E1921" s="2">
        <v>3360.0</v>
      </c>
      <c r="F1921" s="1" t="s">
        <v>2076</v>
      </c>
      <c r="G1921" s="1" t="s">
        <v>51</v>
      </c>
      <c r="H1921" s="1" t="s">
        <v>23</v>
      </c>
      <c r="I1921" s="1" t="s">
        <v>93</v>
      </c>
      <c r="J1921" s="1" t="s">
        <v>961</v>
      </c>
      <c r="K1921" s="19" t="s">
        <v>68</v>
      </c>
      <c r="L1921" s="20" t="s">
        <v>76</v>
      </c>
      <c r="M1921" s="21">
        <f t="shared" si="1"/>
        <v>5</v>
      </c>
      <c r="N1921" s="2">
        <v>18.41</v>
      </c>
      <c r="O1921" s="2">
        <v>3.0</v>
      </c>
      <c r="P1921" s="2">
        <v>27.37</v>
      </c>
      <c r="Q1921" s="2">
        <v>91435.0</v>
      </c>
      <c r="R1921" s="15" t="b">
        <f>ISNUMBER(MATCH(Q1921,'Returned order'!A:A,0))</f>
        <v>0</v>
      </c>
      <c r="S1921" s="22">
        <v>42083.0</v>
      </c>
      <c r="T1921" s="15"/>
      <c r="U1921" s="15"/>
      <c r="V1921" s="15"/>
    </row>
    <row r="1922">
      <c r="A1922" s="2">
        <v>23360.0</v>
      </c>
      <c r="B1922" s="1" t="s">
        <v>49</v>
      </c>
      <c r="C1922" s="2">
        <v>0.06</v>
      </c>
      <c r="D1922" s="2">
        <v>12.64</v>
      </c>
      <c r="E1922" s="2">
        <v>3361.0</v>
      </c>
      <c r="F1922" s="1" t="s">
        <v>2077</v>
      </c>
      <c r="G1922" s="1" t="s">
        <v>51</v>
      </c>
      <c r="H1922" s="1" t="s">
        <v>37</v>
      </c>
      <c r="I1922" s="1" t="s">
        <v>42</v>
      </c>
      <c r="J1922" s="1" t="s">
        <v>535</v>
      </c>
      <c r="K1922" s="19" t="s">
        <v>68</v>
      </c>
      <c r="L1922" s="20" t="s">
        <v>76</v>
      </c>
      <c r="M1922" s="21">
        <f t="shared" si="1"/>
        <v>5</v>
      </c>
      <c r="N1922" s="2">
        <v>65.63</v>
      </c>
      <c r="O1922" s="2">
        <v>8.0</v>
      </c>
      <c r="P1922" s="2">
        <v>98.16</v>
      </c>
      <c r="Q1922" s="2">
        <v>91435.0</v>
      </c>
      <c r="R1922" s="15" t="b">
        <f>ISNUMBER(MATCH(Q1922,'Returned order'!A:A,0))</f>
        <v>0</v>
      </c>
      <c r="S1922" s="22">
        <v>42083.0</v>
      </c>
      <c r="T1922" s="15"/>
      <c r="U1922" s="15"/>
      <c r="V1922" s="15"/>
    </row>
    <row r="1923">
      <c r="A1923" s="2">
        <v>24802.0</v>
      </c>
      <c r="B1923" s="1" t="s">
        <v>63</v>
      </c>
      <c r="C1923" s="2">
        <v>0.04</v>
      </c>
      <c r="D1923" s="2">
        <v>7.96</v>
      </c>
      <c r="E1923" s="2">
        <v>3361.0</v>
      </c>
      <c r="F1923" s="1" t="s">
        <v>2077</v>
      </c>
      <c r="G1923" s="1" t="s">
        <v>51</v>
      </c>
      <c r="H1923" s="1" t="s">
        <v>37</v>
      </c>
      <c r="I1923" s="1" t="s">
        <v>42</v>
      </c>
      <c r="J1923" s="1" t="s">
        <v>978</v>
      </c>
      <c r="K1923" s="19" t="s">
        <v>68</v>
      </c>
      <c r="L1923" s="20" t="s">
        <v>27</v>
      </c>
      <c r="M1923" s="21">
        <f t="shared" si="1"/>
        <v>1</v>
      </c>
      <c r="N1923" s="2">
        <v>-7.73</v>
      </c>
      <c r="O1923" s="2">
        <v>15.0</v>
      </c>
      <c r="P1923" s="2">
        <v>116.11</v>
      </c>
      <c r="Q1923" s="2">
        <v>91436.0</v>
      </c>
      <c r="R1923" s="15" t="b">
        <f>ISNUMBER(MATCH(Q1923,'Returned order'!A:A,0))</f>
        <v>0</v>
      </c>
      <c r="S1923" s="22">
        <v>42030.0</v>
      </c>
      <c r="T1923" s="15"/>
      <c r="U1923" s="15"/>
      <c r="V1923" s="15"/>
    </row>
    <row r="1924">
      <c r="A1924" s="2">
        <v>23887.0</v>
      </c>
      <c r="B1924" s="1" t="s">
        <v>63</v>
      </c>
      <c r="C1924" s="2">
        <v>0.03</v>
      </c>
      <c r="D1924" s="2">
        <v>4.98</v>
      </c>
      <c r="E1924" s="2">
        <v>3361.0</v>
      </c>
      <c r="F1924" s="1" t="s">
        <v>2077</v>
      </c>
      <c r="G1924" s="1" t="s">
        <v>51</v>
      </c>
      <c r="H1924" s="1" t="s">
        <v>23</v>
      </c>
      <c r="I1924" s="1" t="s">
        <v>24</v>
      </c>
      <c r="J1924" s="1" t="s">
        <v>1772</v>
      </c>
      <c r="K1924" s="19" t="s">
        <v>68</v>
      </c>
      <c r="L1924" s="20" t="s">
        <v>57</v>
      </c>
      <c r="M1924" s="21">
        <f t="shared" si="1"/>
        <v>2</v>
      </c>
      <c r="N1924" s="2">
        <v>-47.99525</v>
      </c>
      <c r="O1924" s="2">
        <v>19.0</v>
      </c>
      <c r="P1924" s="2">
        <v>95.0</v>
      </c>
      <c r="Q1924" s="2">
        <v>91438.0</v>
      </c>
      <c r="R1924" s="15" t="b">
        <f>ISNUMBER(MATCH(Q1924,'Returned order'!A:A,0))</f>
        <v>0</v>
      </c>
      <c r="S1924" s="22">
        <v>42164.0</v>
      </c>
      <c r="T1924" s="15"/>
      <c r="U1924" s="15"/>
      <c r="V1924" s="15"/>
    </row>
    <row r="1925">
      <c r="A1925" s="2">
        <v>19749.0</v>
      </c>
      <c r="B1925" s="1" t="s">
        <v>170</v>
      </c>
      <c r="C1925" s="2">
        <v>0.1</v>
      </c>
      <c r="D1925" s="2">
        <v>80.97</v>
      </c>
      <c r="E1925" s="2">
        <v>3366.0</v>
      </c>
      <c r="F1925" s="1" t="s">
        <v>2078</v>
      </c>
      <c r="G1925" s="1" t="s">
        <v>51</v>
      </c>
      <c r="H1925" s="1" t="s">
        <v>46</v>
      </c>
      <c r="I1925" s="1" t="s">
        <v>103</v>
      </c>
      <c r="J1925" s="1" t="s">
        <v>1474</v>
      </c>
      <c r="K1925" s="19" t="s">
        <v>26</v>
      </c>
      <c r="L1925" s="20" t="s">
        <v>61</v>
      </c>
      <c r="M1925" s="21">
        <f t="shared" si="1"/>
        <v>7</v>
      </c>
      <c r="N1925" s="2">
        <v>66.22</v>
      </c>
      <c r="O1925" s="2">
        <v>11.0</v>
      </c>
      <c r="P1925" s="2">
        <v>837.57</v>
      </c>
      <c r="Q1925" s="2">
        <v>90501.0</v>
      </c>
      <c r="R1925" s="15" t="b">
        <f>ISNUMBER(MATCH(Q1925,'Returned order'!A:A,0))</f>
        <v>0</v>
      </c>
      <c r="S1925" s="22">
        <v>42148.0</v>
      </c>
      <c r="T1925" s="15"/>
      <c r="U1925" s="15"/>
      <c r="V1925" s="15"/>
    </row>
    <row r="1926">
      <c r="A1926" s="2">
        <v>19750.0</v>
      </c>
      <c r="B1926" s="1" t="s">
        <v>170</v>
      </c>
      <c r="C1926" s="2">
        <v>0.02</v>
      </c>
      <c r="D1926" s="2">
        <v>6.48</v>
      </c>
      <c r="E1926" s="2">
        <v>3366.0</v>
      </c>
      <c r="F1926" s="1" t="s">
        <v>2078</v>
      </c>
      <c r="G1926" s="1" t="s">
        <v>51</v>
      </c>
      <c r="H1926" s="1" t="s">
        <v>23</v>
      </c>
      <c r="I1926" s="1" t="s">
        <v>93</v>
      </c>
      <c r="J1926" s="1" t="s">
        <v>789</v>
      </c>
      <c r="K1926" s="19" t="s">
        <v>26</v>
      </c>
      <c r="L1926" s="20" t="s">
        <v>61</v>
      </c>
      <c r="M1926" s="21">
        <f t="shared" si="1"/>
        <v>7</v>
      </c>
      <c r="N1926" s="2">
        <v>-23.53</v>
      </c>
      <c r="O1926" s="2">
        <v>8.0</v>
      </c>
      <c r="P1926" s="2">
        <v>56.22</v>
      </c>
      <c r="Q1926" s="2">
        <v>90501.0</v>
      </c>
      <c r="R1926" s="15" t="b">
        <f>ISNUMBER(MATCH(Q1926,'Returned order'!A:A,0))</f>
        <v>0</v>
      </c>
      <c r="S1926" s="22">
        <v>42148.0</v>
      </c>
      <c r="T1926" s="15"/>
      <c r="U1926" s="15"/>
      <c r="V1926" s="15"/>
    </row>
    <row r="1927">
      <c r="A1927" s="2">
        <v>23428.0</v>
      </c>
      <c r="B1927" s="1" t="s">
        <v>58</v>
      </c>
      <c r="C1927" s="2">
        <v>0.08</v>
      </c>
      <c r="D1927" s="2">
        <v>30.97</v>
      </c>
      <c r="E1927" s="2">
        <v>3367.0</v>
      </c>
      <c r="F1927" s="1" t="s">
        <v>2079</v>
      </c>
      <c r="G1927" s="1" t="s">
        <v>51</v>
      </c>
      <c r="H1927" s="1" t="s">
        <v>46</v>
      </c>
      <c r="I1927" s="1" t="s">
        <v>47</v>
      </c>
      <c r="J1927" s="1" t="s">
        <v>1896</v>
      </c>
      <c r="K1927" s="19" t="s">
        <v>26</v>
      </c>
      <c r="L1927" s="20" t="s">
        <v>53</v>
      </c>
      <c r="M1927" s="21">
        <f t="shared" si="1"/>
        <v>6</v>
      </c>
      <c r="N1927" s="2">
        <v>10.68</v>
      </c>
      <c r="O1927" s="2">
        <v>26.0</v>
      </c>
      <c r="P1927" s="2">
        <v>758.97</v>
      </c>
      <c r="Q1927" s="2">
        <v>90502.0</v>
      </c>
      <c r="R1927" s="15" t="b">
        <f>ISNUMBER(MATCH(Q1927,'Returned order'!A:A,0))</f>
        <v>0</v>
      </c>
      <c r="S1927" s="22">
        <v>42126.0</v>
      </c>
      <c r="T1927" s="15"/>
      <c r="U1927" s="15"/>
      <c r="V1927" s="15"/>
    </row>
    <row r="1928">
      <c r="A1928" s="2">
        <v>23429.0</v>
      </c>
      <c r="B1928" s="1" t="s">
        <v>58</v>
      </c>
      <c r="C1928" s="2">
        <v>0.1</v>
      </c>
      <c r="D1928" s="2">
        <v>4.13</v>
      </c>
      <c r="E1928" s="2">
        <v>3367.0</v>
      </c>
      <c r="F1928" s="1" t="s">
        <v>2079</v>
      </c>
      <c r="G1928" s="1" t="s">
        <v>51</v>
      </c>
      <c r="H1928" s="1" t="s">
        <v>23</v>
      </c>
      <c r="I1928" s="1" t="s">
        <v>130</v>
      </c>
      <c r="J1928" s="1" t="s">
        <v>2080</v>
      </c>
      <c r="K1928" s="19" t="s">
        <v>26</v>
      </c>
      <c r="L1928" s="20" t="s">
        <v>53</v>
      </c>
      <c r="M1928" s="21">
        <f t="shared" si="1"/>
        <v>6</v>
      </c>
      <c r="N1928" s="2">
        <v>58.2636</v>
      </c>
      <c r="O1928" s="2">
        <v>18.0</v>
      </c>
      <c r="P1928" s="2">
        <v>84.44</v>
      </c>
      <c r="Q1928" s="2">
        <v>90502.0</v>
      </c>
      <c r="R1928" s="15" t="b">
        <f>ISNUMBER(MATCH(Q1928,'Returned order'!A:A,0))</f>
        <v>0</v>
      </c>
      <c r="S1928" s="22">
        <v>42126.0</v>
      </c>
      <c r="T1928" s="15"/>
      <c r="U1928" s="15"/>
      <c r="V1928" s="15"/>
    </row>
    <row r="1929">
      <c r="A1929" s="2">
        <v>26104.0</v>
      </c>
      <c r="B1929" s="1" t="s">
        <v>63</v>
      </c>
      <c r="C1929" s="2">
        <v>0.06</v>
      </c>
      <c r="D1929" s="2">
        <v>7.1</v>
      </c>
      <c r="E1929" s="2">
        <v>3369.0</v>
      </c>
      <c r="F1929" s="1" t="s">
        <v>2081</v>
      </c>
      <c r="G1929" s="1" t="s">
        <v>51</v>
      </c>
      <c r="H1929" s="1" t="s">
        <v>23</v>
      </c>
      <c r="I1929" s="1" t="s">
        <v>24</v>
      </c>
      <c r="J1929" s="1" t="s">
        <v>143</v>
      </c>
      <c r="K1929" s="19" t="s">
        <v>26</v>
      </c>
      <c r="L1929" s="20" t="s">
        <v>70</v>
      </c>
      <c r="M1929" s="21">
        <f t="shared" si="1"/>
        <v>4</v>
      </c>
      <c r="N1929" s="2">
        <v>-42.1705</v>
      </c>
      <c r="O1929" s="2">
        <v>4.0</v>
      </c>
      <c r="P1929" s="2">
        <v>29.99</v>
      </c>
      <c r="Q1929" s="2">
        <v>90500.0</v>
      </c>
      <c r="R1929" s="15" t="b">
        <f>ISNUMBER(MATCH(Q1929,'Returned order'!A:A,0))</f>
        <v>0</v>
      </c>
      <c r="S1929" s="22">
        <v>42047.0</v>
      </c>
      <c r="T1929" s="15"/>
      <c r="U1929" s="15"/>
      <c r="V1929" s="15"/>
    </row>
    <row r="1930">
      <c r="A1930" s="2">
        <v>18311.0</v>
      </c>
      <c r="B1930" s="1" t="s">
        <v>63</v>
      </c>
      <c r="C1930" s="2">
        <v>0.01</v>
      </c>
      <c r="D1930" s="2">
        <v>179.29</v>
      </c>
      <c r="E1930" s="2">
        <v>3374.0</v>
      </c>
      <c r="F1930" s="1" t="s">
        <v>241</v>
      </c>
      <c r="G1930" s="1" t="s">
        <v>32</v>
      </c>
      <c r="H1930" s="1" t="s">
        <v>37</v>
      </c>
      <c r="I1930" s="1" t="s">
        <v>73</v>
      </c>
      <c r="J1930" s="1" t="s">
        <v>539</v>
      </c>
      <c r="K1930" s="19" t="s">
        <v>26</v>
      </c>
      <c r="L1930" s="20" t="s">
        <v>57</v>
      </c>
      <c r="M1930" s="21">
        <f t="shared" si="1"/>
        <v>2</v>
      </c>
      <c r="N1930" s="2">
        <v>66.36222</v>
      </c>
      <c r="O1930" s="2">
        <v>8.0</v>
      </c>
      <c r="P1930" s="2">
        <v>1487.9</v>
      </c>
      <c r="Q1930" s="2">
        <v>87473.0</v>
      </c>
      <c r="R1930" s="15" t="b">
        <f>ISNUMBER(MATCH(Q1930,'Returned order'!A:A,0))</f>
        <v>0</v>
      </c>
      <c r="S1930" s="22">
        <v>42157.0</v>
      </c>
      <c r="T1930" s="15"/>
      <c r="U1930" s="15"/>
      <c r="V1930" s="15"/>
    </row>
    <row r="1931">
      <c r="A1931" s="2">
        <v>18320.0</v>
      </c>
      <c r="B1931" s="1" t="s">
        <v>28</v>
      </c>
      <c r="C1931" s="2">
        <v>0.05</v>
      </c>
      <c r="D1931" s="2">
        <v>73.98</v>
      </c>
      <c r="E1931" s="2">
        <v>3374.0</v>
      </c>
      <c r="F1931" s="1" t="s">
        <v>241</v>
      </c>
      <c r="G1931" s="1" t="s">
        <v>51</v>
      </c>
      <c r="H1931" s="1" t="s">
        <v>46</v>
      </c>
      <c r="I1931" s="1" t="s">
        <v>47</v>
      </c>
      <c r="J1931" s="1" t="s">
        <v>242</v>
      </c>
      <c r="K1931" s="19" t="s">
        <v>26</v>
      </c>
      <c r="L1931" s="20" t="s">
        <v>27</v>
      </c>
      <c r="M1931" s="21">
        <f t="shared" si="1"/>
        <v>1</v>
      </c>
      <c r="N1931" s="2">
        <v>-1.904</v>
      </c>
      <c r="O1931" s="2">
        <v>8.0</v>
      </c>
      <c r="P1931" s="2">
        <v>600.4</v>
      </c>
      <c r="Q1931" s="2">
        <v>87474.0</v>
      </c>
      <c r="R1931" s="15" t="b">
        <f>ISNUMBER(MATCH(Q1931,'Returned order'!A:A,0))</f>
        <v>0</v>
      </c>
      <c r="S1931" s="22">
        <v>42184.0</v>
      </c>
      <c r="T1931" s="15"/>
      <c r="U1931" s="15"/>
      <c r="V1931" s="15"/>
    </row>
    <row r="1932">
      <c r="A1932" s="2">
        <v>18321.0</v>
      </c>
      <c r="B1932" s="1" t="s">
        <v>28</v>
      </c>
      <c r="C1932" s="2">
        <v>0.0</v>
      </c>
      <c r="D1932" s="2">
        <v>5.98</v>
      </c>
      <c r="E1932" s="2">
        <v>3374.0</v>
      </c>
      <c r="F1932" s="1" t="s">
        <v>241</v>
      </c>
      <c r="G1932" s="1" t="s">
        <v>51</v>
      </c>
      <c r="H1932" s="1" t="s">
        <v>23</v>
      </c>
      <c r="I1932" s="1" t="s">
        <v>93</v>
      </c>
      <c r="J1932" s="1" t="s">
        <v>243</v>
      </c>
      <c r="K1932" s="19" t="s">
        <v>26</v>
      </c>
      <c r="L1932" s="20" t="s">
        <v>27</v>
      </c>
      <c r="M1932" s="21">
        <f t="shared" si="1"/>
        <v>1</v>
      </c>
      <c r="N1932" s="2">
        <v>-37.048</v>
      </c>
      <c r="O1932" s="2">
        <v>5.0</v>
      </c>
      <c r="P1932" s="2">
        <v>34.25</v>
      </c>
      <c r="Q1932" s="2">
        <v>87474.0</v>
      </c>
      <c r="R1932" s="15" t="b">
        <f>ISNUMBER(MATCH(Q1932,'Returned order'!A:A,0))</f>
        <v>0</v>
      </c>
      <c r="S1932" s="22">
        <v>42184.0</v>
      </c>
      <c r="T1932" s="15"/>
      <c r="U1932" s="15"/>
      <c r="V1932" s="15"/>
    </row>
    <row r="1933">
      <c r="A1933" s="2">
        <v>18322.0</v>
      </c>
      <c r="B1933" s="1" t="s">
        <v>28</v>
      </c>
      <c r="C1933" s="2">
        <v>0.09</v>
      </c>
      <c r="D1933" s="2">
        <v>3.57</v>
      </c>
      <c r="E1933" s="2">
        <v>3374.0</v>
      </c>
      <c r="F1933" s="1" t="s">
        <v>241</v>
      </c>
      <c r="G1933" s="1" t="s">
        <v>51</v>
      </c>
      <c r="H1933" s="1" t="s">
        <v>23</v>
      </c>
      <c r="I1933" s="1" t="s">
        <v>29</v>
      </c>
      <c r="J1933" s="1" t="s">
        <v>245</v>
      </c>
      <c r="K1933" s="19" t="s">
        <v>26</v>
      </c>
      <c r="L1933" s="20" t="s">
        <v>27</v>
      </c>
      <c r="M1933" s="21">
        <f t="shared" si="1"/>
        <v>1</v>
      </c>
      <c r="N1933" s="2">
        <v>-56.888</v>
      </c>
      <c r="O1933" s="2">
        <v>9.0</v>
      </c>
      <c r="P1933" s="2">
        <v>31.45</v>
      </c>
      <c r="Q1933" s="2">
        <v>87474.0</v>
      </c>
      <c r="R1933" s="15" t="b">
        <f>ISNUMBER(MATCH(Q1933,'Returned order'!A:A,0))</f>
        <v>0</v>
      </c>
      <c r="S1933" s="22">
        <v>42184.0</v>
      </c>
      <c r="T1933" s="15"/>
      <c r="U1933" s="15"/>
      <c r="V1933" s="15"/>
    </row>
    <row r="1934">
      <c r="A1934" s="2">
        <v>22378.0</v>
      </c>
      <c r="B1934" s="1" t="s">
        <v>58</v>
      </c>
      <c r="C1934" s="2">
        <v>0.0</v>
      </c>
      <c r="D1934" s="2">
        <v>19.98</v>
      </c>
      <c r="E1934" s="2">
        <v>3379.0</v>
      </c>
      <c r="F1934" s="1" t="s">
        <v>2082</v>
      </c>
      <c r="G1934" s="1" t="s">
        <v>32</v>
      </c>
      <c r="H1934" s="1" t="s">
        <v>23</v>
      </c>
      <c r="I1934" s="1" t="s">
        <v>93</v>
      </c>
      <c r="J1934" s="1" t="s">
        <v>2083</v>
      </c>
      <c r="K1934" s="19" t="s">
        <v>229</v>
      </c>
      <c r="L1934" s="20" t="s">
        <v>70</v>
      </c>
      <c r="M1934" s="21">
        <f t="shared" si="1"/>
        <v>4</v>
      </c>
      <c r="N1934" s="2">
        <v>-189.714</v>
      </c>
      <c r="O1934" s="2">
        <v>12.0</v>
      </c>
      <c r="P1934" s="2">
        <v>249.07</v>
      </c>
      <c r="Q1934" s="2">
        <v>88837.0</v>
      </c>
      <c r="R1934" s="15" t="b">
        <f>ISNUMBER(MATCH(Q1934,'Returned order'!A:A,0))</f>
        <v>0</v>
      </c>
      <c r="S1934" s="22">
        <v>42089.0</v>
      </c>
      <c r="T1934" s="15"/>
      <c r="U1934" s="15"/>
      <c r="V1934" s="15"/>
    </row>
    <row r="1935">
      <c r="A1935" s="2">
        <v>20366.0</v>
      </c>
      <c r="B1935" s="1" t="s">
        <v>58</v>
      </c>
      <c r="C1935" s="2">
        <v>0.05</v>
      </c>
      <c r="D1935" s="2">
        <v>3.14</v>
      </c>
      <c r="E1935" s="2">
        <v>3379.0</v>
      </c>
      <c r="F1935" s="1" t="s">
        <v>2082</v>
      </c>
      <c r="G1935" s="1" t="s">
        <v>51</v>
      </c>
      <c r="H1935" s="1" t="s">
        <v>23</v>
      </c>
      <c r="I1935" s="1" t="s">
        <v>257</v>
      </c>
      <c r="J1935" s="1" t="s">
        <v>1869</v>
      </c>
      <c r="K1935" s="19" t="s">
        <v>229</v>
      </c>
      <c r="L1935" s="20" t="s">
        <v>53</v>
      </c>
      <c r="M1935" s="21">
        <f t="shared" si="1"/>
        <v>6</v>
      </c>
      <c r="N1935" s="2">
        <v>1628.37</v>
      </c>
      <c r="O1935" s="2">
        <v>18.0</v>
      </c>
      <c r="P1935" s="2">
        <v>59.22</v>
      </c>
      <c r="Q1935" s="2">
        <v>88839.0</v>
      </c>
      <c r="R1935" s="15" t="b">
        <f>ISNUMBER(MATCH(Q1935,'Returned order'!A:A,0))</f>
        <v>0</v>
      </c>
      <c r="S1935" s="22">
        <v>42119.0</v>
      </c>
      <c r="T1935" s="15"/>
      <c r="U1935" s="15"/>
      <c r="V1935" s="15"/>
    </row>
    <row r="1936">
      <c r="A1936" s="2">
        <v>23181.0</v>
      </c>
      <c r="B1936" s="1" t="s">
        <v>58</v>
      </c>
      <c r="C1936" s="2">
        <v>0.03</v>
      </c>
      <c r="D1936" s="2">
        <v>315.98</v>
      </c>
      <c r="E1936" s="2">
        <v>3380.0</v>
      </c>
      <c r="F1936" s="1" t="s">
        <v>2084</v>
      </c>
      <c r="G1936" s="1" t="s">
        <v>51</v>
      </c>
      <c r="H1936" s="1" t="s">
        <v>23</v>
      </c>
      <c r="I1936" s="1" t="s">
        <v>24</v>
      </c>
      <c r="J1936" s="1" t="s">
        <v>1964</v>
      </c>
      <c r="K1936" s="19" t="s">
        <v>229</v>
      </c>
      <c r="L1936" s="20" t="s">
        <v>27</v>
      </c>
      <c r="M1936" s="21">
        <f t="shared" si="1"/>
        <v>1</v>
      </c>
      <c r="N1936" s="2">
        <v>-4.48</v>
      </c>
      <c r="O1936" s="2">
        <v>18.0</v>
      </c>
      <c r="P1936" s="2">
        <v>5572.18</v>
      </c>
      <c r="Q1936" s="2">
        <v>88838.0</v>
      </c>
      <c r="R1936" s="15" t="b">
        <f>ISNUMBER(MATCH(Q1936,'Returned order'!A:A,0))</f>
        <v>0</v>
      </c>
      <c r="S1936" s="22">
        <v>42114.0</v>
      </c>
      <c r="T1936" s="15"/>
      <c r="U1936" s="15"/>
      <c r="V1936" s="15"/>
    </row>
    <row r="1937">
      <c r="A1937" s="2">
        <v>23182.0</v>
      </c>
      <c r="B1937" s="1" t="s">
        <v>58</v>
      </c>
      <c r="C1937" s="2">
        <v>0.09</v>
      </c>
      <c r="D1937" s="2">
        <v>276.2</v>
      </c>
      <c r="E1937" s="2">
        <v>3380.0</v>
      </c>
      <c r="F1937" s="1" t="s">
        <v>2084</v>
      </c>
      <c r="G1937" s="1" t="s">
        <v>51</v>
      </c>
      <c r="H1937" s="1" t="s">
        <v>37</v>
      </c>
      <c r="I1937" s="1" t="s">
        <v>38</v>
      </c>
      <c r="J1937" s="1" t="s">
        <v>409</v>
      </c>
      <c r="K1937" s="19" t="s">
        <v>229</v>
      </c>
      <c r="L1937" s="20" t="s">
        <v>27</v>
      </c>
      <c r="M1937" s="21">
        <f t="shared" si="1"/>
        <v>1</v>
      </c>
      <c r="N1937" s="2">
        <v>3193.284</v>
      </c>
      <c r="O1937" s="2">
        <v>11.0</v>
      </c>
      <c r="P1937" s="2">
        <v>2941.42</v>
      </c>
      <c r="Q1937" s="2">
        <v>88838.0</v>
      </c>
      <c r="R1937" s="15" t="b">
        <f>ISNUMBER(MATCH(Q1937,'Returned order'!A:A,0))</f>
        <v>0</v>
      </c>
      <c r="S1937" s="22">
        <v>42114.0</v>
      </c>
      <c r="T1937" s="15"/>
      <c r="U1937" s="15"/>
      <c r="V1937" s="15"/>
    </row>
    <row r="1938">
      <c r="A1938" s="2">
        <v>23183.0</v>
      </c>
      <c r="B1938" s="1" t="s">
        <v>58</v>
      </c>
      <c r="C1938" s="2">
        <v>0.03</v>
      </c>
      <c r="D1938" s="2">
        <v>63.94</v>
      </c>
      <c r="E1938" s="2">
        <v>3380.0</v>
      </c>
      <c r="F1938" s="1" t="s">
        <v>2084</v>
      </c>
      <c r="G1938" s="1" t="s">
        <v>51</v>
      </c>
      <c r="H1938" s="1" t="s">
        <v>37</v>
      </c>
      <c r="I1938" s="1" t="s">
        <v>42</v>
      </c>
      <c r="J1938" s="1" t="s">
        <v>468</v>
      </c>
      <c r="K1938" s="19" t="s">
        <v>229</v>
      </c>
      <c r="L1938" s="20" t="s">
        <v>27</v>
      </c>
      <c r="M1938" s="21">
        <f t="shared" si="1"/>
        <v>1</v>
      </c>
      <c r="N1938" s="2">
        <v>43.6917</v>
      </c>
      <c r="O1938" s="2">
        <v>8.0</v>
      </c>
      <c r="P1938" s="2">
        <v>522.46</v>
      </c>
      <c r="Q1938" s="2">
        <v>88838.0</v>
      </c>
      <c r="R1938" s="15" t="b">
        <f>ISNUMBER(MATCH(Q1938,'Returned order'!A:A,0))</f>
        <v>0</v>
      </c>
      <c r="S1938" s="22">
        <v>42114.0</v>
      </c>
      <c r="T1938" s="15"/>
      <c r="U1938" s="15"/>
      <c r="V1938" s="15"/>
    </row>
    <row r="1939">
      <c r="A1939" s="2">
        <v>24161.0</v>
      </c>
      <c r="B1939" s="1" t="s">
        <v>49</v>
      </c>
      <c r="C1939" s="2">
        <v>0.05</v>
      </c>
      <c r="D1939" s="2">
        <v>11.97</v>
      </c>
      <c r="E1939" s="2">
        <v>3381.0</v>
      </c>
      <c r="F1939" s="1" t="s">
        <v>2085</v>
      </c>
      <c r="G1939" s="1" t="s">
        <v>32</v>
      </c>
      <c r="H1939" s="1" t="s">
        <v>23</v>
      </c>
      <c r="I1939" s="1" t="s">
        <v>29</v>
      </c>
      <c r="J1939" s="1" t="s">
        <v>2086</v>
      </c>
      <c r="K1939" s="19" t="s">
        <v>229</v>
      </c>
      <c r="L1939" s="20" t="s">
        <v>27</v>
      </c>
      <c r="M1939" s="21">
        <f t="shared" si="1"/>
        <v>1</v>
      </c>
      <c r="N1939" s="2">
        <v>349.0593</v>
      </c>
      <c r="O1939" s="2">
        <v>2.0</v>
      </c>
      <c r="P1939" s="2">
        <v>25.31</v>
      </c>
      <c r="Q1939" s="2">
        <v>88836.0</v>
      </c>
      <c r="R1939" s="15" t="b">
        <f>ISNUMBER(MATCH(Q1939,'Returned order'!A:A,0))</f>
        <v>0</v>
      </c>
      <c r="S1939" s="22">
        <v>42086.0</v>
      </c>
      <c r="T1939" s="15"/>
      <c r="U1939" s="15"/>
      <c r="V1939" s="15"/>
    </row>
    <row r="1940">
      <c r="A1940" s="2">
        <v>25841.0</v>
      </c>
      <c r="B1940" s="1" t="s">
        <v>63</v>
      </c>
      <c r="C1940" s="2">
        <v>0.02</v>
      </c>
      <c r="D1940" s="2">
        <v>28.53</v>
      </c>
      <c r="E1940" s="2">
        <v>3381.0</v>
      </c>
      <c r="F1940" s="1" t="s">
        <v>2085</v>
      </c>
      <c r="G1940" s="1" t="s">
        <v>51</v>
      </c>
      <c r="H1940" s="1" t="s">
        <v>23</v>
      </c>
      <c r="I1940" s="1" t="s">
        <v>24</v>
      </c>
      <c r="J1940" s="1" t="s">
        <v>341</v>
      </c>
      <c r="K1940" s="19" t="s">
        <v>229</v>
      </c>
      <c r="L1940" s="20" t="s">
        <v>35</v>
      </c>
      <c r="M1940" s="21">
        <f t="shared" si="1"/>
        <v>3</v>
      </c>
      <c r="N1940" s="2">
        <v>1.992</v>
      </c>
      <c r="O1940" s="2">
        <v>18.0</v>
      </c>
      <c r="P1940" s="2">
        <v>513.33</v>
      </c>
      <c r="Q1940" s="2">
        <v>88840.0</v>
      </c>
      <c r="R1940" s="15" t="b">
        <f>ISNUMBER(MATCH(Q1940,'Returned order'!A:A,0))</f>
        <v>0</v>
      </c>
      <c r="S1940" s="22">
        <v>42123.0</v>
      </c>
      <c r="T1940" s="15"/>
      <c r="U1940" s="15"/>
      <c r="V1940" s="15"/>
    </row>
    <row r="1941">
      <c r="A1941" s="2">
        <v>22341.0</v>
      </c>
      <c r="B1941" s="1" t="s">
        <v>170</v>
      </c>
      <c r="C1941" s="2">
        <v>0.04</v>
      </c>
      <c r="D1941" s="2">
        <v>2.98</v>
      </c>
      <c r="E1941" s="2">
        <v>3385.0</v>
      </c>
      <c r="F1941" s="1" t="s">
        <v>2087</v>
      </c>
      <c r="G1941" s="1" t="s">
        <v>32</v>
      </c>
      <c r="H1941" s="1" t="s">
        <v>23</v>
      </c>
      <c r="I1941" s="1" t="s">
        <v>29</v>
      </c>
      <c r="J1941" s="1" t="s">
        <v>2088</v>
      </c>
      <c r="K1941" s="19" t="s">
        <v>26</v>
      </c>
      <c r="L1941" s="20" t="s">
        <v>76</v>
      </c>
      <c r="M1941" s="21">
        <f t="shared" si="1"/>
        <v>5</v>
      </c>
      <c r="N1941" s="2">
        <v>-22.01</v>
      </c>
      <c r="O1941" s="2">
        <v>5.0</v>
      </c>
      <c r="P1941" s="2">
        <v>15.7</v>
      </c>
      <c r="Q1941" s="2">
        <v>88745.0</v>
      </c>
      <c r="R1941" s="15" t="b">
        <f>ISNUMBER(MATCH(Q1941,'Returned order'!A:A,0))</f>
        <v>0</v>
      </c>
      <c r="S1941" s="22">
        <v>42020.0</v>
      </c>
      <c r="T1941" s="15"/>
      <c r="U1941" s="15"/>
      <c r="V1941" s="15"/>
    </row>
    <row r="1942">
      <c r="A1942" s="2">
        <v>22342.0</v>
      </c>
      <c r="B1942" s="1" t="s">
        <v>170</v>
      </c>
      <c r="C1942" s="2">
        <v>0.01</v>
      </c>
      <c r="D1942" s="2">
        <v>125.99</v>
      </c>
      <c r="E1942" s="2">
        <v>3385.0</v>
      </c>
      <c r="F1942" s="1" t="s">
        <v>2087</v>
      </c>
      <c r="G1942" s="1" t="s">
        <v>32</v>
      </c>
      <c r="H1942" s="1" t="s">
        <v>46</v>
      </c>
      <c r="I1942" s="1" t="s">
        <v>85</v>
      </c>
      <c r="J1942" s="1" t="s">
        <v>434</v>
      </c>
      <c r="K1942" s="19" t="s">
        <v>26</v>
      </c>
      <c r="L1942" s="20" t="s">
        <v>76</v>
      </c>
      <c r="M1942" s="21">
        <f t="shared" si="1"/>
        <v>5</v>
      </c>
      <c r="N1942" s="2">
        <v>426.46032</v>
      </c>
      <c r="O1942" s="2">
        <v>6.0</v>
      </c>
      <c r="P1942" s="2">
        <v>680.65</v>
      </c>
      <c r="Q1942" s="2">
        <v>88745.0</v>
      </c>
      <c r="R1942" s="15" t="b">
        <f>ISNUMBER(MATCH(Q1942,'Returned order'!A:A,0))</f>
        <v>0</v>
      </c>
      <c r="S1942" s="22">
        <v>42020.0</v>
      </c>
      <c r="T1942" s="15"/>
      <c r="U1942" s="15"/>
      <c r="V1942" s="15"/>
    </row>
    <row r="1943">
      <c r="A1943" s="2">
        <v>23190.0</v>
      </c>
      <c r="B1943" s="1" t="s">
        <v>58</v>
      </c>
      <c r="C1943" s="2">
        <v>0.0</v>
      </c>
      <c r="D1943" s="2">
        <v>2.61</v>
      </c>
      <c r="E1943" s="2">
        <v>3386.0</v>
      </c>
      <c r="F1943" s="1" t="s">
        <v>2089</v>
      </c>
      <c r="G1943" s="1" t="s">
        <v>32</v>
      </c>
      <c r="H1943" s="1" t="s">
        <v>23</v>
      </c>
      <c r="I1943" s="1" t="s">
        <v>130</v>
      </c>
      <c r="J1943" s="1" t="s">
        <v>881</v>
      </c>
      <c r="K1943" s="19" t="s">
        <v>26</v>
      </c>
      <c r="L1943" s="20" t="s">
        <v>61</v>
      </c>
      <c r="M1943" s="21">
        <f t="shared" si="1"/>
        <v>7</v>
      </c>
      <c r="N1943" s="2">
        <v>19.5546</v>
      </c>
      <c r="O1943" s="2">
        <v>10.0</v>
      </c>
      <c r="P1943" s="2">
        <v>28.34</v>
      </c>
      <c r="Q1943" s="2">
        <v>88746.0</v>
      </c>
      <c r="R1943" s="15" t="b">
        <f>ISNUMBER(MATCH(Q1943,'Returned order'!A:A,0))</f>
        <v>0</v>
      </c>
      <c r="S1943" s="22">
        <v>42127.0</v>
      </c>
      <c r="T1943" s="15"/>
      <c r="U1943" s="15"/>
      <c r="V1943" s="15"/>
    </row>
    <row r="1944">
      <c r="A1944" s="2">
        <v>23191.0</v>
      </c>
      <c r="B1944" s="1" t="s">
        <v>58</v>
      </c>
      <c r="C1944" s="2">
        <v>0.04</v>
      </c>
      <c r="D1944" s="2">
        <v>25.38</v>
      </c>
      <c r="E1944" s="2">
        <v>3386.0</v>
      </c>
      <c r="F1944" s="1" t="s">
        <v>2089</v>
      </c>
      <c r="G1944" s="1" t="s">
        <v>32</v>
      </c>
      <c r="H1944" s="1" t="s">
        <v>37</v>
      </c>
      <c r="I1944" s="1" t="s">
        <v>42</v>
      </c>
      <c r="J1944" s="1" t="s">
        <v>629</v>
      </c>
      <c r="K1944" s="19" t="s">
        <v>26</v>
      </c>
      <c r="L1944" s="20" t="s">
        <v>61</v>
      </c>
      <c r="M1944" s="21">
        <f t="shared" si="1"/>
        <v>7</v>
      </c>
      <c r="N1944" s="2">
        <v>152.482</v>
      </c>
      <c r="O1944" s="2">
        <v>35.0</v>
      </c>
      <c r="P1944" s="2">
        <v>861.3</v>
      </c>
      <c r="Q1944" s="2">
        <v>88746.0</v>
      </c>
      <c r="R1944" s="15" t="b">
        <f>ISNUMBER(MATCH(Q1944,'Returned order'!A:A,0))</f>
        <v>0</v>
      </c>
      <c r="S1944" s="22">
        <v>42127.0</v>
      </c>
      <c r="T1944" s="15"/>
      <c r="U1944" s="15"/>
      <c r="V1944" s="15"/>
    </row>
    <row r="1945">
      <c r="A1945" s="2">
        <v>19464.0</v>
      </c>
      <c r="B1945" s="1" t="s">
        <v>49</v>
      </c>
      <c r="C1945" s="2">
        <v>0.03</v>
      </c>
      <c r="D1945" s="2">
        <v>95.99</v>
      </c>
      <c r="E1945" s="2">
        <v>3388.0</v>
      </c>
      <c r="F1945" s="1" t="s">
        <v>2090</v>
      </c>
      <c r="G1945" s="1" t="s">
        <v>32</v>
      </c>
      <c r="H1945" s="1" t="s">
        <v>23</v>
      </c>
      <c r="I1945" s="1" t="s">
        <v>120</v>
      </c>
      <c r="J1945" s="1" t="s">
        <v>1526</v>
      </c>
      <c r="K1945" s="19" t="s">
        <v>34</v>
      </c>
      <c r="L1945" s="20" t="s">
        <v>27</v>
      </c>
      <c r="M1945" s="21">
        <f t="shared" si="1"/>
        <v>1</v>
      </c>
      <c r="N1945" s="2">
        <v>67.012</v>
      </c>
      <c r="O1945" s="2">
        <v>9.0</v>
      </c>
      <c r="P1945" s="2">
        <v>894.64</v>
      </c>
      <c r="Q1945" s="2">
        <v>90154.0</v>
      </c>
      <c r="R1945" s="15" t="b">
        <f>ISNUMBER(MATCH(Q1945,'Returned order'!A:A,0))</f>
        <v>0</v>
      </c>
      <c r="S1945" s="22">
        <v>42135.0</v>
      </c>
      <c r="T1945" s="15"/>
      <c r="U1945" s="15"/>
      <c r="V1945" s="15"/>
    </row>
    <row r="1946">
      <c r="A1946" s="2">
        <v>18640.0</v>
      </c>
      <c r="B1946" s="1" t="s">
        <v>63</v>
      </c>
      <c r="C1946" s="2">
        <v>0.08</v>
      </c>
      <c r="D1946" s="2">
        <v>125.99</v>
      </c>
      <c r="E1946" s="2">
        <v>3393.0</v>
      </c>
      <c r="F1946" s="1" t="s">
        <v>2091</v>
      </c>
      <c r="G1946" s="1" t="s">
        <v>22</v>
      </c>
      <c r="H1946" s="1" t="s">
        <v>46</v>
      </c>
      <c r="I1946" s="1" t="s">
        <v>85</v>
      </c>
      <c r="J1946" s="1" t="s">
        <v>165</v>
      </c>
      <c r="K1946" s="19" t="s">
        <v>34</v>
      </c>
      <c r="L1946" s="20" t="s">
        <v>35</v>
      </c>
      <c r="M1946" s="21">
        <f t="shared" si="1"/>
        <v>3</v>
      </c>
      <c r="N1946" s="2">
        <v>374.625</v>
      </c>
      <c r="O1946" s="2">
        <v>7.0</v>
      </c>
      <c r="P1946" s="2">
        <v>710.36</v>
      </c>
      <c r="Q1946" s="2">
        <v>87908.0</v>
      </c>
      <c r="R1946" s="15" t="b">
        <f>ISNUMBER(MATCH(Q1946,'Returned order'!A:A,0))</f>
        <v>0</v>
      </c>
      <c r="S1946" s="22">
        <v>42123.0</v>
      </c>
      <c r="T1946" s="15"/>
      <c r="U1946" s="15"/>
      <c r="V1946" s="15"/>
    </row>
    <row r="1947">
      <c r="A1947" s="2">
        <v>19635.0</v>
      </c>
      <c r="B1947" s="1" t="s">
        <v>58</v>
      </c>
      <c r="C1947" s="2">
        <v>0.08</v>
      </c>
      <c r="D1947" s="2">
        <v>4.48</v>
      </c>
      <c r="E1947" s="2">
        <v>3393.0</v>
      </c>
      <c r="F1947" s="1" t="s">
        <v>2091</v>
      </c>
      <c r="G1947" s="1" t="s">
        <v>22</v>
      </c>
      <c r="H1947" s="1" t="s">
        <v>23</v>
      </c>
      <c r="I1947" s="1" t="s">
        <v>88</v>
      </c>
      <c r="J1947" s="1" t="s">
        <v>182</v>
      </c>
      <c r="K1947" s="19" t="s">
        <v>34</v>
      </c>
      <c r="L1947" s="20" t="s">
        <v>53</v>
      </c>
      <c r="M1947" s="21">
        <f t="shared" si="1"/>
        <v>6</v>
      </c>
      <c r="N1947" s="2">
        <v>-3.2448</v>
      </c>
      <c r="O1947" s="2">
        <v>19.0</v>
      </c>
      <c r="P1947" s="2">
        <v>80.2</v>
      </c>
      <c r="Q1947" s="2">
        <v>87909.0</v>
      </c>
      <c r="R1947" s="15" t="b">
        <f>ISNUMBER(MATCH(Q1947,'Returned order'!A:A,0))</f>
        <v>0</v>
      </c>
      <c r="S1947" s="22">
        <v>42049.0</v>
      </c>
      <c r="T1947" s="15"/>
      <c r="U1947" s="15"/>
      <c r="V1947" s="15"/>
    </row>
    <row r="1948">
      <c r="A1948" s="2">
        <v>20624.0</v>
      </c>
      <c r="B1948" s="1" t="s">
        <v>170</v>
      </c>
      <c r="C1948" s="2">
        <v>0.0</v>
      </c>
      <c r="D1948" s="2">
        <v>1270.99</v>
      </c>
      <c r="E1948" s="2">
        <v>3397.0</v>
      </c>
      <c r="F1948" s="1" t="s">
        <v>2092</v>
      </c>
      <c r="G1948" s="1" t="s">
        <v>66</v>
      </c>
      <c r="H1948" s="1" t="s">
        <v>23</v>
      </c>
      <c r="I1948" s="1" t="s">
        <v>24</v>
      </c>
      <c r="J1948" s="1" t="s">
        <v>541</v>
      </c>
      <c r="K1948" s="19" t="s">
        <v>68</v>
      </c>
      <c r="L1948" s="20" t="s">
        <v>61</v>
      </c>
      <c r="M1948" s="21">
        <f t="shared" si="1"/>
        <v>7</v>
      </c>
      <c r="N1948" s="2">
        <v>6384.4389</v>
      </c>
      <c r="O1948" s="2">
        <v>7.0</v>
      </c>
      <c r="P1948" s="2">
        <v>9252.81</v>
      </c>
      <c r="Q1948" s="2">
        <v>87535.0</v>
      </c>
      <c r="R1948" s="15" t="b">
        <f>ISNUMBER(MATCH(Q1948,'Returned order'!A:A,0))</f>
        <v>0</v>
      </c>
      <c r="S1948" s="22">
        <v>42162.0</v>
      </c>
      <c r="T1948" s="15"/>
      <c r="U1948" s="15"/>
      <c r="V1948" s="15"/>
    </row>
    <row r="1949">
      <c r="A1949" s="2">
        <v>19842.0</v>
      </c>
      <c r="B1949" s="1" t="s">
        <v>28</v>
      </c>
      <c r="C1949" s="2">
        <v>0.01</v>
      </c>
      <c r="D1949" s="2">
        <v>10.9</v>
      </c>
      <c r="E1949" s="2">
        <v>3397.0</v>
      </c>
      <c r="F1949" s="1" t="s">
        <v>2092</v>
      </c>
      <c r="G1949" s="1" t="s">
        <v>66</v>
      </c>
      <c r="H1949" s="1" t="s">
        <v>23</v>
      </c>
      <c r="I1949" s="1" t="s">
        <v>120</v>
      </c>
      <c r="J1949" s="1" t="s">
        <v>2093</v>
      </c>
      <c r="K1949" s="19" t="s">
        <v>68</v>
      </c>
      <c r="L1949" s="20" t="s">
        <v>35</v>
      </c>
      <c r="M1949" s="21">
        <f t="shared" si="1"/>
        <v>3</v>
      </c>
      <c r="N1949" s="2">
        <v>-116.76</v>
      </c>
      <c r="O1949" s="2">
        <v>18.0</v>
      </c>
      <c r="P1949" s="2">
        <v>207.31</v>
      </c>
      <c r="Q1949" s="2">
        <v>87536.0</v>
      </c>
      <c r="R1949" s="15" t="b">
        <f>ISNUMBER(MATCH(Q1949,'Returned order'!A:A,0))</f>
        <v>0</v>
      </c>
      <c r="S1949" s="22">
        <v>42074.0</v>
      </c>
      <c r="T1949" s="15"/>
      <c r="U1949" s="15"/>
      <c r="V1949" s="15"/>
    </row>
    <row r="1950">
      <c r="A1950" s="2">
        <v>19843.0</v>
      </c>
      <c r="B1950" s="1" t="s">
        <v>28</v>
      </c>
      <c r="C1950" s="2">
        <v>0.1</v>
      </c>
      <c r="D1950" s="2">
        <v>7.99</v>
      </c>
      <c r="E1950" s="2">
        <v>3397.0</v>
      </c>
      <c r="F1950" s="1" t="s">
        <v>2092</v>
      </c>
      <c r="G1950" s="1" t="s">
        <v>66</v>
      </c>
      <c r="H1950" s="1" t="s">
        <v>46</v>
      </c>
      <c r="I1950" s="1" t="s">
        <v>85</v>
      </c>
      <c r="J1950" s="1" t="s">
        <v>404</v>
      </c>
      <c r="K1950" s="19" t="s">
        <v>68</v>
      </c>
      <c r="L1950" s="20" t="s">
        <v>35</v>
      </c>
      <c r="M1950" s="21">
        <f t="shared" si="1"/>
        <v>3</v>
      </c>
      <c r="N1950" s="2">
        <v>-160.952</v>
      </c>
      <c r="O1950" s="2">
        <v>22.0</v>
      </c>
      <c r="P1950" s="2">
        <v>143.12</v>
      </c>
      <c r="Q1950" s="2">
        <v>87536.0</v>
      </c>
      <c r="R1950" s="15" t="b">
        <f>ISNUMBER(MATCH(Q1950,'Returned order'!A:A,0))</f>
        <v>0</v>
      </c>
      <c r="S1950" s="22">
        <v>42074.0</v>
      </c>
      <c r="T1950" s="15"/>
      <c r="U1950" s="15"/>
      <c r="V1950" s="15"/>
    </row>
    <row r="1951">
      <c r="A1951" s="2">
        <v>26208.0</v>
      </c>
      <c r="B1951" s="1" t="s">
        <v>49</v>
      </c>
      <c r="C1951" s="2">
        <v>0.08</v>
      </c>
      <c r="D1951" s="2">
        <v>11.97</v>
      </c>
      <c r="E1951" s="2">
        <v>3399.0</v>
      </c>
      <c r="F1951" s="1" t="s">
        <v>2094</v>
      </c>
      <c r="G1951" s="1" t="s">
        <v>66</v>
      </c>
      <c r="H1951" s="1" t="s">
        <v>23</v>
      </c>
      <c r="I1951" s="1" t="s">
        <v>29</v>
      </c>
      <c r="J1951" s="1" t="s">
        <v>2086</v>
      </c>
      <c r="K1951" s="19" t="s">
        <v>68</v>
      </c>
      <c r="L1951" s="20" t="s">
        <v>61</v>
      </c>
      <c r="M1951" s="21">
        <f t="shared" si="1"/>
        <v>7</v>
      </c>
      <c r="N1951" s="2">
        <v>-41.87</v>
      </c>
      <c r="O1951" s="2">
        <v>5.0</v>
      </c>
      <c r="P1951" s="2">
        <v>59.98</v>
      </c>
      <c r="Q1951" s="2">
        <v>87534.0</v>
      </c>
      <c r="R1951" s="15" t="b">
        <f>ISNUMBER(MATCH(Q1951,'Returned order'!A:A,0))</f>
        <v>0</v>
      </c>
      <c r="S1951" s="22">
        <v>42092.0</v>
      </c>
      <c r="T1951" s="15"/>
      <c r="U1951" s="15"/>
      <c r="V1951" s="15"/>
    </row>
    <row r="1952">
      <c r="A1952" s="2">
        <v>24911.0</v>
      </c>
      <c r="B1952" s="1" t="s">
        <v>63</v>
      </c>
      <c r="C1952" s="2">
        <v>0.1</v>
      </c>
      <c r="D1952" s="2">
        <v>9.38</v>
      </c>
      <c r="E1952" s="2">
        <v>3400.0</v>
      </c>
      <c r="F1952" s="1" t="s">
        <v>2095</v>
      </c>
      <c r="G1952" s="1" t="s">
        <v>66</v>
      </c>
      <c r="H1952" s="1" t="s">
        <v>37</v>
      </c>
      <c r="I1952" s="1" t="s">
        <v>42</v>
      </c>
      <c r="J1952" s="1" t="s">
        <v>2096</v>
      </c>
      <c r="K1952" s="19" t="s">
        <v>26</v>
      </c>
      <c r="L1952" s="20" t="s">
        <v>53</v>
      </c>
      <c r="M1952" s="21">
        <f t="shared" si="1"/>
        <v>6</v>
      </c>
      <c r="N1952" s="2">
        <v>-24.7104</v>
      </c>
      <c r="O1952" s="2">
        <v>15.0</v>
      </c>
      <c r="P1952" s="2">
        <v>135.78</v>
      </c>
      <c r="Q1952" s="2">
        <v>87537.0</v>
      </c>
      <c r="R1952" s="15" t="b">
        <f>ISNUMBER(MATCH(Q1952,'Returned order'!A:A,0))</f>
        <v>0</v>
      </c>
      <c r="S1952" s="22">
        <v>42098.0</v>
      </c>
      <c r="T1952" s="15"/>
      <c r="U1952" s="15"/>
      <c r="V1952" s="15"/>
    </row>
    <row r="1953">
      <c r="A1953" s="2">
        <v>25914.0</v>
      </c>
      <c r="B1953" s="1" t="s">
        <v>28</v>
      </c>
      <c r="C1953" s="2">
        <v>0.1</v>
      </c>
      <c r="D1953" s="2">
        <v>105.98</v>
      </c>
      <c r="E1953" s="2">
        <v>3403.0</v>
      </c>
      <c r="F1953" s="1" t="s">
        <v>2097</v>
      </c>
      <c r="G1953" s="1" t="s">
        <v>22</v>
      </c>
      <c r="H1953" s="1" t="s">
        <v>37</v>
      </c>
      <c r="I1953" s="1" t="s">
        <v>42</v>
      </c>
      <c r="J1953" s="1" t="s">
        <v>2098</v>
      </c>
      <c r="K1953" s="19" t="s">
        <v>34</v>
      </c>
      <c r="L1953" s="20" t="s">
        <v>61</v>
      </c>
      <c r="M1953" s="21">
        <f t="shared" si="1"/>
        <v>7</v>
      </c>
      <c r="N1953" s="2">
        <v>349.485</v>
      </c>
      <c r="O1953" s="2">
        <v>5.0</v>
      </c>
      <c r="P1953" s="2">
        <v>506.5</v>
      </c>
      <c r="Q1953" s="2">
        <v>87530.0</v>
      </c>
      <c r="R1953" s="15" t="b">
        <f>ISNUMBER(MATCH(Q1953,'Returned order'!A:A,0))</f>
        <v>0</v>
      </c>
      <c r="S1953" s="22">
        <v>42043.0</v>
      </c>
      <c r="T1953" s="15"/>
      <c r="U1953" s="15"/>
      <c r="V1953" s="15"/>
    </row>
    <row r="1954">
      <c r="A1954" s="15"/>
      <c r="B1954" s="15"/>
      <c r="C1954" s="15"/>
      <c r="D1954" s="15"/>
      <c r="E1954" s="15"/>
      <c r="F1954" s="15"/>
      <c r="G1954" s="15"/>
      <c r="H1954" s="15"/>
      <c r="I1954" s="15"/>
      <c r="J1954" s="15"/>
      <c r="K1954" s="15"/>
      <c r="L1954" s="51"/>
      <c r="M1954" s="52"/>
      <c r="N1954" s="15"/>
      <c r="O1954" s="15"/>
      <c r="P1954" s="15"/>
      <c r="Q1954" s="15"/>
      <c r="R1954" s="15"/>
      <c r="S1954" s="15"/>
      <c r="T1954" s="15"/>
      <c r="U1954" s="15"/>
      <c r="V1954" s="15"/>
    </row>
  </sheetData>
  <customSheetViews>
    <customSheetView guid="{4A7C7597-835F-4230-A362-E6F09E4395CA}" filter="1" showAutoFilter="1">
      <autoFilter ref="$A$1:$S$1953"/>
    </customSheetView>
    <customSheetView guid="{78B6CC87-D0ED-4304-AC36-B0F7BCB1043E}" filter="1" showAutoFilter="1">
      <autoFilter ref="$A$1:$S$1953"/>
    </customSheetView>
    <customSheetView guid="{78B6CC87-D0ED-4304-AC36-B0F7BCB1043E}" filter="1" showAutoFilter="1">
      <autoFilter ref="$D$1:$S$1953"/>
    </customSheetView>
    <customSheetView guid="{78B6CC87-D0ED-4304-AC36-B0F7BCB1043E}" filter="1" showAutoFilter="1">
      <autoFilter ref="$D$1:$S$195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v>65.0</v>
      </c>
      <c r="B2" s="1" t="s">
        <v>2</v>
      </c>
    </row>
    <row r="3">
      <c r="A3" s="2">
        <v>612.0</v>
      </c>
      <c r="B3" s="1" t="s">
        <v>2</v>
      </c>
    </row>
    <row r="4">
      <c r="A4" s="2">
        <v>614.0</v>
      </c>
      <c r="B4" s="1" t="s">
        <v>2</v>
      </c>
    </row>
    <row r="5">
      <c r="A5" s="2">
        <v>678.0</v>
      </c>
      <c r="B5" s="1" t="s">
        <v>2</v>
      </c>
    </row>
    <row r="6">
      <c r="A6" s="2">
        <v>710.0</v>
      </c>
      <c r="B6" s="1" t="s">
        <v>2</v>
      </c>
    </row>
    <row r="7">
      <c r="A7" s="2">
        <v>740.0</v>
      </c>
      <c r="B7" s="1" t="s">
        <v>2</v>
      </c>
    </row>
    <row r="8">
      <c r="A8" s="2">
        <v>775.0</v>
      </c>
      <c r="B8" s="1" t="s">
        <v>2</v>
      </c>
    </row>
    <row r="9">
      <c r="A9" s="2">
        <v>833.0</v>
      </c>
      <c r="B9" s="1" t="s">
        <v>2</v>
      </c>
    </row>
    <row r="10">
      <c r="A10" s="2">
        <v>902.0</v>
      </c>
      <c r="B10" s="1" t="s">
        <v>2</v>
      </c>
    </row>
    <row r="11">
      <c r="A11" s="2">
        <v>3300.0</v>
      </c>
      <c r="B11" s="1" t="s">
        <v>2</v>
      </c>
    </row>
    <row r="12">
      <c r="A12" s="2">
        <v>3456.0</v>
      </c>
      <c r="B12" s="1" t="s">
        <v>2</v>
      </c>
    </row>
    <row r="13">
      <c r="A13" s="2">
        <v>3525.0</v>
      </c>
      <c r="B13" s="1" t="s">
        <v>2</v>
      </c>
    </row>
    <row r="14">
      <c r="A14" s="2">
        <v>3589.0</v>
      </c>
      <c r="B14" s="1" t="s">
        <v>2</v>
      </c>
    </row>
    <row r="15">
      <c r="A15" s="2">
        <v>3687.0</v>
      </c>
      <c r="B15" s="1" t="s">
        <v>2</v>
      </c>
    </row>
    <row r="16">
      <c r="A16" s="2">
        <v>3777.0</v>
      </c>
      <c r="B16" s="1" t="s">
        <v>2</v>
      </c>
    </row>
    <row r="17">
      <c r="A17" s="2">
        <v>3783.0</v>
      </c>
      <c r="B17" s="1" t="s">
        <v>2</v>
      </c>
    </row>
    <row r="18">
      <c r="A18" s="2">
        <v>4006.0</v>
      </c>
      <c r="B18" s="1" t="s">
        <v>2</v>
      </c>
    </row>
    <row r="19">
      <c r="A19" s="2">
        <v>4037.0</v>
      </c>
      <c r="B19" s="1" t="s">
        <v>2</v>
      </c>
    </row>
    <row r="20">
      <c r="A20" s="2">
        <v>4230.0</v>
      </c>
      <c r="B20" s="1" t="s">
        <v>2</v>
      </c>
    </row>
    <row r="21">
      <c r="A21" s="2">
        <v>4261.0</v>
      </c>
      <c r="B21" s="1" t="s">
        <v>2</v>
      </c>
    </row>
    <row r="22">
      <c r="A22" s="2">
        <v>4391.0</v>
      </c>
      <c r="B22" s="1" t="s">
        <v>2</v>
      </c>
    </row>
    <row r="23">
      <c r="A23" s="2">
        <v>4610.0</v>
      </c>
      <c r="B23" s="1" t="s">
        <v>2</v>
      </c>
    </row>
    <row r="24">
      <c r="A24" s="2">
        <v>4738.0</v>
      </c>
      <c r="B24" s="1" t="s">
        <v>2</v>
      </c>
    </row>
    <row r="25">
      <c r="A25" s="2">
        <v>4864.0</v>
      </c>
      <c r="B25" s="1" t="s">
        <v>2</v>
      </c>
    </row>
    <row r="26">
      <c r="A26" s="2">
        <v>4960.0</v>
      </c>
      <c r="B26" s="1" t="s">
        <v>2</v>
      </c>
    </row>
    <row r="27">
      <c r="A27" s="2">
        <v>5028.0</v>
      </c>
      <c r="B27" s="1" t="s">
        <v>2</v>
      </c>
    </row>
    <row r="28">
      <c r="A28" s="2">
        <v>5059.0</v>
      </c>
      <c r="B28" s="1" t="s">
        <v>2</v>
      </c>
    </row>
    <row r="29">
      <c r="A29" s="2">
        <v>5061.0</v>
      </c>
      <c r="B29" s="1" t="s">
        <v>2</v>
      </c>
    </row>
    <row r="30">
      <c r="A30" s="2">
        <v>5189.0</v>
      </c>
      <c r="B30" s="1" t="s">
        <v>2</v>
      </c>
    </row>
    <row r="31">
      <c r="A31" s="2">
        <v>5381.0</v>
      </c>
      <c r="B31" s="1" t="s">
        <v>2</v>
      </c>
    </row>
    <row r="32">
      <c r="A32" s="2">
        <v>5414.0</v>
      </c>
      <c r="B32" s="1" t="s">
        <v>2</v>
      </c>
    </row>
    <row r="33">
      <c r="A33" s="2">
        <v>5511.0</v>
      </c>
      <c r="B33" s="1" t="s">
        <v>2</v>
      </c>
    </row>
    <row r="34">
      <c r="A34" s="2">
        <v>5699.0</v>
      </c>
      <c r="B34" s="1" t="s">
        <v>2</v>
      </c>
    </row>
    <row r="35">
      <c r="A35" s="2">
        <v>6054.0</v>
      </c>
      <c r="B35" s="1" t="s">
        <v>2</v>
      </c>
    </row>
    <row r="36">
      <c r="A36" s="2">
        <v>6241.0</v>
      </c>
      <c r="B36" s="1" t="s">
        <v>2</v>
      </c>
    </row>
    <row r="37">
      <c r="A37" s="2">
        <v>6272.0</v>
      </c>
      <c r="B37" s="1" t="s">
        <v>2</v>
      </c>
    </row>
    <row r="38">
      <c r="A38" s="2">
        <v>6498.0</v>
      </c>
      <c r="B38" s="1" t="s">
        <v>2</v>
      </c>
    </row>
    <row r="39">
      <c r="A39" s="2">
        <v>6500.0</v>
      </c>
      <c r="B39" s="1" t="s">
        <v>2</v>
      </c>
    </row>
    <row r="40">
      <c r="A40" s="2">
        <v>6502.0</v>
      </c>
      <c r="B40" s="1" t="s">
        <v>2</v>
      </c>
    </row>
    <row r="41">
      <c r="A41" s="2">
        <v>6661.0</v>
      </c>
      <c r="B41" s="1" t="s">
        <v>2</v>
      </c>
    </row>
    <row r="42">
      <c r="A42" s="2">
        <v>6695.0</v>
      </c>
      <c r="B42" s="1" t="s">
        <v>2</v>
      </c>
    </row>
    <row r="43">
      <c r="A43" s="2">
        <v>6757.0</v>
      </c>
      <c r="B43" s="1" t="s">
        <v>2</v>
      </c>
    </row>
    <row r="44">
      <c r="A44" s="2">
        <v>6978.0</v>
      </c>
      <c r="B44" s="1" t="s">
        <v>2</v>
      </c>
    </row>
    <row r="45">
      <c r="A45" s="2">
        <v>6979.0</v>
      </c>
      <c r="B45" s="1" t="s">
        <v>2</v>
      </c>
    </row>
    <row r="46">
      <c r="A46" s="2">
        <v>7079.0</v>
      </c>
      <c r="B46" s="1" t="s">
        <v>2</v>
      </c>
    </row>
    <row r="47">
      <c r="A47" s="2">
        <v>7107.0</v>
      </c>
      <c r="B47" s="1" t="s">
        <v>2</v>
      </c>
    </row>
    <row r="48">
      <c r="A48" s="2">
        <v>7203.0</v>
      </c>
      <c r="B48" s="1" t="s">
        <v>2</v>
      </c>
    </row>
    <row r="49">
      <c r="A49" s="2">
        <v>7269.0</v>
      </c>
      <c r="B49" s="1" t="s">
        <v>2</v>
      </c>
    </row>
    <row r="50">
      <c r="A50" s="2">
        <v>7364.0</v>
      </c>
      <c r="B50" s="1" t="s">
        <v>2</v>
      </c>
    </row>
    <row r="51">
      <c r="A51" s="2">
        <v>7521.0</v>
      </c>
      <c r="B51" s="1" t="s">
        <v>2</v>
      </c>
    </row>
    <row r="52">
      <c r="A52" s="2">
        <v>7744.0</v>
      </c>
      <c r="B52" s="1" t="s">
        <v>2</v>
      </c>
    </row>
    <row r="53">
      <c r="A53" s="2">
        <v>7812.0</v>
      </c>
      <c r="B53" s="1" t="s">
        <v>2</v>
      </c>
    </row>
    <row r="54">
      <c r="A54" s="2">
        <v>7815.0</v>
      </c>
      <c r="B54" s="1" t="s">
        <v>2</v>
      </c>
    </row>
    <row r="55">
      <c r="A55" s="2">
        <v>7841.0</v>
      </c>
      <c r="B55" s="1" t="s">
        <v>2</v>
      </c>
    </row>
    <row r="56">
      <c r="A56" s="2">
        <v>7845.0</v>
      </c>
      <c r="B56" s="1" t="s">
        <v>2</v>
      </c>
    </row>
    <row r="57">
      <c r="A57" s="2">
        <v>8034.0</v>
      </c>
      <c r="B57" s="1" t="s">
        <v>2</v>
      </c>
    </row>
    <row r="58">
      <c r="A58" s="2">
        <v>8133.0</v>
      </c>
      <c r="B58" s="1" t="s">
        <v>2</v>
      </c>
    </row>
    <row r="59">
      <c r="A59" s="2">
        <v>8292.0</v>
      </c>
      <c r="B59" s="1" t="s">
        <v>2</v>
      </c>
    </row>
    <row r="60">
      <c r="A60" s="2">
        <v>8293.0</v>
      </c>
      <c r="B60" s="1" t="s">
        <v>2</v>
      </c>
    </row>
    <row r="61">
      <c r="A61" s="2">
        <v>8353.0</v>
      </c>
      <c r="B61" s="1" t="s">
        <v>2</v>
      </c>
    </row>
    <row r="62">
      <c r="A62" s="2">
        <v>8961.0</v>
      </c>
      <c r="B62" s="1" t="s">
        <v>2</v>
      </c>
    </row>
    <row r="63">
      <c r="A63" s="2">
        <v>9027.0</v>
      </c>
      <c r="B63" s="1" t="s">
        <v>2</v>
      </c>
    </row>
    <row r="64">
      <c r="A64" s="2">
        <v>9093.0</v>
      </c>
      <c r="B64" s="1" t="s">
        <v>2</v>
      </c>
    </row>
    <row r="65">
      <c r="A65" s="2">
        <v>9152.0</v>
      </c>
      <c r="B65" s="1" t="s">
        <v>2</v>
      </c>
    </row>
    <row r="66">
      <c r="A66" s="2">
        <v>9219.0</v>
      </c>
      <c r="B66" s="1" t="s">
        <v>2</v>
      </c>
    </row>
    <row r="67">
      <c r="A67" s="2">
        <v>9472.0</v>
      </c>
      <c r="B67" s="1" t="s">
        <v>2</v>
      </c>
    </row>
    <row r="68">
      <c r="A68" s="2">
        <v>9574.0</v>
      </c>
      <c r="B68" s="1" t="s">
        <v>2</v>
      </c>
    </row>
    <row r="69">
      <c r="A69" s="2">
        <v>9696.0</v>
      </c>
      <c r="B69" s="1" t="s">
        <v>2</v>
      </c>
    </row>
    <row r="70">
      <c r="A70" s="2">
        <v>9701.0</v>
      </c>
      <c r="B70" s="1" t="s">
        <v>2</v>
      </c>
    </row>
    <row r="71">
      <c r="A71" s="2">
        <v>9762.0</v>
      </c>
      <c r="B71" s="1" t="s">
        <v>2</v>
      </c>
    </row>
    <row r="72">
      <c r="A72" s="2">
        <v>9829.0</v>
      </c>
      <c r="B72" s="1" t="s">
        <v>2</v>
      </c>
    </row>
    <row r="73">
      <c r="A73" s="2">
        <v>9895.0</v>
      </c>
      <c r="B73" s="1" t="s">
        <v>2</v>
      </c>
    </row>
    <row r="74">
      <c r="A74" s="2">
        <v>9923.0</v>
      </c>
      <c r="B74" s="1" t="s">
        <v>2</v>
      </c>
    </row>
    <row r="75">
      <c r="A75" s="2">
        <v>9927.0</v>
      </c>
      <c r="B75" s="1" t="s">
        <v>2</v>
      </c>
    </row>
    <row r="76">
      <c r="A76" s="2">
        <v>10054.0</v>
      </c>
      <c r="B76" s="1" t="s">
        <v>2</v>
      </c>
    </row>
    <row r="77">
      <c r="A77" s="2">
        <v>10183.0</v>
      </c>
      <c r="B77" s="1" t="s">
        <v>2</v>
      </c>
    </row>
    <row r="78">
      <c r="A78" s="2">
        <v>10498.0</v>
      </c>
      <c r="B78" s="1" t="s">
        <v>2</v>
      </c>
    </row>
    <row r="79">
      <c r="A79" s="2">
        <v>10662.0</v>
      </c>
      <c r="B79" s="1" t="s">
        <v>2</v>
      </c>
    </row>
    <row r="80">
      <c r="A80" s="2">
        <v>10917.0</v>
      </c>
      <c r="B80" s="1" t="s">
        <v>2</v>
      </c>
    </row>
    <row r="81">
      <c r="A81" s="2">
        <v>11271.0</v>
      </c>
      <c r="B81" s="1" t="s">
        <v>2</v>
      </c>
    </row>
    <row r="82">
      <c r="A82" s="2">
        <v>11396.0</v>
      </c>
      <c r="B82" s="1" t="s">
        <v>2</v>
      </c>
    </row>
    <row r="83">
      <c r="A83" s="2">
        <v>11425.0</v>
      </c>
      <c r="B83" s="1" t="s">
        <v>2</v>
      </c>
    </row>
    <row r="84">
      <c r="A84" s="2">
        <v>11426.0</v>
      </c>
      <c r="B84" s="1" t="s">
        <v>2</v>
      </c>
    </row>
    <row r="85">
      <c r="A85" s="2">
        <v>11648.0</v>
      </c>
      <c r="B85" s="1" t="s">
        <v>2</v>
      </c>
    </row>
    <row r="86">
      <c r="A86" s="2">
        <v>11652.0</v>
      </c>
      <c r="B86" s="1" t="s">
        <v>2</v>
      </c>
    </row>
    <row r="87">
      <c r="A87" s="2">
        <v>11682.0</v>
      </c>
      <c r="B87" s="1" t="s">
        <v>2</v>
      </c>
    </row>
    <row r="88">
      <c r="A88" s="2">
        <v>11748.0</v>
      </c>
      <c r="B88" s="1" t="s">
        <v>2</v>
      </c>
    </row>
    <row r="89">
      <c r="A89" s="2">
        <v>11909.0</v>
      </c>
      <c r="B89" s="1" t="s">
        <v>2</v>
      </c>
    </row>
    <row r="90">
      <c r="A90" s="2">
        <v>11911.0</v>
      </c>
      <c r="B90" s="1" t="s">
        <v>2</v>
      </c>
    </row>
    <row r="91">
      <c r="A91" s="2">
        <v>12005.0</v>
      </c>
      <c r="B91" s="1" t="s">
        <v>2</v>
      </c>
    </row>
    <row r="92">
      <c r="A92" s="2">
        <v>12067.0</v>
      </c>
      <c r="B92" s="1" t="s">
        <v>2</v>
      </c>
    </row>
    <row r="93">
      <c r="A93" s="2">
        <v>12096.0</v>
      </c>
      <c r="B93" s="1" t="s">
        <v>2</v>
      </c>
    </row>
    <row r="94">
      <c r="A94" s="2">
        <v>12262.0</v>
      </c>
      <c r="B94" s="1" t="s">
        <v>2</v>
      </c>
    </row>
    <row r="95">
      <c r="A95" s="2">
        <v>12263.0</v>
      </c>
      <c r="B95" s="1" t="s">
        <v>2</v>
      </c>
    </row>
    <row r="96">
      <c r="A96" s="2">
        <v>12389.0</v>
      </c>
      <c r="B96" s="1" t="s">
        <v>2</v>
      </c>
    </row>
    <row r="97">
      <c r="A97" s="2">
        <v>12451.0</v>
      </c>
      <c r="B97" s="1" t="s">
        <v>2</v>
      </c>
    </row>
    <row r="98">
      <c r="A98" s="2">
        <v>12483.0</v>
      </c>
      <c r="B98" s="1" t="s">
        <v>2</v>
      </c>
    </row>
    <row r="99">
      <c r="A99" s="2">
        <v>12580.0</v>
      </c>
      <c r="B99" s="1" t="s">
        <v>2</v>
      </c>
    </row>
    <row r="100">
      <c r="A100" s="2">
        <v>12613.0</v>
      </c>
      <c r="B100" s="1" t="s">
        <v>2</v>
      </c>
    </row>
    <row r="101">
      <c r="A101" s="2">
        <v>12704.0</v>
      </c>
      <c r="B101" s="1" t="s">
        <v>2</v>
      </c>
    </row>
    <row r="102">
      <c r="A102" s="2">
        <v>12706.0</v>
      </c>
      <c r="B102" s="1" t="s">
        <v>2</v>
      </c>
    </row>
    <row r="103">
      <c r="A103" s="2">
        <v>12710.0</v>
      </c>
      <c r="B103" s="1" t="s">
        <v>2</v>
      </c>
    </row>
    <row r="104">
      <c r="A104" s="2">
        <v>12806.0</v>
      </c>
      <c r="B104" s="1" t="s">
        <v>2</v>
      </c>
    </row>
    <row r="105">
      <c r="A105" s="2">
        <v>12900.0</v>
      </c>
      <c r="B105" s="1" t="s">
        <v>2</v>
      </c>
    </row>
    <row r="106">
      <c r="A106" s="2">
        <v>12903.0</v>
      </c>
      <c r="B106" s="1" t="s">
        <v>2</v>
      </c>
    </row>
    <row r="107">
      <c r="A107" s="2">
        <v>13091.0</v>
      </c>
      <c r="B107" s="1" t="s">
        <v>2</v>
      </c>
    </row>
    <row r="108">
      <c r="A108" s="2">
        <v>13158.0</v>
      </c>
      <c r="B108" s="1" t="s">
        <v>2</v>
      </c>
    </row>
    <row r="109">
      <c r="A109" s="2">
        <v>13218.0</v>
      </c>
      <c r="B109" s="1" t="s">
        <v>2</v>
      </c>
    </row>
    <row r="110">
      <c r="A110" s="2">
        <v>13284.0</v>
      </c>
      <c r="B110" s="1" t="s">
        <v>2</v>
      </c>
    </row>
    <row r="111">
      <c r="A111" s="2">
        <v>13410.0</v>
      </c>
      <c r="B111" s="1" t="s">
        <v>2</v>
      </c>
    </row>
    <row r="112">
      <c r="A112" s="2">
        <v>13444.0</v>
      </c>
      <c r="B112" s="1" t="s">
        <v>2</v>
      </c>
    </row>
    <row r="113">
      <c r="A113" s="2">
        <v>13638.0</v>
      </c>
      <c r="B113" s="1" t="s">
        <v>2</v>
      </c>
    </row>
    <row r="114">
      <c r="A114" s="2">
        <v>13729.0</v>
      </c>
      <c r="B114" s="1" t="s">
        <v>2</v>
      </c>
    </row>
    <row r="115">
      <c r="A115" s="2">
        <v>13765.0</v>
      </c>
      <c r="B115" s="1" t="s">
        <v>2</v>
      </c>
    </row>
    <row r="116">
      <c r="A116" s="2">
        <v>13959.0</v>
      </c>
      <c r="B116" s="1" t="s">
        <v>2</v>
      </c>
    </row>
    <row r="117">
      <c r="A117" s="2">
        <v>13984.0</v>
      </c>
      <c r="B117" s="1" t="s">
        <v>2</v>
      </c>
    </row>
    <row r="118">
      <c r="A118" s="2">
        <v>13986.0</v>
      </c>
      <c r="B118" s="1" t="s">
        <v>2</v>
      </c>
    </row>
    <row r="119">
      <c r="A119" s="2">
        <v>14176.0</v>
      </c>
      <c r="B119" s="1" t="s">
        <v>2</v>
      </c>
    </row>
    <row r="120">
      <c r="A120" s="2">
        <v>14242.0</v>
      </c>
      <c r="B120" s="1" t="s">
        <v>2</v>
      </c>
    </row>
    <row r="121">
      <c r="A121" s="2">
        <v>14406.0</v>
      </c>
      <c r="B121" s="1" t="s">
        <v>2</v>
      </c>
    </row>
    <row r="122">
      <c r="A122" s="2">
        <v>14497.0</v>
      </c>
      <c r="B122" s="1" t="s">
        <v>2</v>
      </c>
    </row>
    <row r="123">
      <c r="A123" s="2">
        <v>14528.0</v>
      </c>
      <c r="B123" s="1" t="s">
        <v>2</v>
      </c>
    </row>
    <row r="124">
      <c r="A124" s="2">
        <v>14534.0</v>
      </c>
      <c r="B124" s="1" t="s">
        <v>2</v>
      </c>
    </row>
    <row r="125">
      <c r="A125" s="2">
        <v>14820.0</v>
      </c>
      <c r="B125" s="1" t="s">
        <v>2</v>
      </c>
    </row>
    <row r="126">
      <c r="A126" s="2">
        <v>14951.0</v>
      </c>
      <c r="B126" s="1" t="s">
        <v>2</v>
      </c>
    </row>
    <row r="127">
      <c r="A127" s="2">
        <v>15009.0</v>
      </c>
      <c r="B127" s="1" t="s">
        <v>2</v>
      </c>
    </row>
    <row r="128">
      <c r="A128" s="2">
        <v>15106.0</v>
      </c>
      <c r="B128" s="1" t="s">
        <v>2</v>
      </c>
    </row>
    <row r="129">
      <c r="A129" s="2">
        <v>15202.0</v>
      </c>
      <c r="B129" s="1" t="s">
        <v>2</v>
      </c>
    </row>
    <row r="130">
      <c r="A130" s="2">
        <v>15206.0</v>
      </c>
      <c r="B130" s="1" t="s">
        <v>2</v>
      </c>
    </row>
    <row r="131">
      <c r="A131" s="2">
        <v>15303.0</v>
      </c>
      <c r="B131" s="1" t="s">
        <v>2</v>
      </c>
    </row>
    <row r="132">
      <c r="A132" s="2">
        <v>15712.0</v>
      </c>
      <c r="B132" s="1" t="s">
        <v>2</v>
      </c>
    </row>
    <row r="133">
      <c r="A133" s="2">
        <v>15718.0</v>
      </c>
      <c r="B133" s="1" t="s">
        <v>2</v>
      </c>
    </row>
    <row r="134">
      <c r="A134" s="2">
        <v>15778.0</v>
      </c>
      <c r="B134" s="1" t="s">
        <v>2</v>
      </c>
    </row>
    <row r="135">
      <c r="A135" s="2">
        <v>15872.0</v>
      </c>
      <c r="B135" s="1" t="s">
        <v>2</v>
      </c>
    </row>
    <row r="136">
      <c r="A136" s="2">
        <v>15904.0</v>
      </c>
      <c r="B136" s="1" t="s">
        <v>2</v>
      </c>
    </row>
    <row r="137">
      <c r="A137" s="2">
        <v>16134.0</v>
      </c>
      <c r="B137" s="1" t="s">
        <v>2</v>
      </c>
    </row>
    <row r="138">
      <c r="A138" s="2">
        <v>16582.0</v>
      </c>
      <c r="B138" s="1" t="s">
        <v>2</v>
      </c>
    </row>
    <row r="139">
      <c r="A139" s="2">
        <v>16641.0</v>
      </c>
      <c r="B139" s="1" t="s">
        <v>2</v>
      </c>
    </row>
    <row r="140">
      <c r="A140" s="2">
        <v>16679.0</v>
      </c>
      <c r="B140" s="1" t="s">
        <v>2</v>
      </c>
    </row>
    <row r="141">
      <c r="A141" s="2">
        <v>16864.0</v>
      </c>
      <c r="B141" s="1" t="s">
        <v>2</v>
      </c>
    </row>
    <row r="142">
      <c r="A142" s="2">
        <v>16961.0</v>
      </c>
      <c r="B142" s="1" t="s">
        <v>2</v>
      </c>
    </row>
    <row r="143">
      <c r="A143" s="2">
        <v>17058.0</v>
      </c>
      <c r="B143" s="1" t="s">
        <v>2</v>
      </c>
    </row>
    <row r="144">
      <c r="A144" s="2">
        <v>17155.0</v>
      </c>
      <c r="B144" s="1" t="s">
        <v>2</v>
      </c>
    </row>
    <row r="145">
      <c r="A145" s="2">
        <v>17255.0</v>
      </c>
      <c r="B145" s="1" t="s">
        <v>2</v>
      </c>
    </row>
    <row r="146">
      <c r="A146" s="2">
        <v>17282.0</v>
      </c>
      <c r="B146" s="1" t="s">
        <v>2</v>
      </c>
    </row>
    <row r="147">
      <c r="A147" s="2">
        <v>17313.0</v>
      </c>
      <c r="B147" s="1" t="s">
        <v>2</v>
      </c>
    </row>
    <row r="148">
      <c r="A148" s="2">
        <v>17508.0</v>
      </c>
      <c r="B148" s="1" t="s">
        <v>2</v>
      </c>
    </row>
    <row r="149">
      <c r="A149" s="2">
        <v>17668.0</v>
      </c>
      <c r="B149" s="1" t="s">
        <v>2</v>
      </c>
    </row>
    <row r="150">
      <c r="A150" s="2">
        <v>17858.0</v>
      </c>
      <c r="B150" s="1" t="s">
        <v>2</v>
      </c>
    </row>
    <row r="151">
      <c r="A151" s="2">
        <v>17985.0</v>
      </c>
      <c r="B151" s="1" t="s">
        <v>2</v>
      </c>
    </row>
    <row r="152">
      <c r="A152" s="2">
        <v>17988.0</v>
      </c>
      <c r="B152" s="1" t="s">
        <v>2</v>
      </c>
    </row>
    <row r="153">
      <c r="A153" s="2">
        <v>18119.0</v>
      </c>
      <c r="B153" s="1" t="s">
        <v>2</v>
      </c>
    </row>
    <row r="154">
      <c r="A154" s="2">
        <v>18215.0</v>
      </c>
      <c r="B154" s="1" t="s">
        <v>2</v>
      </c>
    </row>
    <row r="155">
      <c r="A155" s="2">
        <v>18336.0</v>
      </c>
      <c r="B155" s="1" t="s">
        <v>2</v>
      </c>
    </row>
    <row r="156">
      <c r="A156" s="2">
        <v>18496.0</v>
      </c>
      <c r="B156" s="1" t="s">
        <v>2</v>
      </c>
    </row>
    <row r="157">
      <c r="A157" s="2">
        <v>18533.0</v>
      </c>
      <c r="B157" s="1" t="s">
        <v>2</v>
      </c>
    </row>
    <row r="158">
      <c r="A158" s="2">
        <v>18593.0</v>
      </c>
      <c r="B158" s="1" t="s">
        <v>2</v>
      </c>
    </row>
    <row r="159">
      <c r="A159" s="2">
        <v>18661.0</v>
      </c>
      <c r="B159" s="1" t="s">
        <v>2</v>
      </c>
    </row>
    <row r="160">
      <c r="A160" s="2">
        <v>18689.0</v>
      </c>
      <c r="B160" s="1" t="s">
        <v>2</v>
      </c>
    </row>
    <row r="161">
      <c r="A161" s="2">
        <v>18753.0</v>
      </c>
      <c r="B161" s="1" t="s">
        <v>2</v>
      </c>
    </row>
    <row r="162">
      <c r="A162" s="2">
        <v>18822.0</v>
      </c>
      <c r="B162" s="1" t="s">
        <v>2</v>
      </c>
    </row>
    <row r="163">
      <c r="A163" s="2">
        <v>18919.0</v>
      </c>
      <c r="B163" s="1" t="s">
        <v>2</v>
      </c>
    </row>
    <row r="164">
      <c r="A164" s="2">
        <v>19010.0</v>
      </c>
      <c r="B164" s="1" t="s">
        <v>2</v>
      </c>
    </row>
    <row r="165">
      <c r="A165" s="2">
        <v>19078.0</v>
      </c>
      <c r="B165" s="1" t="s">
        <v>2</v>
      </c>
    </row>
    <row r="166">
      <c r="A166" s="2">
        <v>19138.0</v>
      </c>
      <c r="B166" s="1" t="s">
        <v>2</v>
      </c>
    </row>
    <row r="167">
      <c r="A167" s="2">
        <v>19523.0</v>
      </c>
      <c r="B167" s="1" t="s">
        <v>2</v>
      </c>
    </row>
    <row r="168">
      <c r="A168" s="2">
        <v>19616.0</v>
      </c>
      <c r="B168" s="1" t="s">
        <v>2</v>
      </c>
    </row>
    <row r="169">
      <c r="A169" s="2">
        <v>19718.0</v>
      </c>
      <c r="B169" s="1" t="s">
        <v>2</v>
      </c>
    </row>
    <row r="170">
      <c r="A170" s="2">
        <v>20036.0</v>
      </c>
      <c r="B170" s="1" t="s">
        <v>2</v>
      </c>
    </row>
    <row r="171">
      <c r="A171" s="2">
        <v>20134.0</v>
      </c>
      <c r="B171" s="1" t="s">
        <v>2</v>
      </c>
    </row>
    <row r="172">
      <c r="A172" s="2">
        <v>20389.0</v>
      </c>
      <c r="B172" s="1" t="s">
        <v>2</v>
      </c>
    </row>
    <row r="173">
      <c r="A173" s="2">
        <v>20453.0</v>
      </c>
      <c r="B173" s="1" t="s">
        <v>2</v>
      </c>
    </row>
    <row r="174">
      <c r="A174" s="2">
        <v>20480.0</v>
      </c>
      <c r="B174" s="1" t="s">
        <v>2</v>
      </c>
    </row>
    <row r="175">
      <c r="A175" s="2">
        <v>20486.0</v>
      </c>
      <c r="B175" s="1" t="s">
        <v>2</v>
      </c>
    </row>
    <row r="176">
      <c r="A176" s="2">
        <v>20704.0</v>
      </c>
      <c r="B176" s="1" t="s">
        <v>2</v>
      </c>
    </row>
    <row r="177">
      <c r="A177" s="2">
        <v>20743.0</v>
      </c>
      <c r="B177" s="1" t="s">
        <v>2</v>
      </c>
    </row>
    <row r="178">
      <c r="A178" s="2">
        <v>20864.0</v>
      </c>
      <c r="B178" s="1" t="s">
        <v>2</v>
      </c>
    </row>
    <row r="179">
      <c r="A179" s="2">
        <v>20899.0</v>
      </c>
      <c r="B179" s="1" t="s">
        <v>2</v>
      </c>
    </row>
    <row r="180">
      <c r="A180" s="2">
        <v>20934.0</v>
      </c>
      <c r="B180" s="1" t="s">
        <v>2</v>
      </c>
    </row>
    <row r="181">
      <c r="A181" s="2">
        <v>21222.0</v>
      </c>
      <c r="B181" s="1" t="s">
        <v>2</v>
      </c>
    </row>
    <row r="182">
      <c r="A182" s="2">
        <v>21286.0</v>
      </c>
      <c r="B182" s="1" t="s">
        <v>2</v>
      </c>
    </row>
    <row r="183">
      <c r="A183" s="2">
        <v>21346.0</v>
      </c>
      <c r="B183" s="1" t="s">
        <v>2</v>
      </c>
    </row>
    <row r="184">
      <c r="A184" s="2">
        <v>21383.0</v>
      </c>
      <c r="B184" s="1" t="s">
        <v>2</v>
      </c>
    </row>
    <row r="185">
      <c r="A185" s="2">
        <v>21729.0</v>
      </c>
      <c r="B185" s="1" t="s">
        <v>2</v>
      </c>
    </row>
    <row r="186">
      <c r="A186" s="2">
        <v>21824.0</v>
      </c>
      <c r="B186" s="1" t="s">
        <v>2</v>
      </c>
    </row>
    <row r="187">
      <c r="A187" s="2">
        <v>21890.0</v>
      </c>
      <c r="B187" s="1" t="s">
        <v>2</v>
      </c>
    </row>
    <row r="188">
      <c r="A188" s="2">
        <v>22181.0</v>
      </c>
      <c r="B188" s="1" t="s">
        <v>2</v>
      </c>
    </row>
    <row r="189">
      <c r="A189" s="2">
        <v>22402.0</v>
      </c>
      <c r="B189" s="1" t="s">
        <v>2</v>
      </c>
    </row>
    <row r="190">
      <c r="A190" s="2">
        <v>22627.0</v>
      </c>
      <c r="B190" s="1" t="s">
        <v>2</v>
      </c>
    </row>
    <row r="191">
      <c r="A191" s="2">
        <v>22656.0</v>
      </c>
      <c r="B191" s="1" t="s">
        <v>2</v>
      </c>
    </row>
    <row r="192">
      <c r="A192" s="2">
        <v>22661.0</v>
      </c>
      <c r="B192" s="1" t="s">
        <v>2</v>
      </c>
    </row>
    <row r="193">
      <c r="A193" s="2">
        <v>22787.0</v>
      </c>
      <c r="B193" s="1" t="s">
        <v>2</v>
      </c>
    </row>
    <row r="194">
      <c r="A194" s="2">
        <v>22820.0</v>
      </c>
      <c r="B194" s="1" t="s">
        <v>2</v>
      </c>
    </row>
    <row r="195">
      <c r="A195" s="2">
        <v>22947.0</v>
      </c>
      <c r="B195" s="1" t="s">
        <v>2</v>
      </c>
    </row>
    <row r="196">
      <c r="A196" s="2">
        <v>22950.0</v>
      </c>
      <c r="B196" s="1" t="s">
        <v>2</v>
      </c>
    </row>
    <row r="197">
      <c r="A197" s="2">
        <v>23076.0</v>
      </c>
      <c r="B197" s="1" t="s">
        <v>2</v>
      </c>
    </row>
    <row r="198">
      <c r="A198" s="2">
        <v>23168.0</v>
      </c>
      <c r="B198" s="1" t="s">
        <v>2</v>
      </c>
    </row>
    <row r="199">
      <c r="A199" s="2">
        <v>23488.0</v>
      </c>
      <c r="B199" s="1" t="s">
        <v>2</v>
      </c>
    </row>
    <row r="200">
      <c r="A200" s="2">
        <v>23557.0</v>
      </c>
      <c r="B200" s="1" t="s">
        <v>2</v>
      </c>
    </row>
    <row r="201">
      <c r="A201" s="2">
        <v>23559.0</v>
      </c>
      <c r="B201" s="1" t="s">
        <v>2</v>
      </c>
    </row>
    <row r="202">
      <c r="A202" s="2">
        <v>23616.0</v>
      </c>
      <c r="B202" s="1" t="s">
        <v>2</v>
      </c>
    </row>
    <row r="203">
      <c r="A203" s="2">
        <v>23619.0</v>
      </c>
      <c r="B203" s="1" t="s">
        <v>2</v>
      </c>
    </row>
    <row r="204">
      <c r="A204" s="2">
        <v>23748.0</v>
      </c>
      <c r="B204" s="1" t="s">
        <v>2</v>
      </c>
    </row>
    <row r="205">
      <c r="A205" s="2">
        <v>24066.0</v>
      </c>
      <c r="B205" s="1" t="s">
        <v>2</v>
      </c>
    </row>
    <row r="206">
      <c r="A206" s="2">
        <v>24519.0</v>
      </c>
      <c r="B206" s="1" t="s">
        <v>2</v>
      </c>
    </row>
    <row r="207">
      <c r="A207" s="2">
        <v>24707.0</v>
      </c>
      <c r="B207" s="1" t="s">
        <v>2</v>
      </c>
    </row>
    <row r="208">
      <c r="A208" s="2">
        <v>24902.0</v>
      </c>
      <c r="B208" s="1" t="s">
        <v>2</v>
      </c>
    </row>
    <row r="209">
      <c r="A209" s="2">
        <v>25095.0</v>
      </c>
      <c r="B209" s="1" t="s">
        <v>2</v>
      </c>
    </row>
    <row r="210">
      <c r="A210" s="2">
        <v>25152.0</v>
      </c>
      <c r="B210" s="1" t="s">
        <v>2</v>
      </c>
    </row>
    <row r="211">
      <c r="A211" s="2">
        <v>25157.0</v>
      </c>
      <c r="B211" s="1" t="s">
        <v>2</v>
      </c>
    </row>
    <row r="212">
      <c r="A212" s="2">
        <v>25478.0</v>
      </c>
      <c r="B212" s="1" t="s">
        <v>2</v>
      </c>
    </row>
    <row r="213">
      <c r="A213" s="2">
        <v>25479.0</v>
      </c>
      <c r="B213" s="1" t="s">
        <v>2</v>
      </c>
    </row>
    <row r="214">
      <c r="A214" s="2">
        <v>25735.0</v>
      </c>
      <c r="B214" s="1" t="s">
        <v>2</v>
      </c>
    </row>
    <row r="215">
      <c r="A215" s="2">
        <v>25799.0</v>
      </c>
      <c r="B215" s="1" t="s">
        <v>2</v>
      </c>
    </row>
    <row r="216">
      <c r="A216" s="2">
        <v>25828.0</v>
      </c>
      <c r="B216" s="1" t="s">
        <v>2</v>
      </c>
    </row>
    <row r="217">
      <c r="A217" s="2">
        <v>25952.0</v>
      </c>
      <c r="B217" s="1" t="s">
        <v>2</v>
      </c>
    </row>
    <row r="218">
      <c r="A218" s="2">
        <v>26240.0</v>
      </c>
      <c r="B218" s="1" t="s">
        <v>2</v>
      </c>
    </row>
    <row r="219">
      <c r="A219" s="2">
        <v>26372.0</v>
      </c>
      <c r="B219" s="1" t="s">
        <v>2</v>
      </c>
    </row>
    <row r="220">
      <c r="A220" s="2">
        <v>26784.0</v>
      </c>
      <c r="B220" s="1" t="s">
        <v>2</v>
      </c>
    </row>
    <row r="221">
      <c r="A221" s="2">
        <v>26852.0</v>
      </c>
      <c r="B221" s="1" t="s">
        <v>2</v>
      </c>
    </row>
    <row r="222">
      <c r="A222" s="2">
        <v>26881.0</v>
      </c>
      <c r="B222" s="1" t="s">
        <v>2</v>
      </c>
    </row>
    <row r="223">
      <c r="A223" s="2">
        <v>26982.0</v>
      </c>
      <c r="B223" s="1" t="s">
        <v>2</v>
      </c>
    </row>
    <row r="224">
      <c r="A224" s="2">
        <v>27137.0</v>
      </c>
      <c r="B224" s="1" t="s">
        <v>2</v>
      </c>
    </row>
    <row r="225">
      <c r="A225" s="2">
        <v>27490.0</v>
      </c>
      <c r="B225" s="1" t="s">
        <v>2</v>
      </c>
    </row>
    <row r="226">
      <c r="A226" s="2">
        <v>27712.0</v>
      </c>
      <c r="B226" s="1" t="s">
        <v>2</v>
      </c>
    </row>
    <row r="227">
      <c r="A227" s="2">
        <v>27744.0</v>
      </c>
      <c r="B227" s="1" t="s">
        <v>2</v>
      </c>
    </row>
    <row r="228">
      <c r="A228" s="2">
        <v>27750.0</v>
      </c>
      <c r="B228" s="1" t="s">
        <v>2</v>
      </c>
    </row>
    <row r="229">
      <c r="A229" s="2">
        <v>28003.0</v>
      </c>
      <c r="B229" s="1" t="s">
        <v>2</v>
      </c>
    </row>
    <row r="230">
      <c r="A230" s="2">
        <v>28037.0</v>
      </c>
      <c r="B230" s="1" t="s">
        <v>2</v>
      </c>
    </row>
    <row r="231">
      <c r="A231" s="2">
        <v>28291.0</v>
      </c>
      <c r="B231" s="1" t="s">
        <v>2</v>
      </c>
    </row>
    <row r="232">
      <c r="A232" s="2">
        <v>28387.0</v>
      </c>
      <c r="B232" s="1" t="s">
        <v>2</v>
      </c>
    </row>
    <row r="233">
      <c r="A233" s="2">
        <v>28419.0</v>
      </c>
      <c r="B233" s="1" t="s">
        <v>2</v>
      </c>
    </row>
    <row r="234">
      <c r="A234" s="2">
        <v>28455.0</v>
      </c>
      <c r="B234" s="1" t="s">
        <v>2</v>
      </c>
    </row>
    <row r="235">
      <c r="A235" s="2">
        <v>28544.0</v>
      </c>
      <c r="B235" s="1" t="s">
        <v>2</v>
      </c>
    </row>
    <row r="236">
      <c r="A236" s="2">
        <v>28928.0</v>
      </c>
      <c r="B236" s="1" t="s">
        <v>2</v>
      </c>
    </row>
    <row r="237">
      <c r="A237" s="2">
        <v>29095.0</v>
      </c>
      <c r="B237" s="1" t="s">
        <v>2</v>
      </c>
    </row>
    <row r="238">
      <c r="A238" s="2">
        <v>29318.0</v>
      </c>
      <c r="B238" s="1" t="s">
        <v>2</v>
      </c>
    </row>
    <row r="239">
      <c r="A239" s="2">
        <v>29376.0</v>
      </c>
      <c r="B239" s="1" t="s">
        <v>2</v>
      </c>
    </row>
    <row r="240">
      <c r="A240" s="2">
        <v>29380.0</v>
      </c>
      <c r="B240" s="1" t="s">
        <v>2</v>
      </c>
    </row>
    <row r="241">
      <c r="A241" s="2">
        <v>29410.0</v>
      </c>
      <c r="B241" s="1" t="s">
        <v>2</v>
      </c>
    </row>
    <row r="242">
      <c r="A242" s="2">
        <v>29505.0</v>
      </c>
      <c r="B242" s="1" t="s">
        <v>2</v>
      </c>
    </row>
    <row r="243">
      <c r="A243" s="2">
        <v>29506.0</v>
      </c>
      <c r="B243" s="1" t="s">
        <v>2</v>
      </c>
    </row>
    <row r="244">
      <c r="A244" s="2">
        <v>29861.0</v>
      </c>
      <c r="B244" s="1" t="s">
        <v>2</v>
      </c>
    </row>
    <row r="245">
      <c r="A245" s="2">
        <v>29991.0</v>
      </c>
      <c r="B245" s="1" t="s">
        <v>2</v>
      </c>
    </row>
    <row r="246">
      <c r="A246" s="2">
        <v>30176.0</v>
      </c>
      <c r="B246" s="1" t="s">
        <v>2</v>
      </c>
    </row>
    <row r="247">
      <c r="A247" s="2">
        <v>30403.0</v>
      </c>
      <c r="B247" s="1" t="s">
        <v>2</v>
      </c>
    </row>
    <row r="248">
      <c r="A248" s="2">
        <v>30469.0</v>
      </c>
      <c r="B248" s="1" t="s">
        <v>2</v>
      </c>
    </row>
    <row r="249">
      <c r="A249" s="2">
        <v>31073.0</v>
      </c>
      <c r="B249" s="1" t="s">
        <v>2</v>
      </c>
    </row>
    <row r="250">
      <c r="A250" s="2">
        <v>31232.0</v>
      </c>
      <c r="B250" s="1" t="s">
        <v>2</v>
      </c>
    </row>
    <row r="251">
      <c r="A251" s="2">
        <v>31303.0</v>
      </c>
      <c r="B251" s="1" t="s">
        <v>2</v>
      </c>
    </row>
    <row r="252">
      <c r="A252" s="2">
        <v>31682.0</v>
      </c>
      <c r="B252" s="1" t="s">
        <v>2</v>
      </c>
    </row>
    <row r="253">
      <c r="A253" s="2">
        <v>31844.0</v>
      </c>
      <c r="B253" s="1" t="s">
        <v>2</v>
      </c>
    </row>
    <row r="254">
      <c r="A254" s="2">
        <v>31907.0</v>
      </c>
      <c r="B254" s="1" t="s">
        <v>2</v>
      </c>
    </row>
    <row r="255">
      <c r="A255" s="2">
        <v>32036.0</v>
      </c>
      <c r="B255" s="1" t="s">
        <v>2</v>
      </c>
    </row>
    <row r="256">
      <c r="A256" s="2">
        <v>32582.0</v>
      </c>
      <c r="B256" s="1" t="s">
        <v>2</v>
      </c>
    </row>
    <row r="257">
      <c r="A257" s="2">
        <v>32901.0</v>
      </c>
      <c r="B257" s="1" t="s">
        <v>2</v>
      </c>
    </row>
    <row r="258">
      <c r="A258" s="2">
        <v>32931.0</v>
      </c>
      <c r="B258" s="1" t="s">
        <v>2</v>
      </c>
    </row>
    <row r="259">
      <c r="A259" s="2">
        <v>32966.0</v>
      </c>
      <c r="B259" s="1" t="s">
        <v>2</v>
      </c>
    </row>
    <row r="260">
      <c r="A260" s="2">
        <v>32996.0</v>
      </c>
      <c r="B260" s="1" t="s">
        <v>2</v>
      </c>
    </row>
    <row r="261">
      <c r="A261" s="2">
        <v>32998.0</v>
      </c>
      <c r="B261" s="1" t="s">
        <v>2</v>
      </c>
    </row>
    <row r="262">
      <c r="A262" s="2">
        <v>33283.0</v>
      </c>
      <c r="B262" s="1" t="s">
        <v>2</v>
      </c>
    </row>
    <row r="263">
      <c r="A263" s="2">
        <v>33317.0</v>
      </c>
      <c r="B263" s="1" t="s">
        <v>2</v>
      </c>
    </row>
    <row r="264">
      <c r="A264" s="2">
        <v>33477.0</v>
      </c>
      <c r="B264" s="1" t="s">
        <v>2</v>
      </c>
    </row>
    <row r="265">
      <c r="A265" s="2">
        <v>33510.0</v>
      </c>
      <c r="B265" s="1" t="s">
        <v>2</v>
      </c>
    </row>
    <row r="266">
      <c r="A266" s="2">
        <v>33541.0</v>
      </c>
      <c r="B266" s="1" t="s">
        <v>2</v>
      </c>
    </row>
    <row r="267">
      <c r="A267" s="2">
        <v>33637.0</v>
      </c>
      <c r="B267" s="1" t="s">
        <v>2</v>
      </c>
    </row>
    <row r="268">
      <c r="A268" s="2">
        <v>33921.0</v>
      </c>
      <c r="B268" s="1" t="s">
        <v>2</v>
      </c>
    </row>
    <row r="269">
      <c r="A269" s="2">
        <v>34117.0</v>
      </c>
      <c r="B269" s="1" t="s">
        <v>2</v>
      </c>
    </row>
    <row r="270">
      <c r="A270" s="2">
        <v>34209.0</v>
      </c>
      <c r="B270" s="1" t="s">
        <v>2</v>
      </c>
    </row>
    <row r="271">
      <c r="A271" s="2">
        <v>34338.0</v>
      </c>
      <c r="B271" s="1" t="s">
        <v>2</v>
      </c>
    </row>
    <row r="272">
      <c r="A272" s="2">
        <v>34532.0</v>
      </c>
      <c r="B272" s="1" t="s">
        <v>2</v>
      </c>
    </row>
    <row r="273">
      <c r="A273" s="2">
        <v>34658.0</v>
      </c>
      <c r="B273" s="1" t="s">
        <v>2</v>
      </c>
    </row>
    <row r="274">
      <c r="A274" s="2">
        <v>34661.0</v>
      </c>
      <c r="B274" s="1" t="s">
        <v>2</v>
      </c>
    </row>
    <row r="275">
      <c r="A275" s="2">
        <v>34689.0</v>
      </c>
      <c r="B275" s="1" t="s">
        <v>2</v>
      </c>
    </row>
    <row r="276">
      <c r="A276" s="2">
        <v>34916.0</v>
      </c>
      <c r="B276" s="1" t="s">
        <v>2</v>
      </c>
    </row>
    <row r="277">
      <c r="A277" s="2">
        <v>35047.0</v>
      </c>
      <c r="B277" s="1" t="s">
        <v>2</v>
      </c>
    </row>
    <row r="278">
      <c r="A278" s="2">
        <v>35110.0</v>
      </c>
      <c r="B278" s="1" t="s">
        <v>2</v>
      </c>
    </row>
    <row r="279">
      <c r="A279" s="2">
        <v>35111.0</v>
      </c>
      <c r="B279" s="1" t="s">
        <v>2</v>
      </c>
    </row>
    <row r="280">
      <c r="A280" s="2">
        <v>35137.0</v>
      </c>
      <c r="B280" s="1" t="s">
        <v>2</v>
      </c>
    </row>
    <row r="281">
      <c r="A281" s="2">
        <v>35366.0</v>
      </c>
      <c r="B281" s="1" t="s">
        <v>2</v>
      </c>
    </row>
    <row r="282">
      <c r="A282" s="2">
        <v>35492.0</v>
      </c>
      <c r="B282" s="1" t="s">
        <v>2</v>
      </c>
    </row>
    <row r="283">
      <c r="A283" s="2">
        <v>35554.0</v>
      </c>
      <c r="B283" s="1" t="s">
        <v>2</v>
      </c>
    </row>
    <row r="284">
      <c r="A284" s="2">
        <v>35588.0</v>
      </c>
      <c r="B284" s="1" t="s">
        <v>2</v>
      </c>
    </row>
    <row r="285">
      <c r="A285" s="2">
        <v>35687.0</v>
      </c>
      <c r="B285" s="1" t="s">
        <v>2</v>
      </c>
    </row>
    <row r="286">
      <c r="A286" s="2">
        <v>35744.0</v>
      </c>
      <c r="B286" s="1" t="s">
        <v>2</v>
      </c>
    </row>
    <row r="287">
      <c r="A287" s="2">
        <v>35877.0</v>
      </c>
      <c r="B287" s="1" t="s">
        <v>2</v>
      </c>
    </row>
    <row r="288">
      <c r="A288" s="2">
        <v>35910.0</v>
      </c>
      <c r="B288" s="1" t="s">
        <v>2</v>
      </c>
    </row>
    <row r="289">
      <c r="A289" s="2">
        <v>35936.0</v>
      </c>
      <c r="B289" s="1" t="s">
        <v>2</v>
      </c>
    </row>
    <row r="290">
      <c r="A290" s="2">
        <v>36038.0</v>
      </c>
      <c r="B290" s="1" t="s">
        <v>2</v>
      </c>
    </row>
    <row r="291">
      <c r="A291" s="2">
        <v>36067.0</v>
      </c>
      <c r="B291" s="1" t="s">
        <v>2</v>
      </c>
    </row>
    <row r="292">
      <c r="A292" s="2">
        <v>36160.0</v>
      </c>
      <c r="B292" s="1" t="s">
        <v>2</v>
      </c>
    </row>
    <row r="293">
      <c r="A293" s="2">
        <v>36262.0</v>
      </c>
      <c r="B293" s="1" t="s">
        <v>2</v>
      </c>
    </row>
    <row r="294">
      <c r="A294" s="2">
        <v>36449.0</v>
      </c>
      <c r="B294" s="1" t="s">
        <v>2</v>
      </c>
    </row>
    <row r="295">
      <c r="A295" s="2">
        <v>36609.0</v>
      </c>
      <c r="B295" s="1" t="s">
        <v>2</v>
      </c>
    </row>
    <row r="296">
      <c r="A296" s="2">
        <v>36676.0</v>
      </c>
      <c r="B296" s="1" t="s">
        <v>2</v>
      </c>
    </row>
    <row r="297">
      <c r="A297" s="2">
        <v>36679.0</v>
      </c>
      <c r="B297" s="1" t="s">
        <v>2</v>
      </c>
    </row>
    <row r="298">
      <c r="A298" s="2">
        <v>36705.0</v>
      </c>
      <c r="B298" s="1" t="s">
        <v>2</v>
      </c>
    </row>
    <row r="299">
      <c r="A299" s="2">
        <v>36707.0</v>
      </c>
      <c r="B299" s="1" t="s">
        <v>2</v>
      </c>
    </row>
    <row r="300">
      <c r="A300" s="2">
        <v>36743.0</v>
      </c>
      <c r="B300" s="1" t="s">
        <v>2</v>
      </c>
    </row>
    <row r="301">
      <c r="A301" s="2">
        <v>36772.0</v>
      </c>
      <c r="B301" s="1" t="s">
        <v>2</v>
      </c>
    </row>
    <row r="302">
      <c r="A302" s="2">
        <v>36773.0</v>
      </c>
      <c r="B302" s="1" t="s">
        <v>2</v>
      </c>
    </row>
    <row r="303">
      <c r="A303" s="2">
        <v>36932.0</v>
      </c>
      <c r="B303" s="1" t="s">
        <v>2</v>
      </c>
    </row>
    <row r="304">
      <c r="A304" s="2">
        <v>36934.0</v>
      </c>
      <c r="B304" s="1" t="s">
        <v>2</v>
      </c>
    </row>
    <row r="305">
      <c r="A305" s="2">
        <v>36992.0</v>
      </c>
      <c r="B305" s="1" t="s">
        <v>2</v>
      </c>
    </row>
    <row r="306">
      <c r="A306" s="2">
        <v>36994.0</v>
      </c>
      <c r="B306" s="1" t="s">
        <v>2</v>
      </c>
    </row>
    <row r="307">
      <c r="A307" s="2">
        <v>36998.0</v>
      </c>
      <c r="B307" s="1" t="s">
        <v>2</v>
      </c>
    </row>
    <row r="308">
      <c r="A308" s="2">
        <v>36999.0</v>
      </c>
      <c r="B308" s="1" t="s">
        <v>2</v>
      </c>
    </row>
    <row r="309">
      <c r="A309" s="2">
        <v>37250.0</v>
      </c>
      <c r="B309" s="1" t="s">
        <v>2</v>
      </c>
    </row>
    <row r="310">
      <c r="A310" s="2">
        <v>37380.0</v>
      </c>
      <c r="B310" s="1" t="s">
        <v>2</v>
      </c>
    </row>
    <row r="311">
      <c r="A311" s="2">
        <v>37414.0</v>
      </c>
      <c r="B311" s="1" t="s">
        <v>2</v>
      </c>
    </row>
    <row r="312">
      <c r="A312" s="2">
        <v>37572.0</v>
      </c>
      <c r="B312" s="1" t="s">
        <v>2</v>
      </c>
    </row>
    <row r="313">
      <c r="A313" s="2">
        <v>37760.0</v>
      </c>
      <c r="B313" s="1" t="s">
        <v>2</v>
      </c>
    </row>
    <row r="314">
      <c r="A314" s="2">
        <v>37860.0</v>
      </c>
      <c r="B314" s="1" t="s">
        <v>2</v>
      </c>
    </row>
    <row r="315">
      <c r="A315" s="2">
        <v>37862.0</v>
      </c>
      <c r="B315" s="1" t="s">
        <v>2</v>
      </c>
    </row>
    <row r="316">
      <c r="A316" s="2">
        <v>37924.0</v>
      </c>
      <c r="B316" s="1" t="s">
        <v>2</v>
      </c>
    </row>
    <row r="317">
      <c r="A317" s="2">
        <v>38050.0</v>
      </c>
      <c r="B317" s="1" t="s">
        <v>2</v>
      </c>
    </row>
    <row r="318">
      <c r="A318" s="2">
        <v>38210.0</v>
      </c>
      <c r="B318" s="1" t="s">
        <v>2</v>
      </c>
    </row>
    <row r="319">
      <c r="A319" s="2">
        <v>38240.0</v>
      </c>
      <c r="B319" s="1" t="s">
        <v>2</v>
      </c>
    </row>
    <row r="320">
      <c r="A320" s="2">
        <v>38272.0</v>
      </c>
      <c r="B320" s="1" t="s">
        <v>2</v>
      </c>
    </row>
    <row r="321">
      <c r="A321" s="2">
        <v>38400.0</v>
      </c>
      <c r="B321" s="1" t="s">
        <v>2</v>
      </c>
    </row>
    <row r="322">
      <c r="A322" s="2">
        <v>38530.0</v>
      </c>
      <c r="B322" s="1" t="s">
        <v>2</v>
      </c>
    </row>
    <row r="323">
      <c r="A323" s="2">
        <v>38596.0</v>
      </c>
      <c r="B323" s="1" t="s">
        <v>2</v>
      </c>
    </row>
    <row r="324">
      <c r="A324" s="2">
        <v>38661.0</v>
      </c>
      <c r="B324" s="1" t="s">
        <v>2</v>
      </c>
    </row>
    <row r="325">
      <c r="A325" s="2">
        <v>38787.0</v>
      </c>
      <c r="B325" s="1" t="s">
        <v>2</v>
      </c>
    </row>
    <row r="326">
      <c r="A326" s="2">
        <v>39043.0</v>
      </c>
      <c r="B326" s="1" t="s">
        <v>2</v>
      </c>
    </row>
    <row r="327">
      <c r="A327" s="2">
        <v>39075.0</v>
      </c>
      <c r="B327" s="1" t="s">
        <v>2</v>
      </c>
    </row>
    <row r="328">
      <c r="A328" s="2">
        <v>39169.0</v>
      </c>
      <c r="B328" s="1" t="s">
        <v>2</v>
      </c>
    </row>
    <row r="329">
      <c r="A329" s="2">
        <v>39333.0</v>
      </c>
      <c r="B329" s="1" t="s">
        <v>2</v>
      </c>
    </row>
    <row r="330">
      <c r="A330" s="2">
        <v>39490.0</v>
      </c>
      <c r="B330" s="1" t="s">
        <v>2</v>
      </c>
    </row>
    <row r="331">
      <c r="A331" s="2">
        <v>39555.0</v>
      </c>
      <c r="B331" s="1" t="s">
        <v>2</v>
      </c>
    </row>
    <row r="332">
      <c r="A332" s="2">
        <v>39619.0</v>
      </c>
      <c r="B332" s="1" t="s">
        <v>2</v>
      </c>
    </row>
    <row r="333">
      <c r="A333" s="2">
        <v>39872.0</v>
      </c>
      <c r="B333" s="1" t="s">
        <v>2</v>
      </c>
    </row>
    <row r="334">
      <c r="A334" s="2">
        <v>39904.0</v>
      </c>
      <c r="B334" s="1" t="s">
        <v>2</v>
      </c>
    </row>
    <row r="335">
      <c r="A335" s="2">
        <v>39943.0</v>
      </c>
      <c r="B335" s="1" t="s">
        <v>2</v>
      </c>
    </row>
    <row r="336">
      <c r="A336" s="2">
        <v>40097.0</v>
      </c>
      <c r="B336" s="1" t="s">
        <v>2</v>
      </c>
    </row>
    <row r="337">
      <c r="A337" s="2">
        <v>40132.0</v>
      </c>
      <c r="B337" s="1" t="s">
        <v>2</v>
      </c>
    </row>
    <row r="338">
      <c r="A338" s="2">
        <v>40134.0</v>
      </c>
      <c r="B338" s="1" t="s">
        <v>2</v>
      </c>
    </row>
    <row r="339">
      <c r="A339" s="2">
        <v>40160.0</v>
      </c>
      <c r="B339" s="1" t="s">
        <v>2</v>
      </c>
    </row>
    <row r="340">
      <c r="A340" s="2">
        <v>40354.0</v>
      </c>
      <c r="B340" s="1" t="s">
        <v>2</v>
      </c>
    </row>
    <row r="341">
      <c r="A341" s="2">
        <v>40802.0</v>
      </c>
      <c r="B341" s="1" t="s">
        <v>2</v>
      </c>
    </row>
    <row r="342">
      <c r="A342" s="2">
        <v>40806.0</v>
      </c>
      <c r="B342" s="1" t="s">
        <v>2</v>
      </c>
    </row>
    <row r="343">
      <c r="A343" s="2">
        <v>41059.0</v>
      </c>
      <c r="B343" s="1" t="s">
        <v>2</v>
      </c>
    </row>
    <row r="344">
      <c r="A344" s="2">
        <v>41120.0</v>
      </c>
      <c r="B344" s="1" t="s">
        <v>2</v>
      </c>
    </row>
    <row r="345">
      <c r="A345" s="2">
        <v>41186.0</v>
      </c>
      <c r="B345" s="1" t="s">
        <v>2</v>
      </c>
    </row>
    <row r="346">
      <c r="A346" s="2">
        <v>41216.0</v>
      </c>
      <c r="B346" s="1" t="s">
        <v>2</v>
      </c>
    </row>
    <row r="347">
      <c r="A347" s="2">
        <v>41508.0</v>
      </c>
      <c r="B347" s="1" t="s">
        <v>2</v>
      </c>
    </row>
    <row r="348">
      <c r="A348" s="2">
        <v>41760.0</v>
      </c>
      <c r="B348" s="1" t="s">
        <v>2</v>
      </c>
    </row>
    <row r="349">
      <c r="A349" s="2">
        <v>41861.0</v>
      </c>
      <c r="B349" s="1" t="s">
        <v>2</v>
      </c>
    </row>
    <row r="350">
      <c r="A350" s="2">
        <v>42342.0</v>
      </c>
      <c r="B350" s="1" t="s">
        <v>2</v>
      </c>
    </row>
    <row r="351">
      <c r="A351" s="2">
        <v>42375.0</v>
      </c>
      <c r="B351" s="1" t="s">
        <v>2</v>
      </c>
    </row>
    <row r="352">
      <c r="A352" s="2">
        <v>42436.0</v>
      </c>
      <c r="B352" s="1" t="s">
        <v>2</v>
      </c>
    </row>
    <row r="353">
      <c r="A353" s="2">
        <v>42563.0</v>
      </c>
      <c r="B353" s="1" t="s">
        <v>2</v>
      </c>
    </row>
    <row r="354">
      <c r="A354" s="2">
        <v>42628.0</v>
      </c>
      <c r="B354" s="1" t="s">
        <v>2</v>
      </c>
    </row>
    <row r="355">
      <c r="A355" s="2">
        <v>42788.0</v>
      </c>
      <c r="B355" s="1" t="s">
        <v>2</v>
      </c>
    </row>
    <row r="356">
      <c r="A356" s="2">
        <v>42823.0</v>
      </c>
      <c r="B356" s="1" t="s">
        <v>2</v>
      </c>
    </row>
    <row r="357">
      <c r="A357" s="2">
        <v>42850.0</v>
      </c>
      <c r="B357" s="1" t="s">
        <v>2</v>
      </c>
    </row>
    <row r="358">
      <c r="A358" s="2">
        <v>42912.0</v>
      </c>
      <c r="B358" s="1" t="s">
        <v>2</v>
      </c>
    </row>
    <row r="359">
      <c r="A359" s="2">
        <v>42945.0</v>
      </c>
      <c r="B359" s="1" t="s">
        <v>2</v>
      </c>
    </row>
    <row r="360">
      <c r="A360" s="2">
        <v>43138.0</v>
      </c>
      <c r="B360" s="1" t="s">
        <v>2</v>
      </c>
    </row>
    <row r="361">
      <c r="A361" s="2">
        <v>43140.0</v>
      </c>
      <c r="B361" s="1" t="s">
        <v>2</v>
      </c>
    </row>
    <row r="362">
      <c r="A362" s="2">
        <v>43203.0</v>
      </c>
      <c r="B362" s="1" t="s">
        <v>2</v>
      </c>
    </row>
    <row r="363">
      <c r="A363" s="2">
        <v>43269.0</v>
      </c>
      <c r="B363" s="1" t="s">
        <v>2</v>
      </c>
    </row>
    <row r="364">
      <c r="A364" s="2">
        <v>43488.0</v>
      </c>
      <c r="B364" s="1" t="s">
        <v>2</v>
      </c>
    </row>
    <row r="365">
      <c r="A365" s="2">
        <v>43494.0</v>
      </c>
      <c r="B365" s="1" t="s">
        <v>2</v>
      </c>
    </row>
    <row r="366">
      <c r="A366" s="2">
        <v>43585.0</v>
      </c>
      <c r="B366" s="1" t="s">
        <v>2</v>
      </c>
    </row>
    <row r="367">
      <c r="A367" s="2">
        <v>43713.0</v>
      </c>
      <c r="B367" s="1" t="s">
        <v>2</v>
      </c>
    </row>
    <row r="368">
      <c r="A368" s="2">
        <v>44098.0</v>
      </c>
      <c r="B368" s="1" t="s">
        <v>2</v>
      </c>
    </row>
    <row r="369">
      <c r="A369" s="2">
        <v>44292.0</v>
      </c>
      <c r="B369" s="1" t="s">
        <v>2</v>
      </c>
    </row>
    <row r="370">
      <c r="A370" s="2">
        <v>44486.0</v>
      </c>
      <c r="B370" s="1" t="s">
        <v>2</v>
      </c>
    </row>
    <row r="371">
      <c r="A371" s="2">
        <v>44579.0</v>
      </c>
      <c r="B371" s="1" t="s">
        <v>2</v>
      </c>
    </row>
    <row r="372">
      <c r="A372" s="2">
        <v>44583.0</v>
      </c>
      <c r="B372" s="1" t="s">
        <v>2</v>
      </c>
    </row>
    <row r="373">
      <c r="A373" s="2">
        <v>44869.0</v>
      </c>
      <c r="B373" s="1" t="s">
        <v>2</v>
      </c>
    </row>
    <row r="374">
      <c r="A374" s="2">
        <v>44962.0</v>
      </c>
      <c r="B374" s="1" t="s">
        <v>2</v>
      </c>
    </row>
    <row r="375">
      <c r="A375" s="2">
        <v>45127.0</v>
      </c>
      <c r="B375" s="1" t="s">
        <v>2</v>
      </c>
    </row>
    <row r="376">
      <c r="A376" s="2">
        <v>45605.0</v>
      </c>
      <c r="B376" s="1" t="s">
        <v>2</v>
      </c>
    </row>
    <row r="377">
      <c r="A377" s="2">
        <v>45632.0</v>
      </c>
      <c r="B377" s="1" t="s">
        <v>2</v>
      </c>
    </row>
    <row r="378">
      <c r="A378" s="2">
        <v>45698.0</v>
      </c>
      <c r="B378" s="1" t="s">
        <v>2</v>
      </c>
    </row>
    <row r="379">
      <c r="A379" s="2">
        <v>45767.0</v>
      </c>
      <c r="B379" s="1" t="s">
        <v>2</v>
      </c>
    </row>
    <row r="380">
      <c r="A380" s="2">
        <v>45794.0</v>
      </c>
      <c r="B380" s="1" t="s">
        <v>2</v>
      </c>
    </row>
    <row r="381">
      <c r="A381" s="2">
        <v>45863.0</v>
      </c>
      <c r="B381" s="1" t="s">
        <v>2</v>
      </c>
    </row>
    <row r="382">
      <c r="A382" s="2">
        <v>46052.0</v>
      </c>
      <c r="B382" s="1" t="s">
        <v>2</v>
      </c>
    </row>
    <row r="383">
      <c r="A383" s="2">
        <v>46276.0</v>
      </c>
      <c r="B383" s="1" t="s">
        <v>2</v>
      </c>
    </row>
    <row r="384">
      <c r="A384" s="2">
        <v>46311.0</v>
      </c>
      <c r="B384" s="1" t="s">
        <v>2</v>
      </c>
    </row>
    <row r="385">
      <c r="A385" s="2">
        <v>46341.0</v>
      </c>
      <c r="B385" s="1" t="s">
        <v>2</v>
      </c>
    </row>
    <row r="386">
      <c r="A386" s="2">
        <v>46375.0</v>
      </c>
      <c r="B386" s="1" t="s">
        <v>2</v>
      </c>
    </row>
    <row r="387">
      <c r="A387" s="2">
        <v>46497.0</v>
      </c>
      <c r="B387" s="1" t="s">
        <v>2</v>
      </c>
    </row>
    <row r="388">
      <c r="A388" s="2">
        <v>46662.0</v>
      </c>
      <c r="B388" s="1" t="s">
        <v>2</v>
      </c>
    </row>
    <row r="389">
      <c r="A389" s="2">
        <v>46852.0</v>
      </c>
      <c r="B389" s="1" t="s">
        <v>2</v>
      </c>
    </row>
    <row r="390">
      <c r="A390" s="2">
        <v>47078.0</v>
      </c>
      <c r="B390" s="1" t="s">
        <v>2</v>
      </c>
    </row>
    <row r="391">
      <c r="A391" s="2">
        <v>47079.0</v>
      </c>
      <c r="B391" s="1" t="s">
        <v>2</v>
      </c>
    </row>
    <row r="392">
      <c r="A392" s="2">
        <v>47109.0</v>
      </c>
      <c r="B392" s="1" t="s">
        <v>2</v>
      </c>
    </row>
    <row r="393">
      <c r="A393" s="2">
        <v>47138.0</v>
      </c>
      <c r="B393" s="1" t="s">
        <v>2</v>
      </c>
    </row>
    <row r="394">
      <c r="A394" s="2">
        <v>47174.0</v>
      </c>
      <c r="B394" s="1" t="s">
        <v>2</v>
      </c>
    </row>
    <row r="395">
      <c r="A395" s="2">
        <v>47265.0</v>
      </c>
      <c r="B395" s="1" t="s">
        <v>2</v>
      </c>
    </row>
    <row r="396">
      <c r="A396" s="2">
        <v>47271.0</v>
      </c>
      <c r="B396" s="1" t="s">
        <v>2</v>
      </c>
    </row>
    <row r="397">
      <c r="A397" s="2">
        <v>47457.0</v>
      </c>
      <c r="B397" s="1" t="s">
        <v>2</v>
      </c>
    </row>
    <row r="398">
      <c r="A398" s="2">
        <v>47494.0</v>
      </c>
      <c r="B398" s="1" t="s">
        <v>2</v>
      </c>
    </row>
    <row r="399">
      <c r="A399" s="2">
        <v>47620.0</v>
      </c>
      <c r="B399" s="1" t="s">
        <v>2</v>
      </c>
    </row>
    <row r="400">
      <c r="A400" s="2">
        <v>47621.0</v>
      </c>
      <c r="B400" s="1" t="s">
        <v>2</v>
      </c>
    </row>
    <row r="401">
      <c r="A401" s="2">
        <v>47813.0</v>
      </c>
      <c r="B401" s="1" t="s">
        <v>2</v>
      </c>
    </row>
    <row r="402">
      <c r="A402" s="2">
        <v>47876.0</v>
      </c>
      <c r="B402" s="1" t="s">
        <v>2</v>
      </c>
    </row>
    <row r="403">
      <c r="A403" s="2">
        <v>47910.0</v>
      </c>
      <c r="B403" s="1" t="s">
        <v>2</v>
      </c>
    </row>
    <row r="404">
      <c r="A404" s="2">
        <v>48293.0</v>
      </c>
      <c r="B404" s="1" t="s">
        <v>2</v>
      </c>
    </row>
    <row r="405">
      <c r="A405" s="2">
        <v>48295.0</v>
      </c>
      <c r="B405" s="1" t="s">
        <v>2</v>
      </c>
    </row>
    <row r="406">
      <c r="A406" s="2">
        <v>48321.0</v>
      </c>
      <c r="B406" s="1" t="s">
        <v>2</v>
      </c>
    </row>
    <row r="407">
      <c r="A407" s="2">
        <v>48353.0</v>
      </c>
      <c r="B407" s="1" t="s">
        <v>2</v>
      </c>
    </row>
    <row r="408">
      <c r="A408" s="2">
        <v>48391.0</v>
      </c>
      <c r="B408" s="1" t="s">
        <v>2</v>
      </c>
    </row>
    <row r="409">
      <c r="A409" s="2">
        <v>48448.0</v>
      </c>
      <c r="B409" s="1" t="s">
        <v>2</v>
      </c>
    </row>
    <row r="410">
      <c r="A410" s="2">
        <v>48486.0</v>
      </c>
      <c r="B410" s="1" t="s">
        <v>2</v>
      </c>
    </row>
    <row r="411">
      <c r="A411" s="2">
        <v>48487.0</v>
      </c>
      <c r="B411" s="1" t="s">
        <v>2</v>
      </c>
    </row>
    <row r="412">
      <c r="A412" s="2">
        <v>48615.0</v>
      </c>
      <c r="B412" s="1" t="s">
        <v>2</v>
      </c>
    </row>
    <row r="413">
      <c r="A413" s="2">
        <v>48710.0</v>
      </c>
      <c r="B413" s="1" t="s">
        <v>2</v>
      </c>
    </row>
    <row r="414">
      <c r="A414" s="2">
        <v>48773.0</v>
      </c>
      <c r="B414" s="1" t="s">
        <v>2</v>
      </c>
    </row>
    <row r="415">
      <c r="A415" s="2">
        <v>48775.0</v>
      </c>
      <c r="B415" s="1" t="s">
        <v>2</v>
      </c>
    </row>
    <row r="416">
      <c r="A416" s="2">
        <v>48931.0</v>
      </c>
      <c r="B416" s="1" t="s">
        <v>2</v>
      </c>
    </row>
    <row r="417">
      <c r="A417" s="2">
        <v>49026.0</v>
      </c>
      <c r="B417" s="1" t="s">
        <v>2</v>
      </c>
    </row>
    <row r="418">
      <c r="A418" s="2">
        <v>49027.0</v>
      </c>
      <c r="B418" s="1" t="s">
        <v>2</v>
      </c>
    </row>
    <row r="419">
      <c r="A419" s="2">
        <v>49123.0</v>
      </c>
      <c r="B419" s="1" t="s">
        <v>2</v>
      </c>
    </row>
    <row r="420">
      <c r="A420" s="2">
        <v>49255.0</v>
      </c>
      <c r="B420" s="1" t="s">
        <v>2</v>
      </c>
    </row>
    <row r="421">
      <c r="A421" s="2">
        <v>49349.0</v>
      </c>
      <c r="B421" s="1" t="s">
        <v>2</v>
      </c>
    </row>
    <row r="422">
      <c r="A422" s="2">
        <v>49412.0</v>
      </c>
      <c r="B422" s="1" t="s">
        <v>2</v>
      </c>
    </row>
    <row r="423">
      <c r="A423" s="2">
        <v>49510.0</v>
      </c>
      <c r="B423" s="1" t="s">
        <v>2</v>
      </c>
    </row>
    <row r="424">
      <c r="A424" s="2">
        <v>49668.0</v>
      </c>
      <c r="B424" s="1" t="s">
        <v>2</v>
      </c>
    </row>
    <row r="425">
      <c r="A425" s="2">
        <v>49762.0</v>
      </c>
      <c r="B425" s="1" t="s">
        <v>2</v>
      </c>
    </row>
    <row r="426">
      <c r="A426" s="2">
        <v>49797.0</v>
      </c>
      <c r="B426" s="1" t="s">
        <v>2</v>
      </c>
    </row>
    <row r="427">
      <c r="A427" s="2">
        <v>49830.0</v>
      </c>
      <c r="B427" s="1" t="s">
        <v>2</v>
      </c>
    </row>
    <row r="428">
      <c r="A428" s="2">
        <v>49924.0</v>
      </c>
      <c r="B428" s="1" t="s">
        <v>2</v>
      </c>
    </row>
    <row r="429">
      <c r="A429" s="2">
        <v>49988.0</v>
      </c>
      <c r="B429" s="1" t="s">
        <v>2</v>
      </c>
    </row>
    <row r="430">
      <c r="A430" s="2">
        <v>50048.0</v>
      </c>
      <c r="B430" s="1" t="s">
        <v>2</v>
      </c>
    </row>
    <row r="431">
      <c r="A431" s="2">
        <v>50081.0</v>
      </c>
      <c r="B431" s="1" t="s">
        <v>2</v>
      </c>
    </row>
    <row r="432">
      <c r="A432" s="2">
        <v>50083.0</v>
      </c>
      <c r="B432" s="1" t="s">
        <v>2</v>
      </c>
    </row>
    <row r="433">
      <c r="A433" s="2">
        <v>50087.0</v>
      </c>
      <c r="B433" s="1" t="s">
        <v>2</v>
      </c>
    </row>
    <row r="434">
      <c r="A434" s="2">
        <v>50147.0</v>
      </c>
      <c r="B434" s="1" t="s">
        <v>2</v>
      </c>
    </row>
    <row r="435">
      <c r="A435" s="2">
        <v>50246.0</v>
      </c>
      <c r="B435" s="1" t="s">
        <v>2</v>
      </c>
    </row>
    <row r="436">
      <c r="A436" s="2">
        <v>50307.0</v>
      </c>
      <c r="B436" s="1" t="s">
        <v>2</v>
      </c>
    </row>
    <row r="437">
      <c r="A437" s="2">
        <v>50374.0</v>
      </c>
      <c r="B437" s="1" t="s">
        <v>2</v>
      </c>
    </row>
    <row r="438">
      <c r="A438" s="2">
        <v>50432.0</v>
      </c>
      <c r="B438" s="1" t="s">
        <v>2</v>
      </c>
    </row>
    <row r="439">
      <c r="A439" s="2">
        <v>50501.0</v>
      </c>
      <c r="B439" s="1" t="s">
        <v>2</v>
      </c>
    </row>
    <row r="440">
      <c r="A440" s="2">
        <v>50564.0</v>
      </c>
      <c r="B440" s="1" t="s">
        <v>2</v>
      </c>
    </row>
    <row r="441">
      <c r="A441" s="2">
        <v>50566.0</v>
      </c>
      <c r="B441" s="1" t="s">
        <v>2</v>
      </c>
    </row>
    <row r="442">
      <c r="A442" s="2">
        <v>50663.0</v>
      </c>
      <c r="B442" s="1" t="s">
        <v>2</v>
      </c>
    </row>
    <row r="443">
      <c r="A443" s="2">
        <v>50721.0</v>
      </c>
      <c r="B443" s="1" t="s">
        <v>2</v>
      </c>
    </row>
    <row r="444">
      <c r="A444" s="2">
        <v>50789.0</v>
      </c>
      <c r="B444" s="1" t="s">
        <v>2</v>
      </c>
    </row>
    <row r="445">
      <c r="A445" s="2">
        <v>50818.0</v>
      </c>
      <c r="B445" s="1" t="s">
        <v>2</v>
      </c>
    </row>
    <row r="446">
      <c r="A446" s="2">
        <v>50823.0</v>
      </c>
      <c r="B446" s="1" t="s">
        <v>2</v>
      </c>
    </row>
    <row r="447">
      <c r="A447" s="2">
        <v>50850.0</v>
      </c>
      <c r="B447" s="1" t="s">
        <v>2</v>
      </c>
    </row>
    <row r="448">
      <c r="A448" s="2">
        <v>50914.0</v>
      </c>
      <c r="B448" s="1" t="s">
        <v>2</v>
      </c>
    </row>
    <row r="449">
      <c r="A449" s="2">
        <v>51075.0</v>
      </c>
      <c r="B449" s="1" t="s">
        <v>2</v>
      </c>
    </row>
    <row r="450">
      <c r="A450" s="2">
        <v>51239.0</v>
      </c>
      <c r="B450" s="1" t="s">
        <v>2</v>
      </c>
    </row>
    <row r="451">
      <c r="A451" s="2">
        <v>51271.0</v>
      </c>
      <c r="B451" s="1" t="s">
        <v>2</v>
      </c>
    </row>
    <row r="452">
      <c r="A452" s="2">
        <v>51302.0</v>
      </c>
      <c r="B452" s="1" t="s">
        <v>2</v>
      </c>
    </row>
    <row r="453">
      <c r="A453" s="2">
        <v>51553.0</v>
      </c>
      <c r="B453" s="1" t="s">
        <v>2</v>
      </c>
    </row>
    <row r="454">
      <c r="A454" s="2">
        <v>51554.0</v>
      </c>
      <c r="B454" s="1" t="s">
        <v>2</v>
      </c>
    </row>
    <row r="455">
      <c r="A455" s="2">
        <v>51559.0</v>
      </c>
      <c r="B455" s="1" t="s">
        <v>2</v>
      </c>
    </row>
    <row r="456">
      <c r="A456" s="2">
        <v>51876.0</v>
      </c>
      <c r="B456" s="1" t="s">
        <v>2</v>
      </c>
    </row>
    <row r="457">
      <c r="A457" s="2">
        <v>51879.0</v>
      </c>
      <c r="B457" s="1" t="s">
        <v>2</v>
      </c>
    </row>
    <row r="458">
      <c r="A458" s="2">
        <v>51940.0</v>
      </c>
      <c r="B458" s="1" t="s">
        <v>2</v>
      </c>
    </row>
    <row r="459">
      <c r="A459" s="2">
        <v>52035.0</v>
      </c>
      <c r="B459" s="1" t="s">
        <v>2</v>
      </c>
    </row>
    <row r="460">
      <c r="A460" s="2">
        <v>52068.0</v>
      </c>
      <c r="B460" s="1" t="s">
        <v>2</v>
      </c>
    </row>
    <row r="461">
      <c r="A461" s="2">
        <v>52258.0</v>
      </c>
      <c r="B461" s="1" t="s">
        <v>2</v>
      </c>
    </row>
    <row r="462">
      <c r="A462" s="2">
        <v>52288.0</v>
      </c>
      <c r="B462" s="1" t="s">
        <v>2</v>
      </c>
    </row>
    <row r="463">
      <c r="A463" s="2">
        <v>52327.0</v>
      </c>
      <c r="B463" s="1" t="s">
        <v>2</v>
      </c>
    </row>
    <row r="464">
      <c r="A464" s="2">
        <v>52518.0</v>
      </c>
      <c r="B464" s="1" t="s">
        <v>2</v>
      </c>
    </row>
    <row r="465">
      <c r="A465" s="2">
        <v>52608.0</v>
      </c>
      <c r="B465" s="1" t="s">
        <v>2</v>
      </c>
    </row>
    <row r="466">
      <c r="A466" s="2">
        <v>52611.0</v>
      </c>
      <c r="B466" s="1" t="s">
        <v>2</v>
      </c>
    </row>
    <row r="467">
      <c r="A467" s="2">
        <v>52678.0</v>
      </c>
      <c r="B467" s="1" t="s">
        <v>2</v>
      </c>
    </row>
    <row r="468">
      <c r="A468" s="2">
        <v>52805.0</v>
      </c>
      <c r="B468" s="1" t="s">
        <v>2</v>
      </c>
    </row>
    <row r="469">
      <c r="A469" s="2">
        <v>53285.0</v>
      </c>
      <c r="B469" s="1" t="s">
        <v>2</v>
      </c>
    </row>
    <row r="470">
      <c r="A470" s="2">
        <v>53536.0</v>
      </c>
      <c r="B470" s="1" t="s">
        <v>2</v>
      </c>
    </row>
    <row r="471">
      <c r="A471" s="2">
        <v>53600.0</v>
      </c>
      <c r="B471" s="1" t="s">
        <v>2</v>
      </c>
    </row>
    <row r="472">
      <c r="A472" s="2">
        <v>53767.0</v>
      </c>
      <c r="B472" s="1" t="s">
        <v>2</v>
      </c>
    </row>
    <row r="473">
      <c r="A473" s="2">
        <v>54086.0</v>
      </c>
      <c r="B473" s="1" t="s">
        <v>2</v>
      </c>
    </row>
    <row r="474">
      <c r="A474" s="2">
        <v>54119.0</v>
      </c>
      <c r="B474" s="1" t="s">
        <v>2</v>
      </c>
    </row>
    <row r="475">
      <c r="A475" s="2">
        <v>54151.0</v>
      </c>
      <c r="B475" s="1" t="s">
        <v>2</v>
      </c>
    </row>
    <row r="476">
      <c r="A476" s="2">
        <v>54215.0</v>
      </c>
      <c r="B476" s="1" t="s">
        <v>2</v>
      </c>
    </row>
    <row r="477">
      <c r="A477" s="2">
        <v>54243.0</v>
      </c>
      <c r="B477" s="1" t="s">
        <v>2</v>
      </c>
    </row>
    <row r="478">
      <c r="A478" s="2">
        <v>54245.0</v>
      </c>
      <c r="B478" s="1" t="s">
        <v>2</v>
      </c>
    </row>
    <row r="479">
      <c r="A479" s="2">
        <v>54339.0</v>
      </c>
      <c r="B479" s="1" t="s">
        <v>2</v>
      </c>
    </row>
    <row r="480">
      <c r="A480" s="2">
        <v>54368.0</v>
      </c>
      <c r="B480" s="1" t="s">
        <v>2</v>
      </c>
    </row>
    <row r="481">
      <c r="A481" s="2">
        <v>54371.0</v>
      </c>
      <c r="B481" s="1" t="s">
        <v>2</v>
      </c>
    </row>
    <row r="482">
      <c r="A482" s="2">
        <v>54563.0</v>
      </c>
      <c r="B482" s="1" t="s">
        <v>2</v>
      </c>
    </row>
    <row r="483">
      <c r="A483" s="2">
        <v>54595.0</v>
      </c>
      <c r="B483" s="1" t="s">
        <v>2</v>
      </c>
    </row>
    <row r="484">
      <c r="A484" s="2">
        <v>54721.0</v>
      </c>
      <c r="B484" s="1" t="s">
        <v>2</v>
      </c>
    </row>
    <row r="485">
      <c r="A485" s="2">
        <v>54755.0</v>
      </c>
      <c r="B485" s="1" t="s">
        <v>2</v>
      </c>
    </row>
    <row r="486">
      <c r="A486" s="2">
        <v>54787.0</v>
      </c>
      <c r="B486" s="1" t="s">
        <v>2</v>
      </c>
    </row>
    <row r="487">
      <c r="A487" s="2">
        <v>54914.0</v>
      </c>
      <c r="B487" s="1" t="s">
        <v>2</v>
      </c>
    </row>
    <row r="488">
      <c r="A488" s="2">
        <v>55172.0</v>
      </c>
      <c r="B488" s="1" t="s">
        <v>2</v>
      </c>
    </row>
    <row r="489">
      <c r="A489" s="2">
        <v>55203.0</v>
      </c>
      <c r="B489" s="1" t="s">
        <v>2</v>
      </c>
    </row>
    <row r="490">
      <c r="A490" s="2">
        <v>55235.0</v>
      </c>
      <c r="B490" s="1" t="s">
        <v>2</v>
      </c>
    </row>
    <row r="491">
      <c r="A491" s="2">
        <v>55330.0</v>
      </c>
      <c r="B491" s="1" t="s">
        <v>2</v>
      </c>
    </row>
    <row r="492">
      <c r="A492" s="2">
        <v>55526.0</v>
      </c>
      <c r="B492" s="1" t="s">
        <v>2</v>
      </c>
    </row>
    <row r="493">
      <c r="A493" s="2">
        <v>55616.0</v>
      </c>
      <c r="B493" s="1" t="s">
        <v>2</v>
      </c>
    </row>
    <row r="494">
      <c r="A494" s="2">
        <v>55618.0</v>
      </c>
      <c r="B494" s="1" t="s">
        <v>2</v>
      </c>
    </row>
    <row r="495">
      <c r="A495" s="2">
        <v>55623.0</v>
      </c>
      <c r="B495" s="1" t="s">
        <v>2</v>
      </c>
    </row>
    <row r="496">
      <c r="A496" s="2">
        <v>55747.0</v>
      </c>
      <c r="B496" s="1" t="s">
        <v>2</v>
      </c>
    </row>
    <row r="497">
      <c r="A497" s="2">
        <v>55776.0</v>
      </c>
      <c r="B497" s="1" t="s">
        <v>2</v>
      </c>
    </row>
    <row r="498">
      <c r="A498" s="2">
        <v>55808.0</v>
      </c>
      <c r="B498" s="1" t="s">
        <v>2</v>
      </c>
    </row>
    <row r="499">
      <c r="A499" s="2">
        <v>55874.0</v>
      </c>
      <c r="B499" s="1" t="s">
        <v>2</v>
      </c>
    </row>
    <row r="500">
      <c r="A500" s="2">
        <v>55877.0</v>
      </c>
      <c r="B500" s="1" t="s">
        <v>2</v>
      </c>
    </row>
    <row r="501">
      <c r="A501" s="2">
        <v>55968.0</v>
      </c>
      <c r="B501" s="1" t="s">
        <v>2</v>
      </c>
    </row>
    <row r="502">
      <c r="A502" s="2">
        <v>56101.0</v>
      </c>
      <c r="B502" s="1" t="s">
        <v>2</v>
      </c>
    </row>
    <row r="503">
      <c r="A503" s="2">
        <v>56128.0</v>
      </c>
      <c r="B503" s="1" t="s">
        <v>2</v>
      </c>
    </row>
    <row r="504">
      <c r="A504" s="2">
        <v>56257.0</v>
      </c>
      <c r="B504" s="1" t="s">
        <v>2</v>
      </c>
    </row>
    <row r="505">
      <c r="A505" s="2">
        <v>56387.0</v>
      </c>
      <c r="B505" s="1" t="s">
        <v>2</v>
      </c>
    </row>
    <row r="506">
      <c r="A506" s="2">
        <v>56452.0</v>
      </c>
      <c r="B506" s="1" t="s">
        <v>2</v>
      </c>
    </row>
    <row r="507">
      <c r="A507" s="2">
        <v>56514.0</v>
      </c>
      <c r="B507" s="1" t="s">
        <v>2</v>
      </c>
    </row>
    <row r="508">
      <c r="A508" s="2">
        <v>56582.0</v>
      </c>
      <c r="B508" s="1" t="s">
        <v>2</v>
      </c>
    </row>
    <row r="509">
      <c r="A509" s="2">
        <v>56612.0</v>
      </c>
      <c r="B509" s="1" t="s">
        <v>2</v>
      </c>
    </row>
    <row r="510">
      <c r="A510" s="2">
        <v>56768.0</v>
      </c>
      <c r="B510" s="1" t="s">
        <v>2</v>
      </c>
    </row>
    <row r="511">
      <c r="A511" s="2">
        <v>56769.0</v>
      </c>
      <c r="B511" s="1" t="s">
        <v>2</v>
      </c>
    </row>
    <row r="512">
      <c r="A512" s="2">
        <v>56868.0</v>
      </c>
      <c r="B512" s="1" t="s">
        <v>2</v>
      </c>
    </row>
    <row r="513">
      <c r="A513" s="2">
        <v>56901.0</v>
      </c>
      <c r="B513" s="1" t="s">
        <v>2</v>
      </c>
    </row>
    <row r="514">
      <c r="A514" s="2">
        <v>56930.0</v>
      </c>
      <c r="B514" s="1" t="s">
        <v>2</v>
      </c>
    </row>
    <row r="515">
      <c r="A515" s="2">
        <v>56931.0</v>
      </c>
      <c r="B515" s="1" t="s">
        <v>2</v>
      </c>
    </row>
    <row r="516">
      <c r="A516" s="2">
        <v>57157.0</v>
      </c>
      <c r="B516" s="1" t="s">
        <v>2</v>
      </c>
    </row>
    <row r="517">
      <c r="A517" s="2">
        <v>57190.0</v>
      </c>
      <c r="B517" s="1" t="s">
        <v>2</v>
      </c>
    </row>
    <row r="518">
      <c r="A518" s="2">
        <v>57248.0</v>
      </c>
      <c r="B518" s="1" t="s">
        <v>2</v>
      </c>
    </row>
    <row r="519">
      <c r="A519" s="2">
        <v>57253.0</v>
      </c>
      <c r="B519" s="1" t="s">
        <v>2</v>
      </c>
    </row>
    <row r="520">
      <c r="A520" s="2">
        <v>57440.0</v>
      </c>
      <c r="B520" s="1" t="s">
        <v>2</v>
      </c>
    </row>
    <row r="521">
      <c r="A521" s="2">
        <v>57510.0</v>
      </c>
      <c r="B521" s="1" t="s">
        <v>2</v>
      </c>
    </row>
    <row r="522">
      <c r="A522" s="2">
        <v>57600.0</v>
      </c>
      <c r="B522" s="1" t="s">
        <v>2</v>
      </c>
    </row>
    <row r="523">
      <c r="A523" s="2">
        <v>57638.0</v>
      </c>
      <c r="B523" s="1" t="s">
        <v>2</v>
      </c>
    </row>
    <row r="524">
      <c r="A524" s="2">
        <v>57986.0</v>
      </c>
      <c r="B524" s="1" t="s">
        <v>2</v>
      </c>
    </row>
    <row r="525">
      <c r="A525" s="2">
        <v>58368.0</v>
      </c>
      <c r="B525" s="1" t="s">
        <v>2</v>
      </c>
    </row>
    <row r="526">
      <c r="A526" s="2">
        <v>58372.0</v>
      </c>
      <c r="B526" s="1" t="s">
        <v>2</v>
      </c>
    </row>
    <row r="527">
      <c r="A527" s="2">
        <v>58470.0</v>
      </c>
      <c r="B527" s="1" t="s">
        <v>2</v>
      </c>
    </row>
    <row r="528">
      <c r="A528" s="2">
        <v>58500.0</v>
      </c>
      <c r="B528" s="1" t="s">
        <v>2</v>
      </c>
    </row>
    <row r="529">
      <c r="A529" s="2">
        <v>58566.0</v>
      </c>
      <c r="B529" s="1" t="s">
        <v>2</v>
      </c>
    </row>
    <row r="530">
      <c r="A530" s="2">
        <v>58688.0</v>
      </c>
      <c r="B530" s="1" t="s">
        <v>2</v>
      </c>
    </row>
    <row r="531">
      <c r="A531" s="2">
        <v>58720.0</v>
      </c>
      <c r="B531" s="1" t="s">
        <v>2</v>
      </c>
    </row>
    <row r="532">
      <c r="A532" s="2">
        <v>58725.0</v>
      </c>
      <c r="B532" s="1" t="s">
        <v>2</v>
      </c>
    </row>
    <row r="533">
      <c r="A533" s="2">
        <v>58818.0</v>
      </c>
      <c r="B533" s="1" t="s">
        <v>2</v>
      </c>
    </row>
    <row r="534">
      <c r="A534" s="2">
        <v>58949.0</v>
      </c>
      <c r="B534" s="1" t="s">
        <v>2</v>
      </c>
    </row>
    <row r="535">
      <c r="A535" s="2">
        <v>59009.0</v>
      </c>
      <c r="B535" s="1" t="s">
        <v>2</v>
      </c>
    </row>
    <row r="536">
      <c r="A536" s="2">
        <v>59047.0</v>
      </c>
      <c r="B536" s="1" t="s">
        <v>2</v>
      </c>
    </row>
    <row r="537">
      <c r="A537" s="2">
        <v>59072.0</v>
      </c>
      <c r="B537" s="1" t="s">
        <v>2</v>
      </c>
    </row>
    <row r="538">
      <c r="A538" s="2">
        <v>59139.0</v>
      </c>
      <c r="B538" s="1" t="s">
        <v>2</v>
      </c>
    </row>
    <row r="539">
      <c r="A539" s="2">
        <v>59171.0</v>
      </c>
      <c r="B539" s="1" t="s">
        <v>2</v>
      </c>
    </row>
    <row r="540">
      <c r="A540" s="2">
        <v>59585.0</v>
      </c>
      <c r="B540" s="1" t="s">
        <v>2</v>
      </c>
    </row>
    <row r="541">
      <c r="A541" s="2">
        <v>59652.0</v>
      </c>
      <c r="B541" s="1" t="s">
        <v>2</v>
      </c>
    </row>
    <row r="542">
      <c r="A542" s="2">
        <v>59680.0</v>
      </c>
      <c r="B542" s="1" t="s">
        <v>2</v>
      </c>
    </row>
    <row r="543">
      <c r="A543" s="2">
        <v>59683.0</v>
      </c>
      <c r="B543" s="1" t="s">
        <v>2</v>
      </c>
    </row>
    <row r="544">
      <c r="A544" s="2">
        <v>59776.0</v>
      </c>
      <c r="B544" s="1" t="s">
        <v>2</v>
      </c>
    </row>
    <row r="545">
      <c r="A545" s="2">
        <v>59879.0</v>
      </c>
      <c r="B545" s="1" t="s">
        <v>2</v>
      </c>
    </row>
    <row r="546">
      <c r="A546" s="2">
        <v>59937.0</v>
      </c>
      <c r="B546" s="1" t="s">
        <v>2</v>
      </c>
    </row>
    <row r="547">
      <c r="A547" s="2">
        <v>123132.0</v>
      </c>
      <c r="B547" s="1" t="s">
        <v>2</v>
      </c>
    </row>
    <row r="548">
      <c r="A548" s="2">
        <v>123166.0</v>
      </c>
      <c r="B548" s="1" t="s">
        <v>2</v>
      </c>
    </row>
    <row r="549">
      <c r="A549" s="2">
        <v>123194.0</v>
      </c>
      <c r="B549" s="1" t="s">
        <v>2</v>
      </c>
    </row>
    <row r="550">
      <c r="A550" s="2">
        <v>123258.0</v>
      </c>
      <c r="B550" s="1" t="s">
        <v>2</v>
      </c>
    </row>
    <row r="551">
      <c r="A551" s="2">
        <v>123323.0</v>
      </c>
      <c r="B551" s="1" t="s">
        <v>2</v>
      </c>
    </row>
    <row r="552">
      <c r="A552" s="2">
        <v>123359.0</v>
      </c>
      <c r="B552" s="1" t="s">
        <v>2</v>
      </c>
    </row>
    <row r="553">
      <c r="A553" s="2">
        <v>123481.0</v>
      </c>
      <c r="B553" s="1" t="s">
        <v>2</v>
      </c>
    </row>
    <row r="554">
      <c r="A554" s="2">
        <v>123483.0</v>
      </c>
      <c r="B554" s="1" t="s">
        <v>2</v>
      </c>
    </row>
    <row r="555">
      <c r="A555" s="2">
        <v>123487.0</v>
      </c>
      <c r="B555" s="1" t="s">
        <v>2</v>
      </c>
    </row>
    <row r="556">
      <c r="A556" s="2">
        <v>123512.0</v>
      </c>
      <c r="B556" s="1" t="s">
        <v>2</v>
      </c>
    </row>
    <row r="557">
      <c r="A557" s="2">
        <v>123614.0</v>
      </c>
      <c r="B557" s="1" t="s">
        <v>2</v>
      </c>
    </row>
    <row r="558">
      <c r="A558" s="2">
        <v>123769.0</v>
      </c>
      <c r="B558" s="1" t="s">
        <v>2</v>
      </c>
    </row>
    <row r="559">
      <c r="A559" s="2">
        <v>123801.0</v>
      </c>
      <c r="B559" s="1" t="s">
        <v>2</v>
      </c>
    </row>
    <row r="560">
      <c r="A560" s="2">
        <v>123802.0</v>
      </c>
      <c r="B560" s="1" t="s">
        <v>2</v>
      </c>
    </row>
    <row r="561">
      <c r="A561" s="2">
        <v>123807.0</v>
      </c>
      <c r="B561" s="1" t="s">
        <v>2</v>
      </c>
    </row>
    <row r="562">
      <c r="A562" s="2">
        <v>123837.0</v>
      </c>
      <c r="B562" s="1" t="s">
        <v>2</v>
      </c>
    </row>
    <row r="563">
      <c r="A563" s="2">
        <v>123870.0</v>
      </c>
      <c r="B563" s="1" t="s">
        <v>2</v>
      </c>
    </row>
    <row r="564">
      <c r="A564" s="2">
        <v>123902.0</v>
      </c>
      <c r="B564" s="1" t="s">
        <v>2</v>
      </c>
    </row>
    <row r="565">
      <c r="A565" s="2">
        <v>123928.0</v>
      </c>
      <c r="B565" s="1" t="s">
        <v>2</v>
      </c>
    </row>
    <row r="566">
      <c r="A566" s="2">
        <v>123994.0</v>
      </c>
      <c r="B566" s="1" t="s">
        <v>2</v>
      </c>
    </row>
    <row r="567">
      <c r="A567" s="2">
        <v>124031.0</v>
      </c>
      <c r="B567" s="1" t="s">
        <v>2</v>
      </c>
    </row>
    <row r="568">
      <c r="A568" s="2">
        <v>124059.0</v>
      </c>
      <c r="B568" s="1" t="s">
        <v>2</v>
      </c>
    </row>
    <row r="569">
      <c r="A569" s="2">
        <v>124060.0</v>
      </c>
      <c r="B569" s="1" t="s">
        <v>2</v>
      </c>
    </row>
    <row r="570">
      <c r="A570" s="2">
        <v>124154.0</v>
      </c>
      <c r="B570" s="1" t="s">
        <v>2</v>
      </c>
    </row>
    <row r="571">
      <c r="A571" s="2">
        <v>124282.0</v>
      </c>
      <c r="B571" s="1" t="s">
        <v>2</v>
      </c>
    </row>
    <row r="572">
      <c r="A572" s="2">
        <v>124286.0</v>
      </c>
      <c r="B572" s="1" t="s">
        <v>2</v>
      </c>
    </row>
    <row r="573">
      <c r="A573" s="2">
        <v>124287.0</v>
      </c>
      <c r="B573" s="1" t="s">
        <v>2</v>
      </c>
    </row>
    <row r="574">
      <c r="A574" s="2">
        <v>124345.0</v>
      </c>
      <c r="B574" s="1" t="s">
        <v>2</v>
      </c>
    </row>
    <row r="575">
      <c r="A575" s="2">
        <v>124444.0</v>
      </c>
      <c r="B575" s="1" t="s">
        <v>2</v>
      </c>
    </row>
    <row r="576">
      <c r="A576" s="2">
        <v>124507.0</v>
      </c>
      <c r="B576" s="1" t="s">
        <v>2</v>
      </c>
    </row>
    <row r="577">
      <c r="A577" s="2">
        <v>124538.0</v>
      </c>
      <c r="B577" s="1" t="s">
        <v>2</v>
      </c>
    </row>
    <row r="578">
      <c r="A578" s="2">
        <v>124701.0</v>
      </c>
      <c r="B578" s="1" t="s">
        <v>2</v>
      </c>
    </row>
    <row r="579">
      <c r="A579" s="2">
        <v>124761.0</v>
      </c>
      <c r="B579" s="1" t="s">
        <v>2</v>
      </c>
    </row>
    <row r="580">
      <c r="A580" s="2">
        <v>124799.0</v>
      </c>
      <c r="B580" s="1" t="s">
        <v>2</v>
      </c>
    </row>
    <row r="581">
      <c r="A581" s="2">
        <v>124892.0</v>
      </c>
      <c r="B581" s="1" t="s">
        <v>2</v>
      </c>
    </row>
    <row r="582">
      <c r="A582" s="2">
        <v>124921.0</v>
      </c>
      <c r="B582" s="1" t="s">
        <v>2</v>
      </c>
    </row>
    <row r="583">
      <c r="A583" s="2">
        <v>124985.0</v>
      </c>
      <c r="B583" s="1" t="s">
        <v>2</v>
      </c>
    </row>
    <row r="584">
      <c r="A584" s="2">
        <v>124988.0</v>
      </c>
      <c r="B584" s="1" t="s">
        <v>2</v>
      </c>
    </row>
    <row r="585">
      <c r="A585" s="2">
        <v>124991.0</v>
      </c>
      <c r="B585" s="1" t="s">
        <v>2</v>
      </c>
    </row>
    <row r="586">
      <c r="A586" s="2">
        <v>125149.0</v>
      </c>
      <c r="B586" s="1" t="s">
        <v>2</v>
      </c>
    </row>
    <row r="587">
      <c r="A587" s="2">
        <v>125150.0</v>
      </c>
      <c r="B587" s="1" t="s">
        <v>2</v>
      </c>
    </row>
    <row r="588">
      <c r="A588" s="2">
        <v>125240.0</v>
      </c>
      <c r="B588" s="1" t="s">
        <v>2</v>
      </c>
    </row>
    <row r="589">
      <c r="A589" s="2">
        <v>125339.0</v>
      </c>
      <c r="B589" s="1" t="s">
        <v>2</v>
      </c>
    </row>
    <row r="590">
      <c r="A590" s="2">
        <v>125373.0</v>
      </c>
      <c r="B590" s="1" t="s">
        <v>2</v>
      </c>
    </row>
    <row r="591">
      <c r="A591" s="2">
        <v>125374.0</v>
      </c>
      <c r="B591" s="1" t="s">
        <v>2</v>
      </c>
    </row>
    <row r="592">
      <c r="A592" s="2">
        <v>125433.0</v>
      </c>
      <c r="B592" s="1" t="s">
        <v>2</v>
      </c>
    </row>
    <row r="593">
      <c r="A593" s="2">
        <v>125467.0</v>
      </c>
      <c r="B593" s="1" t="s">
        <v>2</v>
      </c>
    </row>
    <row r="594">
      <c r="A594" s="2">
        <v>125503.0</v>
      </c>
      <c r="B594" s="1" t="s">
        <v>2</v>
      </c>
    </row>
    <row r="595">
      <c r="A595" s="2">
        <v>125560.0</v>
      </c>
      <c r="B595" s="1" t="s">
        <v>2</v>
      </c>
    </row>
    <row r="596">
      <c r="A596" s="2">
        <v>125562.0</v>
      </c>
      <c r="B596" s="1" t="s">
        <v>2</v>
      </c>
    </row>
    <row r="597">
      <c r="A597" s="2">
        <v>125631.0</v>
      </c>
      <c r="B597" s="1" t="s">
        <v>2</v>
      </c>
    </row>
    <row r="598">
      <c r="A598" s="2">
        <v>125659.0</v>
      </c>
      <c r="B598" s="1" t="s">
        <v>2</v>
      </c>
    </row>
    <row r="599">
      <c r="A599" s="2">
        <v>125754.0</v>
      </c>
      <c r="B599" s="1" t="s">
        <v>2</v>
      </c>
    </row>
    <row r="600">
      <c r="A600" s="2">
        <v>125818.0</v>
      </c>
      <c r="B600" s="1" t="s">
        <v>2</v>
      </c>
    </row>
    <row r="601">
      <c r="A601" s="2">
        <v>125882.0</v>
      </c>
      <c r="B601" s="1" t="s">
        <v>2</v>
      </c>
    </row>
    <row r="602">
      <c r="A602" s="2">
        <v>125883.0</v>
      </c>
      <c r="B602" s="1" t="s">
        <v>2</v>
      </c>
    </row>
    <row r="603">
      <c r="A603" s="2">
        <v>125885.0</v>
      </c>
      <c r="B603" s="1" t="s">
        <v>2</v>
      </c>
    </row>
    <row r="604">
      <c r="A604" s="2">
        <v>125947.0</v>
      </c>
      <c r="B604" s="1" t="s">
        <v>2</v>
      </c>
    </row>
    <row r="605">
      <c r="A605" s="2">
        <v>125976.0</v>
      </c>
      <c r="B605" s="1" t="s">
        <v>2</v>
      </c>
    </row>
    <row r="606">
      <c r="A606" s="2">
        <v>126046.0</v>
      </c>
      <c r="B606" s="1" t="s">
        <v>2</v>
      </c>
    </row>
    <row r="607">
      <c r="A607" s="2">
        <v>126108.0</v>
      </c>
      <c r="B607" s="1" t="s">
        <v>2</v>
      </c>
    </row>
    <row r="608">
      <c r="A608" s="2">
        <v>126169.0</v>
      </c>
      <c r="B608" s="1" t="s">
        <v>2</v>
      </c>
    </row>
    <row r="609">
      <c r="A609" s="2">
        <v>126235.0</v>
      </c>
      <c r="B609" s="1" t="s">
        <v>2</v>
      </c>
    </row>
    <row r="610">
      <c r="A610" s="2">
        <v>126297.0</v>
      </c>
      <c r="B610" s="1" t="s">
        <v>2</v>
      </c>
    </row>
    <row r="611">
      <c r="A611" s="2">
        <v>126300.0</v>
      </c>
      <c r="B611" s="1" t="s">
        <v>2</v>
      </c>
    </row>
    <row r="612">
      <c r="A612" s="2">
        <v>126393.0</v>
      </c>
      <c r="B612" s="1" t="s">
        <v>2</v>
      </c>
    </row>
    <row r="613">
      <c r="A613" s="2">
        <v>126456.0</v>
      </c>
      <c r="B613" s="1" t="s">
        <v>2</v>
      </c>
    </row>
    <row r="614">
      <c r="A614" s="2">
        <v>126459.0</v>
      </c>
      <c r="B614" s="1" t="s">
        <v>2</v>
      </c>
    </row>
    <row r="615">
      <c r="A615" s="2">
        <v>126488.0</v>
      </c>
      <c r="B615" s="1" t="s">
        <v>2</v>
      </c>
    </row>
    <row r="616">
      <c r="A616" s="2">
        <v>126521.0</v>
      </c>
      <c r="B616" s="1" t="s">
        <v>2</v>
      </c>
    </row>
    <row r="617">
      <c r="A617" s="2">
        <v>126585.0</v>
      </c>
      <c r="B617" s="1" t="s">
        <v>2</v>
      </c>
    </row>
    <row r="618">
      <c r="A618" s="2">
        <v>126654.0</v>
      </c>
      <c r="B618" s="1" t="s">
        <v>2</v>
      </c>
    </row>
    <row r="619">
      <c r="A619" s="2">
        <v>126680.0</v>
      </c>
      <c r="B619" s="1" t="s">
        <v>2</v>
      </c>
    </row>
    <row r="620">
      <c r="A620" s="2">
        <v>126777.0</v>
      </c>
      <c r="B620" s="1" t="s">
        <v>2</v>
      </c>
    </row>
    <row r="621">
      <c r="A621" s="2">
        <v>126783.0</v>
      </c>
      <c r="B621" s="1" t="s">
        <v>2</v>
      </c>
    </row>
    <row r="622">
      <c r="A622" s="2">
        <v>126814.0</v>
      </c>
      <c r="B622" s="1" t="s">
        <v>2</v>
      </c>
    </row>
    <row r="623">
      <c r="A623" s="2">
        <v>126877.0</v>
      </c>
      <c r="B623" s="1" t="s">
        <v>2</v>
      </c>
    </row>
    <row r="624">
      <c r="A624" s="2">
        <v>126905.0</v>
      </c>
      <c r="B624" s="1" t="s">
        <v>2</v>
      </c>
    </row>
    <row r="625">
      <c r="A625" s="2">
        <v>126907.0</v>
      </c>
      <c r="B625" s="1" t="s">
        <v>2</v>
      </c>
    </row>
    <row r="626">
      <c r="A626" s="2">
        <v>126973.0</v>
      </c>
      <c r="B626" s="1" t="s">
        <v>2</v>
      </c>
    </row>
    <row r="627">
      <c r="A627" s="2">
        <v>127324.0</v>
      </c>
      <c r="B627" s="1" t="s">
        <v>2</v>
      </c>
    </row>
    <row r="628">
      <c r="A628" s="2">
        <v>127516.0</v>
      </c>
      <c r="B628" s="1" t="s">
        <v>2</v>
      </c>
    </row>
    <row r="629">
      <c r="A629" s="2">
        <v>127545.0</v>
      </c>
      <c r="B629" s="1" t="s">
        <v>2</v>
      </c>
    </row>
    <row r="630">
      <c r="A630" s="2">
        <v>127612.0</v>
      </c>
      <c r="B630" s="1" t="s">
        <v>2</v>
      </c>
    </row>
    <row r="631">
      <c r="A631" s="2">
        <v>127737.0</v>
      </c>
      <c r="B631" s="1" t="s">
        <v>2</v>
      </c>
    </row>
    <row r="632">
      <c r="A632" s="2">
        <v>127769.0</v>
      </c>
      <c r="B632" s="1" t="s">
        <v>2</v>
      </c>
    </row>
    <row r="633">
      <c r="A633" s="2">
        <v>127773.0</v>
      </c>
      <c r="B633" s="1" t="s">
        <v>2</v>
      </c>
    </row>
    <row r="634">
      <c r="A634" s="2">
        <v>127774.0</v>
      </c>
      <c r="B634" s="1" t="s">
        <v>2</v>
      </c>
    </row>
    <row r="635">
      <c r="A635" s="2">
        <v>127870.0</v>
      </c>
      <c r="B635" s="1" t="s">
        <v>2</v>
      </c>
    </row>
    <row r="636">
      <c r="A636" s="2">
        <v>128028.0</v>
      </c>
      <c r="B636" s="1" t="s">
        <v>2</v>
      </c>
    </row>
    <row r="637">
      <c r="A637" s="2">
        <v>128061.0</v>
      </c>
      <c r="B637" s="1" t="s">
        <v>2</v>
      </c>
    </row>
    <row r="638">
      <c r="A638" s="2">
        <v>128284.0</v>
      </c>
      <c r="B638" s="1" t="s">
        <v>2</v>
      </c>
    </row>
    <row r="639">
      <c r="A639" s="2">
        <v>128316.0</v>
      </c>
      <c r="B639" s="1" t="s">
        <v>2</v>
      </c>
    </row>
    <row r="640">
      <c r="A640" s="2">
        <v>128381.0</v>
      </c>
      <c r="B640" s="1" t="s">
        <v>2</v>
      </c>
    </row>
    <row r="641">
      <c r="A641" s="2">
        <v>128504.0</v>
      </c>
      <c r="B641" s="1" t="s">
        <v>2</v>
      </c>
    </row>
    <row r="642">
      <c r="A642" s="2">
        <v>128509.0</v>
      </c>
      <c r="B642" s="1" t="s">
        <v>2</v>
      </c>
    </row>
    <row r="643">
      <c r="A643" s="2">
        <v>128510.0</v>
      </c>
      <c r="B643" s="1" t="s">
        <v>2</v>
      </c>
    </row>
    <row r="644">
      <c r="A644" s="2">
        <v>128735.0</v>
      </c>
      <c r="B644" s="1" t="s">
        <v>2</v>
      </c>
    </row>
    <row r="645">
      <c r="A645" s="2">
        <v>128765.0</v>
      </c>
      <c r="B645" s="1" t="s">
        <v>2</v>
      </c>
    </row>
    <row r="646">
      <c r="A646" s="2">
        <v>128767.0</v>
      </c>
      <c r="B646" s="1" t="s">
        <v>2</v>
      </c>
    </row>
    <row r="647">
      <c r="A647" s="2">
        <v>128830.0</v>
      </c>
      <c r="B647" s="1" t="s">
        <v>2</v>
      </c>
    </row>
    <row r="648">
      <c r="A648" s="2">
        <v>128925.0</v>
      </c>
      <c r="B648" s="1" t="s">
        <v>2</v>
      </c>
    </row>
    <row r="649">
      <c r="A649" s="2">
        <v>128984.0</v>
      </c>
      <c r="B649" s="1" t="s">
        <v>2</v>
      </c>
    </row>
    <row r="650">
      <c r="A650" s="2">
        <v>129018.0</v>
      </c>
      <c r="B650" s="1" t="s">
        <v>2</v>
      </c>
    </row>
    <row r="651">
      <c r="A651" s="2">
        <v>129053.0</v>
      </c>
      <c r="B651" s="1" t="s">
        <v>2</v>
      </c>
    </row>
    <row r="652">
      <c r="A652" s="2">
        <v>129182.0</v>
      </c>
      <c r="B652" s="1" t="s">
        <v>2</v>
      </c>
    </row>
    <row r="653">
      <c r="A653" s="2">
        <v>129241.0</v>
      </c>
      <c r="B653" s="1" t="s">
        <v>2</v>
      </c>
    </row>
    <row r="654">
      <c r="A654" s="2">
        <v>129246.0</v>
      </c>
      <c r="B654" s="1" t="s">
        <v>2</v>
      </c>
    </row>
    <row r="655">
      <c r="A655" s="2">
        <v>129272.0</v>
      </c>
      <c r="B655" s="1" t="s">
        <v>2</v>
      </c>
    </row>
    <row r="656">
      <c r="A656" s="2">
        <v>129279.0</v>
      </c>
      <c r="B656" s="1" t="s">
        <v>2</v>
      </c>
    </row>
    <row r="657">
      <c r="A657" s="2">
        <v>129310.0</v>
      </c>
      <c r="B657" s="1" t="s">
        <v>2</v>
      </c>
    </row>
    <row r="658">
      <c r="A658" s="2">
        <v>129336.0</v>
      </c>
      <c r="B658" s="1" t="s">
        <v>2</v>
      </c>
    </row>
    <row r="659">
      <c r="A659" s="2">
        <v>129339.0</v>
      </c>
      <c r="B659" s="1" t="s">
        <v>2</v>
      </c>
    </row>
    <row r="660">
      <c r="A660" s="2">
        <v>129368.0</v>
      </c>
      <c r="B660" s="1" t="s">
        <v>2</v>
      </c>
    </row>
    <row r="661">
      <c r="A661" s="2">
        <v>129369.0</v>
      </c>
      <c r="B661" s="1" t="s">
        <v>2</v>
      </c>
    </row>
    <row r="662">
      <c r="A662" s="2">
        <v>129433.0</v>
      </c>
      <c r="B662" s="1" t="s">
        <v>2</v>
      </c>
    </row>
    <row r="663">
      <c r="A663" s="2">
        <v>129501.0</v>
      </c>
      <c r="B663" s="1" t="s">
        <v>2</v>
      </c>
    </row>
    <row r="664">
      <c r="A664" s="2">
        <v>129592.0</v>
      </c>
      <c r="B664" s="1" t="s">
        <v>2</v>
      </c>
    </row>
    <row r="665">
      <c r="A665" s="2">
        <v>129727.0</v>
      </c>
      <c r="B665" s="1" t="s">
        <v>2</v>
      </c>
    </row>
    <row r="666">
      <c r="A666" s="2">
        <v>129753.0</v>
      </c>
      <c r="B666" s="1" t="s">
        <v>2</v>
      </c>
    </row>
    <row r="667">
      <c r="A667" s="2">
        <v>129791.0</v>
      </c>
      <c r="B667" s="1" t="s">
        <v>2</v>
      </c>
    </row>
    <row r="668">
      <c r="A668" s="2">
        <v>129850.0</v>
      </c>
      <c r="B668" s="1" t="s">
        <v>2</v>
      </c>
    </row>
    <row r="669">
      <c r="A669" s="2">
        <v>129854.0</v>
      </c>
      <c r="B669" s="1" t="s">
        <v>2</v>
      </c>
    </row>
    <row r="670">
      <c r="A670" s="2">
        <v>129918.0</v>
      </c>
      <c r="B670" s="1" t="s">
        <v>2</v>
      </c>
    </row>
    <row r="671">
      <c r="A671" s="2">
        <v>129947.0</v>
      </c>
      <c r="B671" s="1" t="s">
        <v>2</v>
      </c>
    </row>
    <row r="672">
      <c r="A672" s="2">
        <v>129979.0</v>
      </c>
      <c r="B672" s="1" t="s">
        <v>2</v>
      </c>
    </row>
    <row r="673">
      <c r="A673" s="2">
        <v>130015.0</v>
      </c>
      <c r="B673" s="1" t="s">
        <v>2</v>
      </c>
    </row>
    <row r="674">
      <c r="A674" s="2">
        <v>130042.0</v>
      </c>
      <c r="B674" s="1" t="s">
        <v>2</v>
      </c>
    </row>
    <row r="675">
      <c r="A675" s="2">
        <v>130077.0</v>
      </c>
      <c r="B675" s="1" t="s">
        <v>2</v>
      </c>
    </row>
    <row r="676">
      <c r="A676" s="2">
        <v>130079.0</v>
      </c>
      <c r="B676" s="1" t="s">
        <v>2</v>
      </c>
    </row>
    <row r="677">
      <c r="A677" s="2">
        <v>130110.0</v>
      </c>
      <c r="B677" s="1" t="s">
        <v>2</v>
      </c>
    </row>
    <row r="678">
      <c r="A678" s="2">
        <v>130174.0</v>
      </c>
      <c r="B678" s="1" t="s">
        <v>2</v>
      </c>
    </row>
    <row r="679">
      <c r="A679" s="2">
        <v>130267.0</v>
      </c>
      <c r="B679" s="1" t="s">
        <v>2</v>
      </c>
    </row>
    <row r="680">
      <c r="A680" s="2">
        <v>130429.0</v>
      </c>
      <c r="B680" s="1" t="s">
        <v>2</v>
      </c>
    </row>
    <row r="681">
      <c r="A681" s="2">
        <v>130430.0</v>
      </c>
      <c r="B681" s="1" t="s">
        <v>2</v>
      </c>
    </row>
    <row r="682">
      <c r="A682" s="2">
        <v>130489.0</v>
      </c>
      <c r="B682" s="1" t="s">
        <v>2</v>
      </c>
    </row>
    <row r="683">
      <c r="A683" s="2">
        <v>130623.0</v>
      </c>
      <c r="B683" s="1" t="s">
        <v>2</v>
      </c>
    </row>
    <row r="684">
      <c r="A684" s="2">
        <v>130746.0</v>
      </c>
      <c r="B684" s="1" t="s">
        <v>2</v>
      </c>
    </row>
    <row r="685">
      <c r="A685" s="2">
        <v>130776.0</v>
      </c>
      <c r="B685" s="1" t="s">
        <v>2</v>
      </c>
    </row>
    <row r="686">
      <c r="A686" s="2">
        <v>130840.0</v>
      </c>
      <c r="B686" s="1" t="s">
        <v>2</v>
      </c>
    </row>
    <row r="687">
      <c r="A687" s="2">
        <v>130845.0</v>
      </c>
      <c r="B687" s="1" t="s">
        <v>2</v>
      </c>
    </row>
    <row r="688">
      <c r="A688" s="2">
        <v>130905.0</v>
      </c>
      <c r="B688" s="1" t="s">
        <v>2</v>
      </c>
    </row>
    <row r="689">
      <c r="A689" s="2">
        <v>130936.0</v>
      </c>
      <c r="B689" s="1" t="s">
        <v>2</v>
      </c>
    </row>
    <row r="690">
      <c r="A690" s="2">
        <v>131039.0</v>
      </c>
      <c r="B690" s="1" t="s">
        <v>2</v>
      </c>
    </row>
    <row r="691">
      <c r="A691" s="2">
        <v>131101.0</v>
      </c>
      <c r="B691" s="1" t="s">
        <v>2</v>
      </c>
    </row>
    <row r="692">
      <c r="A692" s="2">
        <v>131130.0</v>
      </c>
      <c r="B692" s="1" t="s">
        <v>2</v>
      </c>
    </row>
    <row r="693">
      <c r="A693" s="2">
        <v>131133.0</v>
      </c>
      <c r="B693" s="1" t="s">
        <v>2</v>
      </c>
    </row>
    <row r="694">
      <c r="A694" s="2">
        <v>131288.0</v>
      </c>
      <c r="B694" s="1" t="s">
        <v>2</v>
      </c>
    </row>
    <row r="695">
      <c r="A695" s="2">
        <v>131294.0</v>
      </c>
      <c r="B695" s="1" t="s">
        <v>2</v>
      </c>
    </row>
    <row r="696">
      <c r="A696" s="2">
        <v>131450.0</v>
      </c>
      <c r="B696" s="1" t="s">
        <v>2</v>
      </c>
    </row>
    <row r="697">
      <c r="A697" s="2">
        <v>131614.0</v>
      </c>
      <c r="B697" s="1" t="s">
        <v>2</v>
      </c>
    </row>
    <row r="698">
      <c r="A698" s="2">
        <v>131642.0</v>
      </c>
      <c r="B698" s="1" t="s">
        <v>2</v>
      </c>
    </row>
    <row r="699">
      <c r="A699" s="2">
        <v>131773.0</v>
      </c>
      <c r="B699" s="1" t="s">
        <v>2</v>
      </c>
    </row>
    <row r="700">
      <c r="A700" s="2">
        <v>131802.0</v>
      </c>
      <c r="B700" s="1" t="s">
        <v>2</v>
      </c>
    </row>
    <row r="701">
      <c r="A701" s="2">
        <v>131835.0</v>
      </c>
      <c r="B701" s="1" t="s">
        <v>2</v>
      </c>
    </row>
    <row r="702">
      <c r="A702" s="2">
        <v>131901.0</v>
      </c>
      <c r="B702" s="1" t="s">
        <v>2</v>
      </c>
    </row>
    <row r="703">
      <c r="A703" s="2">
        <v>131960.0</v>
      </c>
      <c r="B703" s="1" t="s">
        <v>2</v>
      </c>
    </row>
    <row r="704">
      <c r="A704" s="2">
        <v>131998.0</v>
      </c>
      <c r="B704" s="1" t="s">
        <v>2</v>
      </c>
    </row>
    <row r="705">
      <c r="A705" s="2">
        <v>132024.0</v>
      </c>
      <c r="B705" s="1" t="s">
        <v>2</v>
      </c>
    </row>
    <row r="706">
      <c r="A706" s="2">
        <v>132062.0</v>
      </c>
      <c r="B706" s="1" t="s">
        <v>2</v>
      </c>
    </row>
    <row r="707">
      <c r="A707" s="2">
        <v>132091.0</v>
      </c>
      <c r="B707" s="1" t="s">
        <v>2</v>
      </c>
    </row>
    <row r="708">
      <c r="A708" s="2">
        <v>132093.0</v>
      </c>
      <c r="B708" s="1" t="s">
        <v>2</v>
      </c>
    </row>
    <row r="709">
      <c r="A709" s="2">
        <v>132095.0</v>
      </c>
      <c r="B709" s="1" t="s">
        <v>2</v>
      </c>
    </row>
    <row r="710">
      <c r="A710" s="2">
        <v>132127.0</v>
      </c>
      <c r="B710" s="1" t="s">
        <v>2</v>
      </c>
    </row>
    <row r="711">
      <c r="A711" s="2">
        <v>132152.0</v>
      </c>
      <c r="B711" s="1" t="s">
        <v>2</v>
      </c>
    </row>
    <row r="712">
      <c r="A712" s="2">
        <v>132221.0</v>
      </c>
      <c r="B712" s="1" t="s">
        <v>2</v>
      </c>
    </row>
    <row r="713">
      <c r="A713" s="2">
        <v>132222.0</v>
      </c>
      <c r="B713" s="1" t="s">
        <v>2</v>
      </c>
    </row>
    <row r="714">
      <c r="A714" s="2">
        <v>132248.0</v>
      </c>
      <c r="B714" s="1" t="s">
        <v>2</v>
      </c>
    </row>
    <row r="715">
      <c r="A715" s="2">
        <v>132281.0</v>
      </c>
      <c r="B715" s="1" t="s">
        <v>2</v>
      </c>
    </row>
    <row r="716">
      <c r="A716" s="2">
        <v>132347.0</v>
      </c>
      <c r="B716" s="1" t="s">
        <v>2</v>
      </c>
    </row>
    <row r="717">
      <c r="A717" s="2">
        <v>132350.0</v>
      </c>
      <c r="B717" s="1" t="s">
        <v>2</v>
      </c>
    </row>
    <row r="718">
      <c r="A718" s="2">
        <v>132472.0</v>
      </c>
      <c r="B718" s="1" t="s">
        <v>2</v>
      </c>
    </row>
    <row r="719">
      <c r="A719" s="2">
        <v>132573.0</v>
      </c>
      <c r="B719" s="1" t="s">
        <v>2</v>
      </c>
    </row>
    <row r="720">
      <c r="A720" s="2">
        <v>132669.0</v>
      </c>
      <c r="B720" s="1" t="s">
        <v>2</v>
      </c>
    </row>
    <row r="721">
      <c r="A721" s="2">
        <v>132733.0</v>
      </c>
      <c r="B721" s="1" t="s">
        <v>2</v>
      </c>
    </row>
    <row r="722">
      <c r="A722" s="2">
        <v>132794.0</v>
      </c>
      <c r="B722" s="1" t="s">
        <v>2</v>
      </c>
    </row>
    <row r="723">
      <c r="A723" s="2">
        <v>132857.0</v>
      </c>
      <c r="B723" s="1" t="s">
        <v>2</v>
      </c>
    </row>
    <row r="724">
      <c r="A724" s="2">
        <v>132863.0</v>
      </c>
      <c r="B724" s="1" t="s">
        <v>2</v>
      </c>
    </row>
    <row r="725">
      <c r="A725" s="2">
        <v>132894.0</v>
      </c>
      <c r="B725" s="1" t="s">
        <v>2</v>
      </c>
    </row>
    <row r="726">
      <c r="A726" s="2">
        <v>133052.0</v>
      </c>
      <c r="B726" s="1" t="s">
        <v>2</v>
      </c>
    </row>
    <row r="727">
      <c r="A727" s="2">
        <v>133081.0</v>
      </c>
      <c r="B727" s="1" t="s">
        <v>2</v>
      </c>
    </row>
    <row r="728">
      <c r="A728" s="2">
        <v>133144.0</v>
      </c>
      <c r="B728" s="1" t="s">
        <v>2</v>
      </c>
    </row>
    <row r="729">
      <c r="A729" s="2">
        <v>133247.0</v>
      </c>
      <c r="B729" s="1" t="s">
        <v>2</v>
      </c>
    </row>
    <row r="730">
      <c r="A730" s="2">
        <v>133277.0</v>
      </c>
      <c r="B730" s="1" t="s">
        <v>2</v>
      </c>
    </row>
    <row r="731">
      <c r="A731" s="2">
        <v>133305.0</v>
      </c>
      <c r="B731" s="1" t="s">
        <v>2</v>
      </c>
    </row>
    <row r="732">
      <c r="A732" s="2">
        <v>133306.0</v>
      </c>
      <c r="B732" s="1" t="s">
        <v>2</v>
      </c>
    </row>
    <row r="733">
      <c r="A733" s="2">
        <v>133310.0</v>
      </c>
      <c r="B733" s="1" t="s">
        <v>2</v>
      </c>
    </row>
    <row r="734">
      <c r="A734" s="2">
        <v>133369.0</v>
      </c>
      <c r="B734" s="1" t="s">
        <v>2</v>
      </c>
    </row>
    <row r="735">
      <c r="A735" s="2">
        <v>133627.0</v>
      </c>
      <c r="B735" s="1" t="s">
        <v>2</v>
      </c>
    </row>
    <row r="736">
      <c r="A736" s="2">
        <v>133662.0</v>
      </c>
      <c r="B736" s="1" t="s">
        <v>2</v>
      </c>
    </row>
    <row r="737">
      <c r="A737" s="2">
        <v>133722.0</v>
      </c>
      <c r="B737" s="1" t="s">
        <v>2</v>
      </c>
    </row>
    <row r="738">
      <c r="A738" s="2">
        <v>133819.0</v>
      </c>
      <c r="B738" s="1" t="s">
        <v>2</v>
      </c>
    </row>
    <row r="739">
      <c r="A739" s="2">
        <v>133851.0</v>
      </c>
      <c r="B739" s="1" t="s">
        <v>2</v>
      </c>
    </row>
    <row r="740">
      <c r="A740" s="2">
        <v>133884.0</v>
      </c>
      <c r="B740" s="1" t="s">
        <v>2</v>
      </c>
    </row>
    <row r="741">
      <c r="A741" s="2">
        <v>133917.0</v>
      </c>
      <c r="B741" s="1" t="s">
        <v>2</v>
      </c>
    </row>
    <row r="742">
      <c r="A742" s="2">
        <v>133919.0</v>
      </c>
      <c r="B742" s="1" t="s">
        <v>2</v>
      </c>
    </row>
    <row r="743">
      <c r="A743" s="2">
        <v>133951.0</v>
      </c>
      <c r="B743" s="1" t="s">
        <v>2</v>
      </c>
    </row>
    <row r="744">
      <c r="A744" s="2">
        <v>133979.0</v>
      </c>
      <c r="B744" s="1" t="s">
        <v>2</v>
      </c>
    </row>
    <row r="745">
      <c r="A745" s="2">
        <v>134011.0</v>
      </c>
      <c r="B745" s="1" t="s">
        <v>2</v>
      </c>
    </row>
    <row r="746">
      <c r="A746" s="2">
        <v>134111.0</v>
      </c>
      <c r="B746" s="1" t="s">
        <v>2</v>
      </c>
    </row>
    <row r="747">
      <c r="A747" s="2">
        <v>134202.0</v>
      </c>
      <c r="B747" s="1" t="s">
        <v>2</v>
      </c>
    </row>
    <row r="748">
      <c r="A748" s="2">
        <v>134271.0</v>
      </c>
      <c r="B748" s="1" t="s">
        <v>2</v>
      </c>
    </row>
    <row r="749">
      <c r="A749" s="2">
        <v>134398.0</v>
      </c>
      <c r="B749" s="1" t="s">
        <v>2</v>
      </c>
    </row>
    <row r="750">
      <c r="A750" s="2">
        <v>134425.0</v>
      </c>
      <c r="B750" s="1" t="s">
        <v>2</v>
      </c>
    </row>
    <row r="751">
      <c r="A751" s="2">
        <v>134431.0</v>
      </c>
      <c r="B751" s="1" t="s">
        <v>2</v>
      </c>
    </row>
    <row r="752">
      <c r="A752" s="2">
        <v>134553.0</v>
      </c>
      <c r="B752" s="1" t="s">
        <v>2</v>
      </c>
    </row>
    <row r="753">
      <c r="A753" s="2">
        <v>134648.0</v>
      </c>
      <c r="B753" s="1" t="s">
        <v>2</v>
      </c>
    </row>
    <row r="754">
      <c r="A754" s="2">
        <v>134651.0</v>
      </c>
      <c r="B754" s="1" t="s">
        <v>2</v>
      </c>
    </row>
    <row r="755">
      <c r="A755" s="2">
        <v>134745.0</v>
      </c>
      <c r="B755" s="1" t="s">
        <v>2</v>
      </c>
    </row>
    <row r="756">
      <c r="A756" s="2">
        <v>134779.0</v>
      </c>
      <c r="B756" s="1" t="s">
        <v>2</v>
      </c>
    </row>
    <row r="757">
      <c r="A757" s="2">
        <v>134782.0</v>
      </c>
      <c r="B757" s="1" t="s">
        <v>2</v>
      </c>
    </row>
    <row r="758">
      <c r="A758" s="2">
        <v>134808.0</v>
      </c>
      <c r="B758" s="1" t="s">
        <v>2</v>
      </c>
    </row>
    <row r="759">
      <c r="A759" s="2">
        <v>134846.0</v>
      </c>
      <c r="B759" s="1" t="s">
        <v>2</v>
      </c>
    </row>
    <row r="760">
      <c r="A760" s="2">
        <v>134908.0</v>
      </c>
      <c r="B760" s="1" t="s">
        <v>2</v>
      </c>
    </row>
    <row r="761">
      <c r="A761" s="2">
        <v>134943.0</v>
      </c>
      <c r="B761" s="1" t="s">
        <v>2</v>
      </c>
    </row>
    <row r="762">
      <c r="A762" s="2">
        <v>135005.0</v>
      </c>
      <c r="B762" s="1" t="s">
        <v>2</v>
      </c>
    </row>
    <row r="763">
      <c r="A763" s="2">
        <v>135037.0</v>
      </c>
      <c r="B763" s="1" t="s">
        <v>2</v>
      </c>
    </row>
    <row r="764">
      <c r="A764" s="2">
        <v>135160.0</v>
      </c>
      <c r="B764" s="1" t="s">
        <v>2</v>
      </c>
    </row>
    <row r="765">
      <c r="A765" s="2">
        <v>135194.0</v>
      </c>
      <c r="B765" s="1" t="s">
        <v>2</v>
      </c>
    </row>
    <row r="766">
      <c r="A766" s="2">
        <v>135224.0</v>
      </c>
      <c r="B766" s="1" t="s">
        <v>2</v>
      </c>
    </row>
    <row r="767">
      <c r="A767" s="2">
        <v>135320.0</v>
      </c>
      <c r="B767" s="1" t="s">
        <v>2</v>
      </c>
    </row>
    <row r="768">
      <c r="A768" s="2">
        <v>135356.0</v>
      </c>
      <c r="B768" s="1" t="s">
        <v>2</v>
      </c>
    </row>
    <row r="769">
      <c r="A769" s="2">
        <v>135389.0</v>
      </c>
      <c r="B769" s="1" t="s">
        <v>2</v>
      </c>
    </row>
    <row r="770">
      <c r="A770" s="2">
        <v>135420.0</v>
      </c>
      <c r="B770" s="1" t="s">
        <v>2</v>
      </c>
    </row>
    <row r="771">
      <c r="A771" s="2">
        <v>135480.0</v>
      </c>
      <c r="B771" s="1" t="s">
        <v>2</v>
      </c>
    </row>
    <row r="772">
      <c r="A772" s="2">
        <v>135612.0</v>
      </c>
      <c r="B772" s="1" t="s">
        <v>2</v>
      </c>
    </row>
    <row r="773">
      <c r="A773" s="2">
        <v>135613.0</v>
      </c>
      <c r="B773" s="1" t="s">
        <v>2</v>
      </c>
    </row>
    <row r="774">
      <c r="A774" s="2">
        <v>135643.0</v>
      </c>
      <c r="B774" s="1" t="s">
        <v>2</v>
      </c>
    </row>
    <row r="775">
      <c r="A775" s="2">
        <v>135707.0</v>
      </c>
      <c r="B775" s="1" t="s">
        <v>2</v>
      </c>
    </row>
    <row r="776">
      <c r="A776" s="2">
        <v>135806.0</v>
      </c>
      <c r="B776" s="1" t="s">
        <v>2</v>
      </c>
    </row>
    <row r="777">
      <c r="A777" s="2">
        <v>135867.0</v>
      </c>
      <c r="B777" s="1" t="s">
        <v>2</v>
      </c>
    </row>
    <row r="778">
      <c r="A778" s="2">
        <v>135871.0</v>
      </c>
      <c r="B778" s="1" t="s">
        <v>2</v>
      </c>
    </row>
    <row r="779">
      <c r="A779" s="2">
        <v>135897.0</v>
      </c>
      <c r="B779" s="1" t="s">
        <v>2</v>
      </c>
    </row>
    <row r="780">
      <c r="A780" s="2">
        <v>136121.0</v>
      </c>
      <c r="B780" s="1" t="s">
        <v>2</v>
      </c>
    </row>
    <row r="781">
      <c r="A781" s="2">
        <v>136158.0</v>
      </c>
      <c r="B781" s="1" t="s">
        <v>2</v>
      </c>
    </row>
    <row r="782">
      <c r="A782" s="2">
        <v>136252.0</v>
      </c>
      <c r="B782" s="1" t="s">
        <v>2</v>
      </c>
    </row>
    <row r="783">
      <c r="A783" s="2">
        <v>136378.0</v>
      </c>
      <c r="B783" s="1" t="s">
        <v>2</v>
      </c>
    </row>
    <row r="784">
      <c r="A784" s="2">
        <v>136440.0</v>
      </c>
      <c r="B784" s="1" t="s">
        <v>2</v>
      </c>
    </row>
    <row r="785">
      <c r="A785" s="2">
        <v>136444.0</v>
      </c>
      <c r="B785" s="1" t="s">
        <v>2</v>
      </c>
    </row>
    <row r="786">
      <c r="A786" s="2">
        <v>136476.0</v>
      </c>
      <c r="B786" s="1" t="s">
        <v>2</v>
      </c>
    </row>
    <row r="787">
      <c r="A787" s="2">
        <v>136507.0</v>
      </c>
      <c r="B787" s="1" t="s">
        <v>2</v>
      </c>
    </row>
    <row r="788">
      <c r="A788" s="2">
        <v>136537.0</v>
      </c>
      <c r="B788" s="1" t="s">
        <v>2</v>
      </c>
    </row>
    <row r="789">
      <c r="A789" s="2">
        <v>136572.0</v>
      </c>
      <c r="B789" s="1" t="s">
        <v>2</v>
      </c>
    </row>
    <row r="790">
      <c r="A790" s="2">
        <v>136606.0</v>
      </c>
      <c r="B790" s="1" t="s">
        <v>2</v>
      </c>
    </row>
    <row r="791">
      <c r="A791" s="2">
        <v>136607.0</v>
      </c>
      <c r="B791" s="1" t="s">
        <v>2</v>
      </c>
    </row>
    <row r="792">
      <c r="A792" s="2">
        <v>136765.0</v>
      </c>
      <c r="B792" s="1" t="s">
        <v>2</v>
      </c>
    </row>
    <row r="793">
      <c r="A793" s="2">
        <v>136795.0</v>
      </c>
      <c r="B793" s="1" t="s">
        <v>2</v>
      </c>
    </row>
    <row r="794">
      <c r="A794" s="2">
        <v>136825.0</v>
      </c>
      <c r="B794" s="1" t="s">
        <v>2</v>
      </c>
    </row>
    <row r="795">
      <c r="A795" s="2">
        <v>136861.0</v>
      </c>
      <c r="B795" s="1" t="s">
        <v>2</v>
      </c>
    </row>
    <row r="796">
      <c r="A796" s="2">
        <v>136889.0</v>
      </c>
      <c r="B796" s="1" t="s">
        <v>2</v>
      </c>
    </row>
    <row r="797">
      <c r="A797" s="2">
        <v>136894.0</v>
      </c>
      <c r="B797" s="1" t="s">
        <v>2</v>
      </c>
    </row>
    <row r="798">
      <c r="A798" s="2">
        <v>136988.0</v>
      </c>
      <c r="B798" s="1" t="s">
        <v>2</v>
      </c>
    </row>
    <row r="799">
      <c r="A799" s="2">
        <v>137021.0</v>
      </c>
      <c r="B799" s="1" t="s">
        <v>2</v>
      </c>
    </row>
    <row r="800">
      <c r="A800" s="2">
        <v>137113.0</v>
      </c>
      <c r="B800" s="1" t="s">
        <v>2</v>
      </c>
    </row>
    <row r="801">
      <c r="A801" s="2">
        <v>137272.0</v>
      </c>
      <c r="B801" s="1" t="s">
        <v>2</v>
      </c>
    </row>
    <row r="802">
      <c r="A802" s="2">
        <v>137275.0</v>
      </c>
      <c r="B802" s="1" t="s">
        <v>2</v>
      </c>
    </row>
    <row r="803">
      <c r="A803" s="2">
        <v>137406.0</v>
      </c>
      <c r="B803" s="1" t="s">
        <v>2</v>
      </c>
    </row>
    <row r="804">
      <c r="A804" s="2">
        <v>137471.0</v>
      </c>
      <c r="B804" s="1" t="s">
        <v>2</v>
      </c>
    </row>
    <row r="805">
      <c r="A805" s="2">
        <v>137497.0</v>
      </c>
      <c r="B805" s="1" t="s">
        <v>2</v>
      </c>
    </row>
    <row r="806">
      <c r="A806" s="2">
        <v>137500.0</v>
      </c>
      <c r="B806" s="1" t="s">
        <v>2</v>
      </c>
    </row>
    <row r="807">
      <c r="A807" s="2">
        <v>137530.0</v>
      </c>
      <c r="B807" s="1" t="s">
        <v>2</v>
      </c>
    </row>
    <row r="808">
      <c r="A808" s="2">
        <v>137534.0</v>
      </c>
      <c r="B808" s="1" t="s">
        <v>2</v>
      </c>
    </row>
    <row r="809">
      <c r="A809" s="2">
        <v>137535.0</v>
      </c>
      <c r="B809" s="1" t="s">
        <v>2</v>
      </c>
    </row>
    <row r="810">
      <c r="A810" s="2">
        <v>137596.0</v>
      </c>
      <c r="B810" s="1" t="s">
        <v>2</v>
      </c>
    </row>
    <row r="811">
      <c r="A811" s="2">
        <v>137630.0</v>
      </c>
      <c r="B811" s="1" t="s">
        <v>2</v>
      </c>
    </row>
    <row r="812">
      <c r="A812" s="2">
        <v>137755.0</v>
      </c>
      <c r="B812" s="1" t="s">
        <v>2</v>
      </c>
    </row>
    <row r="813">
      <c r="A813" s="2">
        <v>137756.0</v>
      </c>
      <c r="B813" s="1" t="s">
        <v>2</v>
      </c>
    </row>
    <row r="814">
      <c r="A814" s="2">
        <v>137785.0</v>
      </c>
      <c r="B814" s="1" t="s">
        <v>2</v>
      </c>
    </row>
    <row r="815">
      <c r="A815" s="2">
        <v>137819.0</v>
      </c>
      <c r="B815" s="1" t="s">
        <v>2</v>
      </c>
    </row>
    <row r="816">
      <c r="A816" s="2">
        <v>137981.0</v>
      </c>
      <c r="B816" s="1" t="s">
        <v>2</v>
      </c>
    </row>
    <row r="817">
      <c r="A817" s="2">
        <v>138009.0</v>
      </c>
      <c r="B817" s="1" t="s">
        <v>2</v>
      </c>
    </row>
    <row r="818">
      <c r="A818" s="2">
        <v>138040.0</v>
      </c>
      <c r="B818" s="1" t="s">
        <v>2</v>
      </c>
    </row>
    <row r="819">
      <c r="A819" s="2">
        <v>138075.0</v>
      </c>
      <c r="B819" s="1" t="s">
        <v>2</v>
      </c>
    </row>
    <row r="820">
      <c r="A820" s="2">
        <v>138078.0</v>
      </c>
      <c r="B820" s="1" t="s">
        <v>2</v>
      </c>
    </row>
    <row r="821">
      <c r="A821" s="2">
        <v>138142.0</v>
      </c>
      <c r="B821" s="1" t="s">
        <v>2</v>
      </c>
    </row>
    <row r="822">
      <c r="A822" s="2">
        <v>138234.0</v>
      </c>
      <c r="B822" s="1" t="s">
        <v>2</v>
      </c>
    </row>
    <row r="823">
      <c r="A823" s="2">
        <v>138303.0</v>
      </c>
      <c r="B823" s="1" t="s">
        <v>2</v>
      </c>
    </row>
    <row r="824">
      <c r="A824" s="2">
        <v>138428.0</v>
      </c>
      <c r="B824" s="1" t="s">
        <v>2</v>
      </c>
    </row>
    <row r="825">
      <c r="A825" s="2">
        <v>138616.0</v>
      </c>
      <c r="B825" s="1" t="s">
        <v>2</v>
      </c>
    </row>
    <row r="826">
      <c r="A826" s="2">
        <v>138619.0</v>
      </c>
      <c r="B826" s="1" t="s">
        <v>2</v>
      </c>
    </row>
    <row r="827">
      <c r="A827" s="2">
        <v>138687.0</v>
      </c>
      <c r="B827" s="1" t="s">
        <v>2</v>
      </c>
    </row>
    <row r="828">
      <c r="A828" s="2">
        <v>138712.0</v>
      </c>
      <c r="B828" s="1" t="s">
        <v>2</v>
      </c>
    </row>
    <row r="829">
      <c r="A829" s="2">
        <v>138714.0</v>
      </c>
      <c r="B829" s="1" t="s">
        <v>2</v>
      </c>
    </row>
    <row r="830">
      <c r="A830" s="2">
        <v>138719.0</v>
      </c>
      <c r="B830" s="1" t="s">
        <v>2</v>
      </c>
    </row>
    <row r="831">
      <c r="A831" s="2">
        <v>138744.0</v>
      </c>
      <c r="B831" s="1" t="s">
        <v>2</v>
      </c>
    </row>
    <row r="832">
      <c r="A832" s="2">
        <v>138751.0</v>
      </c>
      <c r="B832" s="1" t="s">
        <v>2</v>
      </c>
    </row>
    <row r="833">
      <c r="A833" s="2">
        <v>138872.0</v>
      </c>
      <c r="B833" s="1" t="s">
        <v>2</v>
      </c>
    </row>
    <row r="834">
      <c r="A834" s="2">
        <v>139065.0</v>
      </c>
      <c r="B834" s="1" t="s">
        <v>2</v>
      </c>
    </row>
    <row r="835">
      <c r="A835" s="2">
        <v>139100.0</v>
      </c>
      <c r="B835" s="1" t="s">
        <v>2</v>
      </c>
    </row>
    <row r="836">
      <c r="A836" s="2">
        <v>139128.0</v>
      </c>
      <c r="B836" s="1" t="s">
        <v>2</v>
      </c>
    </row>
    <row r="837">
      <c r="A837" s="2">
        <v>139132.0</v>
      </c>
      <c r="B837" s="1" t="s">
        <v>2</v>
      </c>
    </row>
    <row r="838">
      <c r="A838" s="2">
        <v>139160.0</v>
      </c>
      <c r="B838" s="1" t="s">
        <v>2</v>
      </c>
    </row>
    <row r="839">
      <c r="A839" s="2">
        <v>139165.0</v>
      </c>
      <c r="B839" s="1" t="s">
        <v>2</v>
      </c>
    </row>
    <row r="840">
      <c r="A840" s="2">
        <v>139231.0</v>
      </c>
      <c r="B840" s="1" t="s">
        <v>2</v>
      </c>
    </row>
    <row r="841">
      <c r="A841" s="2">
        <v>139291.0</v>
      </c>
      <c r="B841" s="1" t="s">
        <v>2</v>
      </c>
    </row>
    <row r="842">
      <c r="A842" s="2">
        <v>139326.0</v>
      </c>
      <c r="B842" s="1" t="s">
        <v>2</v>
      </c>
    </row>
    <row r="843">
      <c r="A843" s="2">
        <v>139451.0</v>
      </c>
      <c r="B843" s="1" t="s">
        <v>2</v>
      </c>
    </row>
    <row r="844">
      <c r="A844" s="2">
        <v>139643.0</v>
      </c>
      <c r="B844" s="1" t="s">
        <v>2</v>
      </c>
    </row>
    <row r="845">
      <c r="A845" s="2">
        <v>139775.0</v>
      </c>
      <c r="B845" s="1" t="s">
        <v>2</v>
      </c>
    </row>
    <row r="846">
      <c r="A846" s="2">
        <v>139802.0</v>
      </c>
      <c r="B846" s="1" t="s">
        <v>2</v>
      </c>
    </row>
    <row r="847">
      <c r="A847" s="2">
        <v>139807.0</v>
      </c>
      <c r="B847" s="1" t="s">
        <v>2</v>
      </c>
    </row>
    <row r="848">
      <c r="A848" s="2">
        <v>139864.0</v>
      </c>
      <c r="B848" s="1" t="s">
        <v>2</v>
      </c>
    </row>
    <row r="849">
      <c r="A849" s="2">
        <v>140024.0</v>
      </c>
      <c r="B849" s="1" t="s">
        <v>2</v>
      </c>
    </row>
    <row r="850">
      <c r="A850" s="2">
        <v>140187.0</v>
      </c>
      <c r="B850" s="1" t="s">
        <v>2</v>
      </c>
    </row>
    <row r="851">
      <c r="A851" s="2">
        <v>140255.0</v>
      </c>
      <c r="B851" s="1" t="s">
        <v>2</v>
      </c>
    </row>
    <row r="852">
      <c r="A852" s="2">
        <v>140286.0</v>
      </c>
      <c r="B852" s="1" t="s">
        <v>2</v>
      </c>
    </row>
    <row r="853">
      <c r="A853" s="2">
        <v>140312.0</v>
      </c>
      <c r="B853" s="1" t="s">
        <v>2</v>
      </c>
    </row>
    <row r="854">
      <c r="A854" s="2">
        <v>140376.0</v>
      </c>
      <c r="B854" s="1" t="s">
        <v>2</v>
      </c>
    </row>
    <row r="855">
      <c r="A855" s="2">
        <v>140381.0</v>
      </c>
      <c r="B855" s="1" t="s">
        <v>2</v>
      </c>
    </row>
    <row r="856">
      <c r="A856" s="2">
        <v>140409.0</v>
      </c>
      <c r="B856" s="1" t="s">
        <v>2</v>
      </c>
    </row>
    <row r="857">
      <c r="A857" s="2">
        <v>140506.0</v>
      </c>
      <c r="B857" s="1" t="s">
        <v>2</v>
      </c>
    </row>
    <row r="858">
      <c r="A858" s="2">
        <v>140507.0</v>
      </c>
      <c r="B858" s="1" t="s">
        <v>2</v>
      </c>
    </row>
    <row r="859">
      <c r="A859" s="2">
        <v>140510.0</v>
      </c>
      <c r="B859" s="1" t="s">
        <v>2</v>
      </c>
    </row>
    <row r="860">
      <c r="A860" s="2">
        <v>140568.0</v>
      </c>
      <c r="B860" s="1" t="s">
        <v>2</v>
      </c>
    </row>
    <row r="861">
      <c r="A861" s="2">
        <v>140571.0</v>
      </c>
      <c r="B861" s="1" t="s">
        <v>2</v>
      </c>
    </row>
    <row r="862">
      <c r="A862" s="2">
        <v>140632.0</v>
      </c>
      <c r="B862" s="1" t="s">
        <v>2</v>
      </c>
    </row>
    <row r="863">
      <c r="A863" s="2">
        <v>140636.0</v>
      </c>
      <c r="B863" s="1" t="s">
        <v>2</v>
      </c>
    </row>
    <row r="864">
      <c r="A864" s="2">
        <v>140670.0</v>
      </c>
      <c r="B864" s="1" t="s">
        <v>2</v>
      </c>
    </row>
    <row r="865">
      <c r="A865" s="2">
        <v>140698.0</v>
      </c>
      <c r="B865" s="1" t="s">
        <v>2</v>
      </c>
    </row>
    <row r="866">
      <c r="A866" s="2">
        <v>140799.0</v>
      </c>
      <c r="B866" s="1" t="s">
        <v>2</v>
      </c>
    </row>
    <row r="867">
      <c r="A867" s="2">
        <v>140862.0</v>
      </c>
      <c r="B867" s="1" t="s">
        <v>2</v>
      </c>
    </row>
    <row r="868">
      <c r="A868" s="2">
        <v>140985.0</v>
      </c>
      <c r="B868" s="1" t="s">
        <v>2</v>
      </c>
    </row>
    <row r="869">
      <c r="A869" s="2">
        <v>141049.0</v>
      </c>
      <c r="B869" s="1" t="s">
        <v>2</v>
      </c>
    </row>
    <row r="870">
      <c r="A870" s="2">
        <v>141144.0</v>
      </c>
      <c r="B870" s="1" t="s">
        <v>2</v>
      </c>
    </row>
    <row r="871">
      <c r="A871" s="2">
        <v>141147.0</v>
      </c>
      <c r="B871" s="1" t="s">
        <v>2</v>
      </c>
    </row>
    <row r="872">
      <c r="A872" s="2">
        <v>141178.0</v>
      </c>
      <c r="B872" s="1" t="s">
        <v>2</v>
      </c>
    </row>
    <row r="873">
      <c r="A873" s="2">
        <v>141179.0</v>
      </c>
      <c r="B873" s="1" t="s">
        <v>2</v>
      </c>
    </row>
    <row r="874">
      <c r="A874" s="2">
        <v>141244.0</v>
      </c>
      <c r="B874" s="1" t="s">
        <v>2</v>
      </c>
    </row>
    <row r="875">
      <c r="A875" s="2">
        <v>141375.0</v>
      </c>
      <c r="B875" s="1" t="s">
        <v>2</v>
      </c>
    </row>
    <row r="876">
      <c r="A876" s="2">
        <v>141432.0</v>
      </c>
      <c r="B876" s="1" t="s">
        <v>2</v>
      </c>
    </row>
    <row r="877">
      <c r="A877" s="2">
        <v>141465.0</v>
      </c>
      <c r="B877" s="1" t="s">
        <v>2</v>
      </c>
    </row>
    <row r="878">
      <c r="A878" s="2">
        <v>141471.0</v>
      </c>
      <c r="B878" s="1" t="s">
        <v>2</v>
      </c>
    </row>
    <row r="879">
      <c r="A879" s="2">
        <v>141500.0</v>
      </c>
      <c r="B879" s="1" t="s">
        <v>2</v>
      </c>
    </row>
    <row r="880">
      <c r="A880" s="2">
        <v>141531.0</v>
      </c>
      <c r="B880" s="1" t="s">
        <v>2</v>
      </c>
    </row>
    <row r="881">
      <c r="A881" s="2">
        <v>141533.0</v>
      </c>
      <c r="B881" s="1" t="s">
        <v>2</v>
      </c>
    </row>
    <row r="882">
      <c r="A882" s="2">
        <v>141595.0</v>
      </c>
      <c r="B882" s="1" t="s">
        <v>2</v>
      </c>
    </row>
    <row r="883">
      <c r="A883" s="2">
        <v>141598.0</v>
      </c>
      <c r="B883" s="1" t="s">
        <v>2</v>
      </c>
    </row>
    <row r="884">
      <c r="A884" s="2">
        <v>141661.0</v>
      </c>
      <c r="B884" s="1" t="s">
        <v>2</v>
      </c>
    </row>
    <row r="885">
      <c r="A885" s="2">
        <v>141758.0</v>
      </c>
      <c r="B885" s="1" t="s">
        <v>2</v>
      </c>
    </row>
    <row r="886">
      <c r="A886" s="2">
        <v>141822.0</v>
      </c>
      <c r="B886" s="1" t="s">
        <v>2</v>
      </c>
    </row>
    <row r="887">
      <c r="A887" s="2">
        <v>141852.0</v>
      </c>
      <c r="B887" s="1" t="s">
        <v>2</v>
      </c>
    </row>
    <row r="888">
      <c r="A888" s="2">
        <v>141855.0</v>
      </c>
      <c r="B888" s="1" t="s">
        <v>2</v>
      </c>
    </row>
    <row r="889">
      <c r="A889" s="2">
        <v>141884.0</v>
      </c>
      <c r="B889" s="1" t="s">
        <v>2</v>
      </c>
    </row>
    <row r="890">
      <c r="A890" s="2">
        <v>141917.0</v>
      </c>
      <c r="B890" s="1" t="s">
        <v>2</v>
      </c>
    </row>
    <row r="891">
      <c r="A891" s="2">
        <v>141946.0</v>
      </c>
      <c r="B891" s="1" t="s">
        <v>2</v>
      </c>
    </row>
    <row r="892">
      <c r="A892" s="2">
        <v>142047.0</v>
      </c>
      <c r="B892" s="1" t="s">
        <v>2</v>
      </c>
    </row>
    <row r="893">
      <c r="A893" s="2">
        <v>142073.0</v>
      </c>
      <c r="B893" s="1" t="s">
        <v>2</v>
      </c>
    </row>
    <row r="894">
      <c r="A894" s="2">
        <v>142111.0</v>
      </c>
      <c r="B894" s="1" t="s">
        <v>2</v>
      </c>
    </row>
    <row r="895">
      <c r="A895" s="2">
        <v>142139.0</v>
      </c>
      <c r="B895" s="1" t="s">
        <v>2</v>
      </c>
    </row>
    <row r="896">
      <c r="A896" s="2">
        <v>142175.0</v>
      </c>
      <c r="B896" s="1" t="s">
        <v>2</v>
      </c>
    </row>
    <row r="897">
      <c r="A897" s="2">
        <v>142365.0</v>
      </c>
      <c r="B897" s="1" t="s">
        <v>2</v>
      </c>
    </row>
    <row r="898">
      <c r="A898" s="2">
        <v>142521.0</v>
      </c>
      <c r="B898" s="1" t="s">
        <v>2</v>
      </c>
    </row>
    <row r="899">
      <c r="A899" s="2">
        <v>142523.0</v>
      </c>
      <c r="B899" s="1" t="s">
        <v>2</v>
      </c>
    </row>
    <row r="900">
      <c r="A900" s="2">
        <v>142557.0</v>
      </c>
      <c r="B900" s="1" t="s">
        <v>2</v>
      </c>
    </row>
    <row r="901">
      <c r="A901" s="2">
        <v>142584.0</v>
      </c>
      <c r="B901" s="1" t="s">
        <v>2</v>
      </c>
    </row>
    <row r="902">
      <c r="A902" s="2">
        <v>142617.0</v>
      </c>
      <c r="B902" s="1" t="s">
        <v>2</v>
      </c>
    </row>
    <row r="903">
      <c r="A903" s="2">
        <v>142716.0</v>
      </c>
      <c r="B903" s="1" t="s">
        <v>2</v>
      </c>
    </row>
    <row r="904">
      <c r="A904" s="2">
        <v>142718.0</v>
      </c>
      <c r="B904" s="1" t="s">
        <v>2</v>
      </c>
    </row>
    <row r="905">
      <c r="A905" s="2">
        <v>142744.0</v>
      </c>
      <c r="B905" s="1" t="s">
        <v>2</v>
      </c>
    </row>
    <row r="906">
      <c r="A906" s="2">
        <v>142840.0</v>
      </c>
      <c r="B906" s="1" t="s">
        <v>2</v>
      </c>
    </row>
    <row r="907">
      <c r="A907" s="2">
        <v>142905.0</v>
      </c>
      <c r="B907" s="1" t="s">
        <v>2</v>
      </c>
    </row>
    <row r="908">
      <c r="A908" s="2">
        <v>143003.0</v>
      </c>
      <c r="B908" s="1" t="s">
        <v>2</v>
      </c>
    </row>
    <row r="909">
      <c r="A909" s="2">
        <v>143032.0</v>
      </c>
      <c r="B909" s="1" t="s">
        <v>2</v>
      </c>
    </row>
    <row r="910">
      <c r="A910" s="2">
        <v>143036.0</v>
      </c>
      <c r="B910" s="1" t="s">
        <v>2</v>
      </c>
    </row>
    <row r="911">
      <c r="A911" s="2">
        <v>143038.0</v>
      </c>
      <c r="B911" s="1" t="s">
        <v>2</v>
      </c>
    </row>
    <row r="912">
      <c r="A912" s="2">
        <v>143193.0</v>
      </c>
      <c r="B912" s="1" t="s">
        <v>2</v>
      </c>
    </row>
    <row r="913">
      <c r="A913" s="2">
        <v>143259.0</v>
      </c>
      <c r="B913" s="1" t="s">
        <v>2</v>
      </c>
    </row>
    <row r="914">
      <c r="A914" s="2">
        <v>143261.0</v>
      </c>
      <c r="B914" s="1" t="s">
        <v>2</v>
      </c>
    </row>
    <row r="915">
      <c r="A915" s="2">
        <v>143263.0</v>
      </c>
      <c r="B915" s="1" t="s">
        <v>2</v>
      </c>
    </row>
    <row r="916">
      <c r="A916" s="2">
        <v>143325.0</v>
      </c>
      <c r="B916" s="1" t="s">
        <v>2</v>
      </c>
    </row>
    <row r="917">
      <c r="A917" s="2">
        <v>143384.0</v>
      </c>
      <c r="B917" s="1" t="s">
        <v>2</v>
      </c>
    </row>
    <row r="918">
      <c r="A918" s="2">
        <v>143450.0</v>
      </c>
      <c r="B918" s="1" t="s">
        <v>2</v>
      </c>
    </row>
    <row r="919">
      <c r="A919" s="2">
        <v>143519.0</v>
      </c>
      <c r="B919" s="1" t="s">
        <v>2</v>
      </c>
    </row>
    <row r="920">
      <c r="A920" s="2">
        <v>143577.0</v>
      </c>
      <c r="B920" s="1" t="s">
        <v>2</v>
      </c>
    </row>
    <row r="921">
      <c r="A921" s="2">
        <v>143679.0</v>
      </c>
      <c r="B921" s="1" t="s">
        <v>2</v>
      </c>
    </row>
    <row r="922">
      <c r="A922" s="2">
        <v>143706.0</v>
      </c>
      <c r="B922" s="1" t="s">
        <v>2</v>
      </c>
    </row>
    <row r="923">
      <c r="A923" s="2">
        <v>143773.0</v>
      </c>
      <c r="B923" s="1" t="s">
        <v>2</v>
      </c>
    </row>
    <row r="924">
      <c r="A924" s="2">
        <v>143838.0</v>
      </c>
      <c r="B924" s="1" t="s">
        <v>2</v>
      </c>
    </row>
    <row r="925">
      <c r="A925" s="2">
        <v>143898.0</v>
      </c>
      <c r="B925" s="1" t="s">
        <v>2</v>
      </c>
    </row>
    <row r="926">
      <c r="A926" s="2">
        <v>143995.0</v>
      </c>
      <c r="B926" s="1" t="s">
        <v>2</v>
      </c>
    </row>
    <row r="927">
      <c r="A927" s="2">
        <v>144121.0</v>
      </c>
      <c r="B927" s="1" t="s">
        <v>2</v>
      </c>
    </row>
    <row r="928">
      <c r="A928" s="2">
        <v>144125.0</v>
      </c>
      <c r="B928" s="1" t="s">
        <v>2</v>
      </c>
    </row>
    <row r="929">
      <c r="A929" s="2">
        <v>144159.0</v>
      </c>
      <c r="B929" s="1" t="s">
        <v>2</v>
      </c>
    </row>
    <row r="930">
      <c r="A930" s="2">
        <v>144190.0</v>
      </c>
      <c r="B930" s="1" t="s">
        <v>2</v>
      </c>
    </row>
    <row r="931">
      <c r="A931" s="2">
        <v>144286.0</v>
      </c>
      <c r="B931" s="1" t="s">
        <v>2</v>
      </c>
    </row>
    <row r="932">
      <c r="A932" s="2">
        <v>144318.0</v>
      </c>
      <c r="B932" s="1" t="s">
        <v>2</v>
      </c>
    </row>
    <row r="933">
      <c r="A933" s="2">
        <v>144382.0</v>
      </c>
      <c r="B933" s="1" t="s">
        <v>2</v>
      </c>
    </row>
    <row r="934">
      <c r="A934" s="2">
        <v>144442.0</v>
      </c>
      <c r="B934" s="1" t="s">
        <v>2</v>
      </c>
    </row>
    <row r="935">
      <c r="A935" s="2">
        <v>144444.0</v>
      </c>
      <c r="B935" s="1" t="s">
        <v>2</v>
      </c>
    </row>
    <row r="936">
      <c r="A936" s="2">
        <v>144445.0</v>
      </c>
      <c r="B936" s="1" t="s">
        <v>2</v>
      </c>
    </row>
    <row r="937">
      <c r="A937" s="2">
        <v>144479.0</v>
      </c>
      <c r="B937" s="1" t="s">
        <v>2</v>
      </c>
    </row>
    <row r="938">
      <c r="A938" s="2">
        <v>144573.0</v>
      </c>
      <c r="B938" s="1" t="s">
        <v>2</v>
      </c>
    </row>
    <row r="939">
      <c r="A939" s="2">
        <v>144574.0</v>
      </c>
      <c r="B939" s="1" t="s">
        <v>2</v>
      </c>
    </row>
    <row r="940">
      <c r="A940" s="2">
        <v>144605.0</v>
      </c>
      <c r="B940" s="1" t="s">
        <v>2</v>
      </c>
    </row>
    <row r="941">
      <c r="A941" s="2">
        <v>144606.0</v>
      </c>
      <c r="B941" s="1" t="s">
        <v>2</v>
      </c>
    </row>
    <row r="942">
      <c r="A942" s="2">
        <v>144634.0</v>
      </c>
      <c r="B942" s="1" t="s">
        <v>2</v>
      </c>
    </row>
    <row r="943">
      <c r="A943" s="2">
        <v>144636.0</v>
      </c>
      <c r="B943" s="1" t="s">
        <v>2</v>
      </c>
    </row>
    <row r="944">
      <c r="A944" s="2">
        <v>144670.0</v>
      </c>
      <c r="B944" s="1" t="s">
        <v>2</v>
      </c>
    </row>
    <row r="945">
      <c r="A945" s="2">
        <v>144702.0</v>
      </c>
      <c r="B945" s="1" t="s">
        <v>2</v>
      </c>
    </row>
    <row r="946">
      <c r="A946" s="2">
        <v>144766.0</v>
      </c>
      <c r="B946" s="1" t="s">
        <v>2</v>
      </c>
    </row>
    <row r="947">
      <c r="A947" s="2">
        <v>144824.0</v>
      </c>
      <c r="B947" s="1" t="s">
        <v>2</v>
      </c>
    </row>
    <row r="948">
      <c r="A948" s="2">
        <v>144827.0</v>
      </c>
      <c r="B948" s="1" t="s">
        <v>2</v>
      </c>
    </row>
    <row r="949">
      <c r="A949" s="2">
        <v>144859.0</v>
      </c>
      <c r="B949" s="1" t="s">
        <v>2</v>
      </c>
    </row>
    <row r="950">
      <c r="A950" s="2">
        <v>144862.0</v>
      </c>
      <c r="B950" s="1" t="s">
        <v>2</v>
      </c>
    </row>
    <row r="951">
      <c r="A951" s="2">
        <v>144890.0</v>
      </c>
      <c r="B951" s="1" t="s">
        <v>2</v>
      </c>
    </row>
    <row r="952">
      <c r="A952" s="2">
        <v>144894.0</v>
      </c>
      <c r="B952" s="1" t="s">
        <v>2</v>
      </c>
    </row>
    <row r="953">
      <c r="A953" s="2">
        <v>145117.0</v>
      </c>
      <c r="B953" s="1" t="s">
        <v>2</v>
      </c>
    </row>
    <row r="954">
      <c r="A954" s="2">
        <v>145181.0</v>
      </c>
      <c r="B954" s="1" t="s">
        <v>2</v>
      </c>
    </row>
    <row r="955">
      <c r="A955" s="2">
        <v>145183.0</v>
      </c>
      <c r="B955" s="1" t="s">
        <v>2</v>
      </c>
    </row>
    <row r="956">
      <c r="A956" s="2">
        <v>145208.0</v>
      </c>
      <c r="B956" s="1" t="s">
        <v>2</v>
      </c>
    </row>
    <row r="957">
      <c r="A957" s="2">
        <v>145212.0</v>
      </c>
      <c r="B957" s="1" t="s">
        <v>2</v>
      </c>
    </row>
    <row r="958">
      <c r="A958" s="2">
        <v>145279.0</v>
      </c>
      <c r="B958" s="1" t="s">
        <v>2</v>
      </c>
    </row>
    <row r="959">
      <c r="A959" s="2">
        <v>145338.0</v>
      </c>
      <c r="B959" s="1" t="s">
        <v>2</v>
      </c>
    </row>
    <row r="960">
      <c r="A960" s="2">
        <v>145342.0</v>
      </c>
      <c r="B960" s="1" t="s">
        <v>2</v>
      </c>
    </row>
    <row r="961">
      <c r="A961" s="2">
        <v>145371.0</v>
      </c>
      <c r="B961" s="1" t="s">
        <v>2</v>
      </c>
    </row>
    <row r="962">
      <c r="A962" s="2">
        <v>145375.0</v>
      </c>
      <c r="B962" s="1" t="s">
        <v>2</v>
      </c>
    </row>
    <row r="963">
      <c r="A963" s="2">
        <v>145563.0</v>
      </c>
      <c r="B963" s="1" t="s">
        <v>2</v>
      </c>
    </row>
    <row r="964">
      <c r="A964" s="2">
        <v>145626.0</v>
      </c>
      <c r="B964" s="1" t="s">
        <v>2</v>
      </c>
    </row>
    <row r="965">
      <c r="A965" s="2">
        <v>145818.0</v>
      </c>
      <c r="B965" s="1" t="s">
        <v>2</v>
      </c>
    </row>
    <row r="966">
      <c r="A966" s="2">
        <v>145916.0</v>
      </c>
      <c r="B966" s="1" t="s">
        <v>2</v>
      </c>
    </row>
    <row r="967">
      <c r="A967" s="2">
        <v>145947.0</v>
      </c>
      <c r="B967" s="1" t="s">
        <v>2</v>
      </c>
    </row>
    <row r="968">
      <c r="A968" s="2">
        <v>145950.0</v>
      </c>
      <c r="B968" s="1" t="s">
        <v>2</v>
      </c>
    </row>
    <row r="969">
      <c r="A969" s="2">
        <v>146076.0</v>
      </c>
      <c r="B969" s="1" t="s">
        <v>2</v>
      </c>
    </row>
    <row r="970">
      <c r="A970" s="2">
        <v>146170.0</v>
      </c>
      <c r="B970" s="1" t="s">
        <v>2</v>
      </c>
    </row>
    <row r="971">
      <c r="A971" s="2">
        <v>146232.0</v>
      </c>
      <c r="B971" s="1" t="s">
        <v>2</v>
      </c>
    </row>
    <row r="972">
      <c r="A972" s="2">
        <v>146271.0</v>
      </c>
      <c r="B972" s="1" t="s">
        <v>2</v>
      </c>
    </row>
    <row r="973">
      <c r="A973" s="2">
        <v>146297.0</v>
      </c>
      <c r="B973" s="1" t="s">
        <v>2</v>
      </c>
    </row>
    <row r="974">
      <c r="A974" s="2">
        <v>146328.0</v>
      </c>
      <c r="B974" s="1" t="s">
        <v>2</v>
      </c>
    </row>
    <row r="975">
      <c r="A975" s="2">
        <v>146426.0</v>
      </c>
      <c r="B975" s="1" t="s">
        <v>2</v>
      </c>
    </row>
    <row r="976">
      <c r="A976" s="2">
        <v>146489.0</v>
      </c>
      <c r="B976" s="1" t="s">
        <v>2</v>
      </c>
    </row>
    <row r="977">
      <c r="A977" s="2">
        <v>146685.0</v>
      </c>
      <c r="B977" s="1" t="s">
        <v>2</v>
      </c>
    </row>
    <row r="978">
      <c r="A978" s="2">
        <v>146713.0</v>
      </c>
      <c r="B978" s="1" t="s">
        <v>2</v>
      </c>
    </row>
    <row r="979">
      <c r="A979" s="2">
        <v>146745.0</v>
      </c>
      <c r="B979" s="1" t="s">
        <v>2</v>
      </c>
    </row>
    <row r="980">
      <c r="A980" s="2">
        <v>146778.0</v>
      </c>
      <c r="B980" s="1" t="s">
        <v>2</v>
      </c>
    </row>
    <row r="981">
      <c r="A981" s="2">
        <v>146782.0</v>
      </c>
      <c r="B981" s="1" t="s">
        <v>2</v>
      </c>
    </row>
    <row r="982">
      <c r="A982" s="2">
        <v>146812.0</v>
      </c>
      <c r="B982" s="1" t="s">
        <v>2</v>
      </c>
    </row>
    <row r="983">
      <c r="A983" s="2">
        <v>146906.0</v>
      </c>
      <c r="B983" s="1" t="s">
        <v>2</v>
      </c>
    </row>
    <row r="984">
      <c r="A984" s="2">
        <v>146971.0</v>
      </c>
      <c r="B984" s="1" t="s">
        <v>2</v>
      </c>
    </row>
    <row r="985">
      <c r="A985" s="2">
        <v>147033.0</v>
      </c>
      <c r="B985" s="1" t="s">
        <v>2</v>
      </c>
    </row>
    <row r="986">
      <c r="A986" s="2">
        <v>147066.0</v>
      </c>
      <c r="B986" s="1" t="s">
        <v>2</v>
      </c>
    </row>
    <row r="987">
      <c r="A987" s="2">
        <v>147099.0</v>
      </c>
      <c r="B987" s="1" t="s">
        <v>2</v>
      </c>
    </row>
    <row r="988">
      <c r="A988" s="2">
        <v>147102.0</v>
      </c>
      <c r="B988" s="1" t="s">
        <v>2</v>
      </c>
    </row>
    <row r="989">
      <c r="A989" s="2">
        <v>147197.0</v>
      </c>
      <c r="B989" s="1" t="s">
        <v>2</v>
      </c>
    </row>
    <row r="990">
      <c r="A990" s="2">
        <v>147199.0</v>
      </c>
      <c r="B990" s="1" t="s">
        <v>2</v>
      </c>
    </row>
    <row r="991">
      <c r="A991" s="2">
        <v>147231.0</v>
      </c>
      <c r="B991" s="1" t="s">
        <v>2</v>
      </c>
    </row>
    <row r="992">
      <c r="A992" s="2">
        <v>147260.0</v>
      </c>
      <c r="B992" s="1" t="s">
        <v>2</v>
      </c>
    </row>
    <row r="993">
      <c r="A993" s="2">
        <v>147384.0</v>
      </c>
      <c r="B993" s="1" t="s">
        <v>2</v>
      </c>
    </row>
    <row r="994">
      <c r="A994" s="2">
        <v>147452.0</v>
      </c>
      <c r="B994" s="1" t="s">
        <v>2</v>
      </c>
    </row>
    <row r="995">
      <c r="A995" s="2">
        <v>147486.0</v>
      </c>
      <c r="B995" s="1" t="s">
        <v>2</v>
      </c>
    </row>
    <row r="996">
      <c r="A996" s="2">
        <v>147546.0</v>
      </c>
      <c r="B996" s="1" t="s">
        <v>2</v>
      </c>
    </row>
    <row r="997">
      <c r="A997" s="2">
        <v>147643.0</v>
      </c>
      <c r="B997" s="1" t="s">
        <v>2</v>
      </c>
    </row>
    <row r="998">
      <c r="A998" s="2">
        <v>147646.0</v>
      </c>
      <c r="B998" s="1" t="s">
        <v>2</v>
      </c>
    </row>
    <row r="999">
      <c r="A999" s="2">
        <v>147672.0</v>
      </c>
      <c r="B999" s="1" t="s">
        <v>2</v>
      </c>
    </row>
    <row r="1000">
      <c r="A1000" s="2">
        <v>147743.0</v>
      </c>
      <c r="B1000" s="1" t="s">
        <v>2</v>
      </c>
    </row>
    <row r="1001">
      <c r="A1001" s="2">
        <v>147775.0</v>
      </c>
      <c r="B1001" s="1" t="s">
        <v>2</v>
      </c>
    </row>
    <row r="1002">
      <c r="A1002" s="2">
        <v>147804.0</v>
      </c>
      <c r="B1002" s="1" t="s">
        <v>2</v>
      </c>
    </row>
    <row r="1003">
      <c r="A1003" s="2">
        <v>147869.0</v>
      </c>
      <c r="B1003" s="1" t="s">
        <v>2</v>
      </c>
    </row>
    <row r="1004">
      <c r="A1004" s="2">
        <v>147871.0</v>
      </c>
      <c r="B1004" s="1" t="s">
        <v>2</v>
      </c>
    </row>
    <row r="1005">
      <c r="A1005" s="2">
        <v>147993.0</v>
      </c>
      <c r="B1005" s="1" t="s">
        <v>2</v>
      </c>
    </row>
    <row r="1006">
      <c r="A1006" s="2">
        <v>147996.0</v>
      </c>
      <c r="B1006" s="1" t="s">
        <v>2</v>
      </c>
    </row>
    <row r="1007">
      <c r="A1007" s="2">
        <v>148031.0</v>
      </c>
      <c r="B1007" s="1" t="s">
        <v>2</v>
      </c>
    </row>
    <row r="1008">
      <c r="A1008" s="2">
        <v>148056.0</v>
      </c>
      <c r="B1008" s="1" t="s">
        <v>2</v>
      </c>
    </row>
    <row r="1009">
      <c r="A1009" s="2">
        <v>148092.0</v>
      </c>
      <c r="B1009" s="1" t="s">
        <v>2</v>
      </c>
    </row>
    <row r="1010">
      <c r="A1010" s="2">
        <v>148095.0</v>
      </c>
      <c r="B1010" s="1" t="s">
        <v>2</v>
      </c>
    </row>
    <row r="1011">
      <c r="A1011" s="2">
        <v>148254.0</v>
      </c>
      <c r="B1011" s="1" t="s">
        <v>2</v>
      </c>
    </row>
    <row r="1012">
      <c r="A1012" s="2">
        <v>148280.0</v>
      </c>
      <c r="B1012" s="1" t="s">
        <v>2</v>
      </c>
    </row>
    <row r="1013">
      <c r="A1013" s="2">
        <v>148347.0</v>
      </c>
      <c r="B1013" s="1" t="s">
        <v>2</v>
      </c>
    </row>
    <row r="1014">
      <c r="A1014" s="2">
        <v>148536.0</v>
      </c>
      <c r="B1014" s="1" t="s">
        <v>2</v>
      </c>
    </row>
    <row r="1015">
      <c r="A1015" s="2">
        <v>148634.0</v>
      </c>
      <c r="B1015" s="1" t="s">
        <v>2</v>
      </c>
    </row>
    <row r="1016">
      <c r="A1016" s="2">
        <v>148669.0</v>
      </c>
      <c r="B1016" s="1" t="s">
        <v>2</v>
      </c>
    </row>
    <row r="1017">
      <c r="A1017" s="2">
        <v>148697.0</v>
      </c>
      <c r="B1017" s="1" t="s">
        <v>2</v>
      </c>
    </row>
    <row r="1018">
      <c r="A1018" s="2">
        <v>148767.0</v>
      </c>
      <c r="B1018" s="1" t="s">
        <v>2</v>
      </c>
    </row>
    <row r="1019">
      <c r="A1019" s="2">
        <v>148952.0</v>
      </c>
      <c r="B1019" s="1" t="s">
        <v>2</v>
      </c>
    </row>
    <row r="1020">
      <c r="A1020" s="2">
        <v>149050.0</v>
      </c>
      <c r="B1020" s="1" t="s">
        <v>2</v>
      </c>
    </row>
    <row r="1021">
      <c r="A1021" s="2">
        <v>149053.0</v>
      </c>
      <c r="B1021" s="1" t="s">
        <v>2</v>
      </c>
    </row>
    <row r="1022">
      <c r="A1022" s="2">
        <v>149054.0</v>
      </c>
      <c r="B1022" s="1" t="s">
        <v>2</v>
      </c>
    </row>
    <row r="1023">
      <c r="A1023" s="2">
        <v>149084.0</v>
      </c>
      <c r="B1023" s="1" t="s">
        <v>2</v>
      </c>
    </row>
    <row r="1024">
      <c r="A1024" s="2">
        <v>149144.0</v>
      </c>
      <c r="B1024" s="1" t="s">
        <v>2</v>
      </c>
    </row>
    <row r="1025">
      <c r="A1025" s="2">
        <v>149176.0</v>
      </c>
      <c r="B1025" s="1" t="s">
        <v>2</v>
      </c>
    </row>
    <row r="1026">
      <c r="A1026" s="2">
        <v>149272.0</v>
      </c>
      <c r="B1026" s="1" t="s">
        <v>2</v>
      </c>
    </row>
    <row r="1027">
      <c r="A1027" s="2">
        <v>149368.0</v>
      </c>
      <c r="B1027" s="1" t="s">
        <v>2</v>
      </c>
    </row>
    <row r="1028">
      <c r="A1028" s="2">
        <v>149407.0</v>
      </c>
      <c r="B1028" s="1" t="s">
        <v>2</v>
      </c>
    </row>
    <row r="1029">
      <c r="A1029" s="2">
        <v>149469.0</v>
      </c>
      <c r="B1029" s="1" t="s">
        <v>2</v>
      </c>
    </row>
    <row r="1030">
      <c r="A1030" s="2">
        <v>149627.0</v>
      </c>
      <c r="B1030" s="1" t="s">
        <v>2</v>
      </c>
    </row>
    <row r="1031">
      <c r="A1031" s="2">
        <v>149657.0</v>
      </c>
      <c r="B1031" s="1" t="s">
        <v>2</v>
      </c>
    </row>
    <row r="1032">
      <c r="A1032" s="2">
        <v>149658.0</v>
      </c>
      <c r="B1032" s="1" t="s">
        <v>2</v>
      </c>
    </row>
    <row r="1033">
      <c r="A1033" s="2">
        <v>149660.0</v>
      </c>
      <c r="B1033" s="1" t="s">
        <v>2</v>
      </c>
    </row>
    <row r="1034">
      <c r="A1034" s="2">
        <v>149661.0</v>
      </c>
      <c r="B1034" s="1" t="s">
        <v>2</v>
      </c>
    </row>
    <row r="1035">
      <c r="A1035" s="2">
        <v>149691.0</v>
      </c>
      <c r="B1035" s="1" t="s">
        <v>2</v>
      </c>
    </row>
    <row r="1036">
      <c r="A1036" s="2">
        <v>149852.0</v>
      </c>
      <c r="B1036" s="1" t="s">
        <v>2</v>
      </c>
    </row>
    <row r="1037">
      <c r="A1037" s="2">
        <v>149947.0</v>
      </c>
      <c r="B1037" s="1" t="s">
        <v>2</v>
      </c>
    </row>
    <row r="1038">
      <c r="A1038" s="2">
        <v>149976.0</v>
      </c>
      <c r="B1038" s="1" t="s">
        <v>2</v>
      </c>
    </row>
    <row r="1039">
      <c r="A1039" s="2">
        <v>149981.0</v>
      </c>
      <c r="B1039" s="1" t="s">
        <v>2</v>
      </c>
    </row>
    <row r="1040">
      <c r="A1040" s="2">
        <v>150105.0</v>
      </c>
      <c r="B1040" s="1" t="s">
        <v>2</v>
      </c>
    </row>
    <row r="1041">
      <c r="A1041" s="2">
        <v>150109.0</v>
      </c>
      <c r="B1041" s="1" t="s">
        <v>2</v>
      </c>
    </row>
    <row r="1042">
      <c r="A1042" s="2">
        <v>150138.0</v>
      </c>
      <c r="B1042" s="1" t="s">
        <v>2</v>
      </c>
    </row>
    <row r="1043">
      <c r="A1043" s="2">
        <v>150141.0</v>
      </c>
      <c r="B1043" s="1" t="s">
        <v>2</v>
      </c>
    </row>
    <row r="1044">
      <c r="A1044" s="2">
        <v>150169.0</v>
      </c>
      <c r="B1044" s="1" t="s">
        <v>2</v>
      </c>
    </row>
    <row r="1045">
      <c r="A1045" s="2">
        <v>150205.0</v>
      </c>
      <c r="B1045" s="1" t="s">
        <v>2</v>
      </c>
    </row>
    <row r="1046">
      <c r="A1046" s="2">
        <v>150232.0</v>
      </c>
      <c r="B1046" s="1" t="s">
        <v>2</v>
      </c>
    </row>
    <row r="1047">
      <c r="A1047" s="2">
        <v>150264.0</v>
      </c>
      <c r="B1047" s="1" t="s">
        <v>2</v>
      </c>
    </row>
    <row r="1048">
      <c r="A1048" s="2">
        <v>150265.0</v>
      </c>
      <c r="B1048" s="1" t="s">
        <v>2</v>
      </c>
    </row>
    <row r="1049">
      <c r="A1049" s="2">
        <v>150299.0</v>
      </c>
      <c r="B1049" s="1" t="s">
        <v>2</v>
      </c>
    </row>
    <row r="1050">
      <c r="A1050" s="2">
        <v>150364.0</v>
      </c>
      <c r="B1050" s="1" t="s">
        <v>2</v>
      </c>
    </row>
    <row r="1051">
      <c r="A1051" s="2">
        <v>150527.0</v>
      </c>
      <c r="B1051" s="1" t="s">
        <v>2</v>
      </c>
    </row>
    <row r="1052">
      <c r="A1052" s="2">
        <v>150557.0</v>
      </c>
      <c r="B1052" s="1" t="s">
        <v>2</v>
      </c>
    </row>
    <row r="1053">
      <c r="A1053" s="2">
        <v>150622.0</v>
      </c>
      <c r="B1053" s="1" t="s">
        <v>2</v>
      </c>
    </row>
    <row r="1054">
      <c r="A1054" s="2">
        <v>150680.0</v>
      </c>
      <c r="B1054" s="1" t="s">
        <v>2</v>
      </c>
    </row>
    <row r="1055">
      <c r="A1055" s="2">
        <v>150780.0</v>
      </c>
      <c r="B1055" s="1" t="s">
        <v>2</v>
      </c>
    </row>
    <row r="1056">
      <c r="A1056" s="2">
        <v>150843.0</v>
      </c>
      <c r="B1056" s="1" t="s">
        <v>2</v>
      </c>
    </row>
    <row r="1057">
      <c r="A1057" s="2">
        <v>150844.0</v>
      </c>
      <c r="B1057" s="1" t="s">
        <v>2</v>
      </c>
    </row>
    <row r="1058">
      <c r="A1058" s="2">
        <v>150904.0</v>
      </c>
      <c r="B1058" s="1" t="s">
        <v>2</v>
      </c>
    </row>
    <row r="1059">
      <c r="A1059" s="2">
        <v>150909.0</v>
      </c>
      <c r="B1059" s="1" t="s">
        <v>2</v>
      </c>
    </row>
    <row r="1060">
      <c r="A1060" s="2">
        <v>150936.0</v>
      </c>
      <c r="B1060" s="1" t="s">
        <v>2</v>
      </c>
    </row>
    <row r="1061">
      <c r="A1061" s="2">
        <v>150938.0</v>
      </c>
      <c r="B1061" s="1" t="s">
        <v>2</v>
      </c>
    </row>
    <row r="1062">
      <c r="A1062" s="2">
        <v>151135.0</v>
      </c>
      <c r="B1062" s="1" t="s">
        <v>2</v>
      </c>
    </row>
    <row r="1063">
      <c r="A1063" s="2">
        <v>151228.0</v>
      </c>
      <c r="B1063" s="1" t="s">
        <v>2</v>
      </c>
    </row>
    <row r="1064">
      <c r="A1064" s="2">
        <v>151290.0</v>
      </c>
      <c r="B1064" s="1" t="s">
        <v>2</v>
      </c>
    </row>
    <row r="1065">
      <c r="A1065" s="2">
        <v>151354.0</v>
      </c>
      <c r="B1065" s="1" t="s">
        <v>2</v>
      </c>
    </row>
    <row r="1066">
      <c r="A1066" s="2">
        <v>151387.0</v>
      </c>
      <c r="B1066" s="1" t="s">
        <v>2</v>
      </c>
    </row>
    <row r="1067">
      <c r="A1067" s="2">
        <v>151420.0</v>
      </c>
      <c r="B1067" s="1" t="s">
        <v>2</v>
      </c>
    </row>
    <row r="1068">
      <c r="A1068" s="2">
        <v>151455.0</v>
      </c>
      <c r="B1068" s="1" t="s">
        <v>2</v>
      </c>
    </row>
    <row r="1069">
      <c r="A1069" s="2">
        <v>151519.0</v>
      </c>
      <c r="B1069" s="1" t="s">
        <v>2</v>
      </c>
    </row>
    <row r="1070">
      <c r="A1070" s="2">
        <v>151611.0</v>
      </c>
      <c r="B1070" s="1" t="s">
        <v>2</v>
      </c>
    </row>
    <row r="1071">
      <c r="A1071" s="2">
        <v>151641.0</v>
      </c>
      <c r="B1071" s="1" t="s">
        <v>2</v>
      </c>
    </row>
    <row r="1072">
      <c r="A1072" s="2">
        <v>151738.0</v>
      </c>
      <c r="B1072" s="1" t="s">
        <v>2</v>
      </c>
    </row>
    <row r="1073">
      <c r="A1073" s="2">
        <v>151802.0</v>
      </c>
      <c r="B1073" s="1" t="s">
        <v>2</v>
      </c>
    </row>
    <row r="1074">
      <c r="A1074" s="2">
        <v>151901.0</v>
      </c>
      <c r="B1074" s="1" t="s">
        <v>2</v>
      </c>
    </row>
    <row r="1075">
      <c r="A1075" s="2">
        <v>151933.0</v>
      </c>
      <c r="B1075" s="1" t="s">
        <v>2</v>
      </c>
    </row>
    <row r="1076">
      <c r="A1076" s="2">
        <v>152028.0</v>
      </c>
      <c r="B1076" s="1" t="s">
        <v>2</v>
      </c>
    </row>
    <row r="1077">
      <c r="A1077" s="2">
        <v>152121.0</v>
      </c>
      <c r="B1077" s="1" t="s">
        <v>2</v>
      </c>
    </row>
    <row r="1078">
      <c r="A1078" s="2">
        <v>152219.0</v>
      </c>
      <c r="B1078" s="1" t="s">
        <v>2</v>
      </c>
    </row>
    <row r="1079">
      <c r="A1079" s="2">
        <v>152221.0</v>
      </c>
      <c r="B1079" s="1" t="s">
        <v>2</v>
      </c>
    </row>
    <row r="1080">
      <c r="A1080" s="2">
        <v>152249.0</v>
      </c>
      <c r="B1080" s="1" t="s">
        <v>2</v>
      </c>
    </row>
    <row r="1081">
      <c r="A1081" s="2">
        <v>152282.0</v>
      </c>
      <c r="B1081" s="1" t="s">
        <v>2</v>
      </c>
    </row>
    <row r="1082">
      <c r="A1082" s="2">
        <v>152286.0</v>
      </c>
      <c r="B1082" s="1" t="s">
        <v>2</v>
      </c>
    </row>
    <row r="1083">
      <c r="A1083" s="2">
        <v>152287.0</v>
      </c>
      <c r="B1083" s="1" t="s">
        <v>2</v>
      </c>
    </row>
    <row r="1084">
      <c r="A1084" s="2">
        <v>152317.0</v>
      </c>
      <c r="B1084" s="1" t="s">
        <v>2</v>
      </c>
    </row>
    <row r="1085">
      <c r="A1085" s="2">
        <v>152346.0</v>
      </c>
      <c r="B1085" s="1" t="s">
        <v>2</v>
      </c>
    </row>
    <row r="1086">
      <c r="A1086" s="2">
        <v>152382.0</v>
      </c>
      <c r="B1086" s="1" t="s">
        <v>2</v>
      </c>
    </row>
    <row r="1087">
      <c r="A1087" s="2">
        <v>152504.0</v>
      </c>
      <c r="B1087" s="1" t="s">
        <v>2</v>
      </c>
    </row>
    <row r="1088">
      <c r="A1088" s="2">
        <v>152510.0</v>
      </c>
      <c r="B1088" s="1" t="s">
        <v>2</v>
      </c>
    </row>
    <row r="1089">
      <c r="A1089" s="2">
        <v>152667.0</v>
      </c>
      <c r="B1089" s="1" t="s">
        <v>2</v>
      </c>
    </row>
    <row r="1090">
      <c r="A1090" s="2">
        <v>152761.0</v>
      </c>
      <c r="B1090" s="1" t="s">
        <v>2</v>
      </c>
    </row>
    <row r="1091">
      <c r="A1091" s="2">
        <v>152826.0</v>
      </c>
      <c r="B1091" s="1" t="s">
        <v>2</v>
      </c>
    </row>
    <row r="1092">
      <c r="A1092" s="2">
        <v>152895.0</v>
      </c>
      <c r="B1092" s="1" t="s">
        <v>2</v>
      </c>
    </row>
    <row r="1093">
      <c r="A1093" s="2">
        <v>152957.0</v>
      </c>
      <c r="B1093" s="1" t="s">
        <v>2</v>
      </c>
    </row>
    <row r="1094">
      <c r="A1094" s="2">
        <v>152958.0</v>
      </c>
      <c r="B1094" s="1" t="s">
        <v>2</v>
      </c>
    </row>
    <row r="1095">
      <c r="A1095" s="2">
        <v>153016.0</v>
      </c>
      <c r="B1095" s="1" t="s">
        <v>2</v>
      </c>
    </row>
    <row r="1096">
      <c r="A1096" s="2">
        <v>153081.0</v>
      </c>
      <c r="B1096" s="1" t="s">
        <v>2</v>
      </c>
    </row>
    <row r="1097">
      <c r="A1097" s="2">
        <v>153144.0</v>
      </c>
      <c r="B1097" s="1" t="s">
        <v>2</v>
      </c>
    </row>
    <row r="1098">
      <c r="A1098" s="2">
        <v>153149.0</v>
      </c>
      <c r="B1098" s="1" t="s">
        <v>2</v>
      </c>
    </row>
    <row r="1099">
      <c r="A1099" s="2">
        <v>153151.0</v>
      </c>
      <c r="B1099" s="1" t="s">
        <v>2</v>
      </c>
    </row>
    <row r="1100">
      <c r="A1100" s="2">
        <v>153310.0</v>
      </c>
      <c r="B1100" s="1" t="s">
        <v>2</v>
      </c>
    </row>
    <row r="1101">
      <c r="A1101" s="2">
        <v>153403.0</v>
      </c>
      <c r="B1101" s="1" t="s">
        <v>2</v>
      </c>
    </row>
    <row r="1102">
      <c r="A1102" s="2">
        <v>153433.0</v>
      </c>
      <c r="B1102" s="1" t="s">
        <v>2</v>
      </c>
    </row>
    <row r="1103">
      <c r="A1103" s="2">
        <v>153564.0</v>
      </c>
      <c r="B1103" s="1" t="s">
        <v>2</v>
      </c>
    </row>
    <row r="1104">
      <c r="A1104" s="2">
        <v>153567.0</v>
      </c>
      <c r="B1104" s="1" t="s">
        <v>2</v>
      </c>
    </row>
    <row r="1105">
      <c r="A1105" s="2">
        <v>153726.0</v>
      </c>
      <c r="B1105" s="1" t="s">
        <v>2</v>
      </c>
    </row>
    <row r="1106">
      <c r="A1106" s="2">
        <v>153757.0</v>
      </c>
      <c r="B1106" s="1" t="s">
        <v>2</v>
      </c>
    </row>
    <row r="1107">
      <c r="A1107" s="2">
        <v>153759.0</v>
      </c>
      <c r="B1107" s="1" t="s">
        <v>2</v>
      </c>
    </row>
    <row r="1108">
      <c r="A1108" s="2">
        <v>153784.0</v>
      </c>
      <c r="B1108" s="1" t="s">
        <v>2</v>
      </c>
    </row>
    <row r="1109">
      <c r="A1109" s="2">
        <v>153786.0</v>
      </c>
      <c r="B1109" s="1" t="s">
        <v>2</v>
      </c>
    </row>
    <row r="1110">
      <c r="A1110" s="2">
        <v>153851.0</v>
      </c>
      <c r="B1110" s="1" t="s">
        <v>2</v>
      </c>
    </row>
    <row r="1111">
      <c r="A1111" s="2">
        <v>153915.0</v>
      </c>
      <c r="B1111" s="1" t="s">
        <v>2</v>
      </c>
    </row>
    <row r="1112">
      <c r="A1112" s="2">
        <v>154040.0</v>
      </c>
      <c r="B1112" s="1" t="s">
        <v>2</v>
      </c>
    </row>
    <row r="1113">
      <c r="A1113" s="2">
        <v>154072.0</v>
      </c>
      <c r="B1113" s="1" t="s">
        <v>2</v>
      </c>
    </row>
    <row r="1114">
      <c r="A1114" s="2">
        <v>154171.0</v>
      </c>
      <c r="B1114" s="1" t="s">
        <v>2</v>
      </c>
    </row>
    <row r="1115">
      <c r="A1115" s="2">
        <v>154233.0</v>
      </c>
      <c r="B1115" s="1" t="s">
        <v>2</v>
      </c>
    </row>
    <row r="1116">
      <c r="A1116" s="2">
        <v>154237.0</v>
      </c>
      <c r="B1116" s="1" t="s">
        <v>2</v>
      </c>
    </row>
    <row r="1117">
      <c r="A1117" s="2">
        <v>154552.0</v>
      </c>
      <c r="B1117" s="1" t="s">
        <v>2</v>
      </c>
    </row>
    <row r="1118">
      <c r="A1118" s="2">
        <v>154619.0</v>
      </c>
      <c r="B1118" s="1" t="s">
        <v>2</v>
      </c>
    </row>
    <row r="1119">
      <c r="A1119" s="2">
        <v>154620.0</v>
      </c>
      <c r="B1119" s="1" t="s">
        <v>2</v>
      </c>
    </row>
    <row r="1120">
      <c r="A1120" s="2">
        <v>154650.0</v>
      </c>
      <c r="B1120" s="1" t="s">
        <v>2</v>
      </c>
    </row>
    <row r="1121">
      <c r="A1121" s="2">
        <v>154684.0</v>
      </c>
      <c r="B1121" s="1" t="s">
        <v>2</v>
      </c>
    </row>
    <row r="1122">
      <c r="A1122" s="2">
        <v>154687.0</v>
      </c>
      <c r="B1122" s="1" t="s">
        <v>2</v>
      </c>
    </row>
    <row r="1123">
      <c r="A1123" s="2">
        <v>154751.0</v>
      </c>
      <c r="B1123" s="1" t="s">
        <v>2</v>
      </c>
    </row>
    <row r="1124">
      <c r="A1124" s="2">
        <v>154845.0</v>
      </c>
      <c r="B1124" s="1" t="s">
        <v>2</v>
      </c>
    </row>
    <row r="1125">
      <c r="A1125" s="2">
        <v>154876.0</v>
      </c>
      <c r="B1125" s="1" t="s">
        <v>2</v>
      </c>
    </row>
    <row r="1126">
      <c r="A1126" s="2">
        <v>154878.0</v>
      </c>
      <c r="B1126" s="1" t="s">
        <v>2</v>
      </c>
    </row>
    <row r="1127">
      <c r="A1127" s="2">
        <v>155069.0</v>
      </c>
      <c r="B1127" s="1" t="s">
        <v>2</v>
      </c>
    </row>
    <row r="1128">
      <c r="A1128" s="2">
        <v>155131.0</v>
      </c>
      <c r="B1128" s="1" t="s">
        <v>2</v>
      </c>
    </row>
    <row r="1129">
      <c r="A1129" s="2">
        <v>155295.0</v>
      </c>
      <c r="B1129" s="1" t="s">
        <v>2</v>
      </c>
    </row>
    <row r="1130">
      <c r="A1130" s="2">
        <v>155323.0</v>
      </c>
      <c r="B1130" s="1" t="s">
        <v>2</v>
      </c>
    </row>
    <row r="1131">
      <c r="A1131" s="2">
        <v>155418.0</v>
      </c>
      <c r="B1131" s="1" t="s">
        <v>2</v>
      </c>
    </row>
    <row r="1132">
      <c r="A1132" s="2">
        <v>155420.0</v>
      </c>
      <c r="B1132" s="1" t="s">
        <v>2</v>
      </c>
    </row>
    <row r="1133">
      <c r="A1133" s="2">
        <v>155451.0</v>
      </c>
      <c r="B1133" s="1" t="s">
        <v>2</v>
      </c>
    </row>
    <row r="1134">
      <c r="A1134" s="2">
        <v>155455.0</v>
      </c>
      <c r="B1134" s="1" t="s">
        <v>2</v>
      </c>
    </row>
    <row r="1135">
      <c r="A1135" s="2">
        <v>155519.0</v>
      </c>
      <c r="B1135" s="1" t="s">
        <v>2</v>
      </c>
    </row>
    <row r="1136">
      <c r="A1136" s="2">
        <v>155641.0</v>
      </c>
      <c r="B1136" s="1" t="s">
        <v>2</v>
      </c>
    </row>
    <row r="1137">
      <c r="A1137" s="2">
        <v>155647.0</v>
      </c>
      <c r="B1137" s="1" t="s">
        <v>2</v>
      </c>
    </row>
    <row r="1138">
      <c r="A1138" s="2">
        <v>155675.0</v>
      </c>
      <c r="B1138" s="1" t="s">
        <v>2</v>
      </c>
    </row>
    <row r="1139">
      <c r="A1139" s="2">
        <v>155741.0</v>
      </c>
      <c r="B1139" s="1" t="s">
        <v>2</v>
      </c>
    </row>
    <row r="1140">
      <c r="A1140" s="2">
        <v>155800.0</v>
      </c>
      <c r="B1140" s="1" t="s">
        <v>2</v>
      </c>
    </row>
    <row r="1141">
      <c r="A1141" s="2">
        <v>155804.0</v>
      </c>
      <c r="B1141" s="1" t="s">
        <v>2</v>
      </c>
    </row>
    <row r="1142">
      <c r="A1142" s="2">
        <v>155834.0</v>
      </c>
      <c r="B1142" s="1" t="s">
        <v>2</v>
      </c>
    </row>
    <row r="1143">
      <c r="A1143" s="2">
        <v>155868.0</v>
      </c>
      <c r="B1143" s="1" t="s">
        <v>2</v>
      </c>
    </row>
    <row r="1144">
      <c r="A1144" s="2">
        <v>155929.0</v>
      </c>
      <c r="B1144" s="1" t="s">
        <v>2</v>
      </c>
    </row>
    <row r="1145">
      <c r="A1145" s="2">
        <v>155999.0</v>
      </c>
      <c r="B1145" s="1" t="s">
        <v>2</v>
      </c>
    </row>
    <row r="1146">
      <c r="A1146" s="2">
        <v>156031.0</v>
      </c>
      <c r="B1146" s="1" t="s">
        <v>2</v>
      </c>
    </row>
    <row r="1147">
      <c r="A1147" s="2">
        <v>156090.0</v>
      </c>
      <c r="B1147" s="1" t="s">
        <v>2</v>
      </c>
    </row>
    <row r="1148">
      <c r="A1148" s="2">
        <v>156126.0</v>
      </c>
      <c r="B1148" s="1" t="s">
        <v>2</v>
      </c>
    </row>
    <row r="1149">
      <c r="A1149" s="2">
        <v>156159.0</v>
      </c>
      <c r="B1149" s="1" t="s">
        <v>2</v>
      </c>
    </row>
    <row r="1150">
      <c r="A1150" s="2">
        <v>156184.0</v>
      </c>
      <c r="B1150" s="1" t="s">
        <v>2</v>
      </c>
    </row>
    <row r="1151">
      <c r="A1151" s="2">
        <v>156186.0</v>
      </c>
      <c r="B1151" s="1" t="s">
        <v>2</v>
      </c>
    </row>
    <row r="1152">
      <c r="A1152" s="2">
        <v>156189.0</v>
      </c>
      <c r="B1152" s="1" t="s">
        <v>2</v>
      </c>
    </row>
    <row r="1153">
      <c r="A1153" s="2">
        <v>156219.0</v>
      </c>
      <c r="B1153" s="1" t="s">
        <v>2</v>
      </c>
    </row>
    <row r="1154">
      <c r="A1154" s="2">
        <v>156220.0</v>
      </c>
      <c r="B1154" s="1" t="s">
        <v>2</v>
      </c>
    </row>
    <row r="1155">
      <c r="A1155" s="2">
        <v>156287.0</v>
      </c>
      <c r="B1155" s="1" t="s">
        <v>2</v>
      </c>
    </row>
    <row r="1156">
      <c r="A1156" s="2">
        <v>156477.0</v>
      </c>
      <c r="B1156" s="1" t="s">
        <v>2</v>
      </c>
    </row>
    <row r="1157">
      <c r="A1157" s="2">
        <v>156478.0</v>
      </c>
      <c r="B1157" s="1" t="s">
        <v>2</v>
      </c>
    </row>
    <row r="1158">
      <c r="A1158" s="2">
        <v>156541.0</v>
      </c>
      <c r="B1158" s="1" t="s">
        <v>2</v>
      </c>
    </row>
    <row r="1159">
      <c r="A1159" s="2">
        <v>156568.0</v>
      </c>
      <c r="B1159" s="1" t="s">
        <v>2</v>
      </c>
    </row>
    <row r="1160">
      <c r="A1160" s="2">
        <v>156604.0</v>
      </c>
      <c r="B1160" s="1" t="s">
        <v>2</v>
      </c>
    </row>
    <row r="1161">
      <c r="A1161" s="2">
        <v>156605.0</v>
      </c>
      <c r="B1161" s="1" t="s">
        <v>2</v>
      </c>
    </row>
    <row r="1162">
      <c r="A1162" s="2">
        <v>156606.0</v>
      </c>
      <c r="B1162" s="1" t="s">
        <v>2</v>
      </c>
    </row>
    <row r="1163">
      <c r="A1163" s="2">
        <v>156729.0</v>
      </c>
      <c r="B1163" s="1" t="s">
        <v>2</v>
      </c>
    </row>
    <row r="1164">
      <c r="A1164" s="2">
        <v>156862.0</v>
      </c>
      <c r="B1164" s="1" t="s">
        <v>2</v>
      </c>
    </row>
    <row r="1165">
      <c r="A1165" s="2">
        <v>156987.0</v>
      </c>
      <c r="B1165" s="1" t="s">
        <v>2</v>
      </c>
    </row>
    <row r="1166">
      <c r="A1166" s="2">
        <v>156988.0</v>
      </c>
      <c r="B1166" s="1" t="s">
        <v>2</v>
      </c>
    </row>
    <row r="1167">
      <c r="A1167" s="2">
        <v>157087.0</v>
      </c>
      <c r="B1167" s="1" t="s">
        <v>2</v>
      </c>
    </row>
    <row r="1168">
      <c r="A1168" s="2">
        <v>157180.0</v>
      </c>
      <c r="B1168" s="1" t="s">
        <v>2</v>
      </c>
    </row>
    <row r="1169">
      <c r="A1169" s="2">
        <v>157215.0</v>
      </c>
      <c r="B1169" s="1" t="s">
        <v>2</v>
      </c>
    </row>
    <row r="1170">
      <c r="A1170" s="2">
        <v>157337.0</v>
      </c>
      <c r="B1170" s="1" t="s">
        <v>2</v>
      </c>
    </row>
    <row r="1171">
      <c r="A1171" s="2">
        <v>157338.0</v>
      </c>
      <c r="B1171" s="1" t="s">
        <v>2</v>
      </c>
    </row>
    <row r="1172">
      <c r="A1172" s="2">
        <v>157400.0</v>
      </c>
      <c r="B1172" s="1" t="s">
        <v>2</v>
      </c>
    </row>
    <row r="1173">
      <c r="A1173" s="2">
        <v>157402.0</v>
      </c>
      <c r="B1173" s="1" t="s">
        <v>2</v>
      </c>
    </row>
    <row r="1174">
      <c r="A1174" s="2">
        <v>157406.0</v>
      </c>
      <c r="B1174" s="1" t="s">
        <v>2</v>
      </c>
    </row>
    <row r="1175">
      <c r="A1175" s="2">
        <v>157435.0</v>
      </c>
      <c r="B1175" s="1" t="s">
        <v>2</v>
      </c>
    </row>
    <row r="1176">
      <c r="A1176" s="2">
        <v>157438.0</v>
      </c>
      <c r="B1176" s="1" t="s">
        <v>2</v>
      </c>
    </row>
    <row r="1177">
      <c r="A1177" s="2">
        <v>157497.0</v>
      </c>
      <c r="B1177" s="1" t="s">
        <v>2</v>
      </c>
    </row>
    <row r="1178">
      <c r="A1178" s="2">
        <v>157499.0</v>
      </c>
      <c r="B1178" s="1" t="s">
        <v>2</v>
      </c>
    </row>
    <row r="1179">
      <c r="A1179" s="2">
        <v>157562.0</v>
      </c>
      <c r="B1179" s="1" t="s">
        <v>2</v>
      </c>
    </row>
    <row r="1180">
      <c r="A1180" s="2">
        <v>157565.0</v>
      </c>
      <c r="B1180" s="1" t="s">
        <v>2</v>
      </c>
    </row>
    <row r="1181">
      <c r="A1181" s="2">
        <v>157597.0</v>
      </c>
      <c r="B1181" s="1" t="s">
        <v>2</v>
      </c>
    </row>
    <row r="1182">
      <c r="A1182" s="2">
        <v>157659.0</v>
      </c>
      <c r="B1182" s="1" t="s">
        <v>2</v>
      </c>
    </row>
    <row r="1183">
      <c r="A1183" s="2">
        <v>157689.0</v>
      </c>
      <c r="B1183" s="1" t="s">
        <v>2</v>
      </c>
    </row>
    <row r="1184">
      <c r="A1184" s="2">
        <v>157753.0</v>
      </c>
      <c r="B1184" s="1" t="s">
        <v>2</v>
      </c>
    </row>
    <row r="1185">
      <c r="A1185" s="2">
        <v>157791.0</v>
      </c>
      <c r="B1185" s="1" t="s">
        <v>2</v>
      </c>
    </row>
    <row r="1186">
      <c r="A1186" s="2">
        <v>157822.0</v>
      </c>
      <c r="B1186" s="1" t="s">
        <v>2</v>
      </c>
    </row>
    <row r="1187">
      <c r="A1187" s="2">
        <v>157853.0</v>
      </c>
      <c r="B1187" s="1" t="s">
        <v>2</v>
      </c>
    </row>
    <row r="1188">
      <c r="A1188" s="2">
        <v>157882.0</v>
      </c>
      <c r="B1188" s="1" t="s">
        <v>2</v>
      </c>
    </row>
    <row r="1189">
      <c r="A1189" s="2">
        <v>157979.0</v>
      </c>
      <c r="B1189" s="1" t="s">
        <v>2</v>
      </c>
    </row>
    <row r="1190">
      <c r="A1190" s="2">
        <v>158047.0</v>
      </c>
      <c r="B1190" s="1" t="s">
        <v>2</v>
      </c>
    </row>
    <row r="1191">
      <c r="A1191" s="2">
        <v>158110.0</v>
      </c>
      <c r="B1191" s="1" t="s">
        <v>2</v>
      </c>
    </row>
    <row r="1192">
      <c r="A1192" s="2">
        <v>158136.0</v>
      </c>
      <c r="B1192" s="1" t="s">
        <v>2</v>
      </c>
    </row>
    <row r="1193">
      <c r="A1193" s="2">
        <v>158139.0</v>
      </c>
      <c r="B1193" s="1" t="s">
        <v>2</v>
      </c>
    </row>
    <row r="1194">
      <c r="A1194" s="2">
        <v>158173.0</v>
      </c>
      <c r="B1194" s="1" t="s">
        <v>2</v>
      </c>
    </row>
    <row r="1195">
      <c r="A1195" s="2">
        <v>158200.0</v>
      </c>
      <c r="B1195" s="1" t="s">
        <v>2</v>
      </c>
    </row>
    <row r="1196">
      <c r="A1196" s="2">
        <v>158300.0</v>
      </c>
      <c r="B1196" s="1" t="s">
        <v>2</v>
      </c>
    </row>
    <row r="1197">
      <c r="A1197" s="2">
        <v>158302.0</v>
      </c>
      <c r="B1197" s="1" t="s">
        <v>2</v>
      </c>
    </row>
    <row r="1198">
      <c r="A1198" s="2">
        <v>158430.0</v>
      </c>
      <c r="B1198" s="1" t="s">
        <v>2</v>
      </c>
    </row>
    <row r="1199">
      <c r="A1199" s="2">
        <v>158492.0</v>
      </c>
      <c r="B1199" s="1" t="s">
        <v>2</v>
      </c>
    </row>
    <row r="1200">
      <c r="A1200" s="2">
        <v>158494.0</v>
      </c>
      <c r="B1200" s="1" t="s">
        <v>2</v>
      </c>
    </row>
    <row r="1201">
      <c r="A1201" s="2">
        <v>158584.0</v>
      </c>
      <c r="B1201" s="1" t="s">
        <v>2</v>
      </c>
    </row>
    <row r="1202">
      <c r="A1202" s="2">
        <v>158590.0</v>
      </c>
      <c r="B1202" s="1" t="s">
        <v>2</v>
      </c>
    </row>
    <row r="1203">
      <c r="A1203" s="2">
        <v>158652.0</v>
      </c>
      <c r="B1203" s="1" t="s">
        <v>2</v>
      </c>
    </row>
    <row r="1204">
      <c r="A1204" s="2">
        <v>158684.0</v>
      </c>
      <c r="B1204" s="1" t="s">
        <v>2</v>
      </c>
    </row>
    <row r="1205">
      <c r="A1205" s="2">
        <v>158713.0</v>
      </c>
      <c r="B1205" s="1" t="s">
        <v>2</v>
      </c>
    </row>
    <row r="1206">
      <c r="A1206" s="2">
        <v>158875.0</v>
      </c>
      <c r="B1206" s="1" t="s">
        <v>2</v>
      </c>
    </row>
    <row r="1207">
      <c r="A1207" s="2">
        <v>158878.0</v>
      </c>
      <c r="B1207" s="1" t="s">
        <v>2</v>
      </c>
    </row>
    <row r="1208">
      <c r="A1208" s="2">
        <v>158908.0</v>
      </c>
      <c r="B1208" s="1" t="s">
        <v>2</v>
      </c>
    </row>
    <row r="1209">
      <c r="A1209" s="2">
        <v>158968.0</v>
      </c>
      <c r="B1209" s="1" t="s">
        <v>2</v>
      </c>
    </row>
    <row r="1210">
      <c r="A1210" s="2">
        <v>159034.0</v>
      </c>
      <c r="B1210" s="1" t="s">
        <v>2</v>
      </c>
    </row>
    <row r="1211">
      <c r="A1211" s="2">
        <v>159068.0</v>
      </c>
      <c r="B1211" s="1" t="s">
        <v>2</v>
      </c>
    </row>
    <row r="1212">
      <c r="A1212" s="2">
        <v>159099.0</v>
      </c>
      <c r="B1212" s="1" t="s">
        <v>2</v>
      </c>
    </row>
    <row r="1213">
      <c r="A1213" s="2">
        <v>159103.0</v>
      </c>
      <c r="B1213" s="1" t="s">
        <v>2</v>
      </c>
    </row>
    <row r="1214">
      <c r="A1214" s="2">
        <v>159196.0</v>
      </c>
      <c r="B1214" s="1" t="s">
        <v>2</v>
      </c>
    </row>
    <row r="1215">
      <c r="A1215" s="2">
        <v>159292.0</v>
      </c>
      <c r="B1215" s="1" t="s">
        <v>2</v>
      </c>
    </row>
    <row r="1216">
      <c r="A1216" s="2">
        <v>159387.0</v>
      </c>
      <c r="B1216" s="1" t="s">
        <v>2</v>
      </c>
    </row>
    <row r="1217">
      <c r="A1217" s="2">
        <v>159484.0</v>
      </c>
      <c r="B1217" s="1" t="s">
        <v>2</v>
      </c>
    </row>
    <row r="1218">
      <c r="A1218" s="2">
        <v>159640.0</v>
      </c>
      <c r="B1218" s="1" t="s">
        <v>2</v>
      </c>
    </row>
    <row r="1219">
      <c r="A1219" s="2">
        <v>159646.0</v>
      </c>
      <c r="B1219" s="1" t="s">
        <v>2</v>
      </c>
    </row>
    <row r="1220">
      <c r="A1220" s="2">
        <v>159838.0</v>
      </c>
      <c r="B1220" s="1" t="s">
        <v>2</v>
      </c>
    </row>
    <row r="1221">
      <c r="A1221" s="2">
        <v>159866.0</v>
      </c>
      <c r="B1221" s="1" t="s">
        <v>2</v>
      </c>
    </row>
    <row r="1222">
      <c r="A1222" s="2">
        <v>159992.0</v>
      </c>
      <c r="B1222" s="1" t="s">
        <v>2</v>
      </c>
    </row>
    <row r="1223">
      <c r="A1223" s="2">
        <v>159997.0</v>
      </c>
      <c r="B1223" s="1" t="s">
        <v>2</v>
      </c>
    </row>
    <row r="1224">
      <c r="A1224" s="2">
        <v>160025.0</v>
      </c>
      <c r="B1224" s="1" t="s">
        <v>2</v>
      </c>
    </row>
    <row r="1225">
      <c r="A1225" s="2">
        <v>160095.0</v>
      </c>
      <c r="B1225" s="1" t="s">
        <v>2</v>
      </c>
    </row>
    <row r="1226">
      <c r="A1226" s="2">
        <v>160127.0</v>
      </c>
      <c r="B1226" s="1" t="s">
        <v>2</v>
      </c>
    </row>
    <row r="1227">
      <c r="A1227" s="2">
        <v>160188.0</v>
      </c>
      <c r="B1227" s="1" t="s">
        <v>2</v>
      </c>
    </row>
    <row r="1228">
      <c r="A1228" s="2">
        <v>160218.0</v>
      </c>
      <c r="B1228" s="1" t="s">
        <v>2</v>
      </c>
    </row>
    <row r="1229">
      <c r="A1229" s="2">
        <v>160315.0</v>
      </c>
      <c r="B1229" s="1" t="s">
        <v>2</v>
      </c>
    </row>
    <row r="1230">
      <c r="A1230" s="2">
        <v>160348.0</v>
      </c>
      <c r="B1230" s="1" t="s">
        <v>2</v>
      </c>
    </row>
    <row r="1231">
      <c r="A1231" s="2">
        <v>160380.0</v>
      </c>
      <c r="B1231" s="1" t="s">
        <v>2</v>
      </c>
    </row>
    <row r="1232">
      <c r="A1232" s="2">
        <v>160414.0</v>
      </c>
      <c r="B1232" s="1" t="s">
        <v>2</v>
      </c>
    </row>
    <row r="1233">
      <c r="A1233" s="2">
        <v>160441.0</v>
      </c>
      <c r="B1233" s="1" t="s">
        <v>2</v>
      </c>
    </row>
    <row r="1234">
      <c r="A1234" s="2">
        <v>160447.0</v>
      </c>
      <c r="B1234" s="1" t="s">
        <v>2</v>
      </c>
    </row>
    <row r="1235">
      <c r="A1235" s="2">
        <v>160543.0</v>
      </c>
      <c r="B1235" s="1" t="s">
        <v>2</v>
      </c>
    </row>
    <row r="1236">
      <c r="A1236" s="2">
        <v>160667.0</v>
      </c>
      <c r="B1236" s="1" t="s">
        <v>2</v>
      </c>
    </row>
    <row r="1237">
      <c r="A1237" s="2">
        <v>160668.0</v>
      </c>
      <c r="B1237" s="1" t="s">
        <v>2</v>
      </c>
    </row>
    <row r="1238">
      <c r="A1238" s="2">
        <v>160734.0</v>
      </c>
      <c r="B1238" s="1" t="s">
        <v>2</v>
      </c>
    </row>
    <row r="1239">
      <c r="A1239" s="2">
        <v>160762.0</v>
      </c>
      <c r="B1239" s="1" t="s">
        <v>2</v>
      </c>
    </row>
    <row r="1240">
      <c r="A1240" s="2">
        <v>160825.0</v>
      </c>
      <c r="B1240" s="1" t="s">
        <v>2</v>
      </c>
    </row>
    <row r="1241">
      <c r="A1241" s="2">
        <v>160860.0</v>
      </c>
      <c r="B1241" s="1" t="s">
        <v>2</v>
      </c>
    </row>
    <row r="1242">
      <c r="A1242" s="2">
        <v>160861.0</v>
      </c>
      <c r="B1242" s="1" t="s">
        <v>2</v>
      </c>
    </row>
    <row r="1243">
      <c r="A1243" s="2">
        <v>160891.0</v>
      </c>
      <c r="B1243" s="1" t="s">
        <v>2</v>
      </c>
    </row>
    <row r="1244">
      <c r="A1244" s="2">
        <v>160924.0</v>
      </c>
      <c r="B1244" s="1" t="s">
        <v>2</v>
      </c>
    </row>
    <row r="1245">
      <c r="A1245" s="2">
        <v>161080.0</v>
      </c>
      <c r="B1245" s="1" t="s">
        <v>2</v>
      </c>
    </row>
    <row r="1246">
      <c r="A1246" s="2">
        <v>161087.0</v>
      </c>
      <c r="B1246" s="1" t="s">
        <v>2</v>
      </c>
    </row>
    <row r="1247">
      <c r="A1247" s="2">
        <v>161210.0</v>
      </c>
      <c r="B1247" s="1" t="s">
        <v>2</v>
      </c>
    </row>
    <row r="1248">
      <c r="A1248" s="2">
        <v>161212.0</v>
      </c>
      <c r="B1248" s="1" t="s">
        <v>2</v>
      </c>
    </row>
    <row r="1249">
      <c r="A1249" s="2">
        <v>161304.0</v>
      </c>
      <c r="B1249" s="1" t="s">
        <v>2</v>
      </c>
    </row>
    <row r="1250">
      <c r="A1250" s="2">
        <v>161310.0</v>
      </c>
      <c r="B1250" s="1" t="s">
        <v>2</v>
      </c>
    </row>
    <row r="1251">
      <c r="A1251" s="2">
        <v>161340.0</v>
      </c>
      <c r="B1251" s="1" t="s">
        <v>2</v>
      </c>
    </row>
    <row r="1252">
      <c r="A1252" s="2">
        <v>161369.0</v>
      </c>
      <c r="B1252" s="1" t="s">
        <v>2</v>
      </c>
    </row>
    <row r="1253">
      <c r="A1253" s="2">
        <v>161437.0</v>
      </c>
      <c r="B1253" s="1" t="s">
        <v>2</v>
      </c>
    </row>
    <row r="1254">
      <c r="A1254" s="2">
        <v>161466.0</v>
      </c>
      <c r="B1254" s="1" t="s">
        <v>2</v>
      </c>
    </row>
    <row r="1255">
      <c r="A1255" s="2">
        <v>161531.0</v>
      </c>
      <c r="B1255" s="1" t="s">
        <v>2</v>
      </c>
    </row>
    <row r="1256">
      <c r="A1256" s="2">
        <v>161599.0</v>
      </c>
      <c r="B1256" s="1" t="s">
        <v>2</v>
      </c>
    </row>
    <row r="1257">
      <c r="A1257" s="2">
        <v>161657.0</v>
      </c>
      <c r="B1257" s="1" t="s">
        <v>2</v>
      </c>
    </row>
    <row r="1258">
      <c r="A1258" s="2">
        <v>161661.0</v>
      </c>
      <c r="B1258" s="1" t="s">
        <v>2</v>
      </c>
    </row>
    <row r="1259">
      <c r="A1259" s="2">
        <v>161693.0</v>
      </c>
      <c r="B1259" s="1" t="s">
        <v>2</v>
      </c>
    </row>
    <row r="1260">
      <c r="A1260" s="2">
        <v>161786.0</v>
      </c>
      <c r="B1260" s="1" t="s">
        <v>2</v>
      </c>
    </row>
    <row r="1261">
      <c r="A1261" s="2">
        <v>161791.0</v>
      </c>
      <c r="B1261" s="1" t="s">
        <v>2</v>
      </c>
    </row>
    <row r="1262">
      <c r="A1262" s="2">
        <v>161848.0</v>
      </c>
      <c r="B1262" s="1" t="s">
        <v>2</v>
      </c>
    </row>
    <row r="1263">
      <c r="A1263" s="2">
        <v>161917.0</v>
      </c>
      <c r="B1263" s="1" t="s">
        <v>2</v>
      </c>
    </row>
    <row r="1264">
      <c r="A1264" s="2">
        <v>161944.0</v>
      </c>
      <c r="B1264" s="1" t="s">
        <v>2</v>
      </c>
    </row>
    <row r="1265">
      <c r="A1265" s="2">
        <v>161948.0</v>
      </c>
      <c r="B1265" s="1" t="s">
        <v>2</v>
      </c>
    </row>
    <row r="1266">
      <c r="A1266" s="2">
        <v>161950.0</v>
      </c>
      <c r="B1266" s="1" t="s">
        <v>2</v>
      </c>
    </row>
    <row r="1267">
      <c r="A1267" s="2">
        <v>162043.0</v>
      </c>
      <c r="B1267" s="1" t="s">
        <v>2</v>
      </c>
    </row>
    <row r="1268">
      <c r="A1268" s="2">
        <v>162078.0</v>
      </c>
      <c r="B1268" s="1" t="s">
        <v>2</v>
      </c>
    </row>
    <row r="1269">
      <c r="A1269" s="2">
        <v>162235.0</v>
      </c>
      <c r="B1269" s="1" t="s">
        <v>2</v>
      </c>
    </row>
    <row r="1270">
      <c r="A1270" s="2">
        <v>162238.0</v>
      </c>
      <c r="B1270" s="1" t="s">
        <v>2</v>
      </c>
    </row>
    <row r="1271">
      <c r="A1271" s="2">
        <v>162265.0</v>
      </c>
      <c r="B1271" s="1" t="s">
        <v>2</v>
      </c>
    </row>
    <row r="1272">
      <c r="A1272" s="2">
        <v>162266.0</v>
      </c>
      <c r="B1272" s="1" t="s">
        <v>2</v>
      </c>
    </row>
    <row r="1273">
      <c r="A1273" s="2">
        <v>162330.0</v>
      </c>
      <c r="B1273" s="1" t="s">
        <v>2</v>
      </c>
    </row>
    <row r="1274">
      <c r="A1274" s="2">
        <v>162331.0</v>
      </c>
      <c r="B1274" s="1" t="s">
        <v>2</v>
      </c>
    </row>
    <row r="1275">
      <c r="A1275" s="2">
        <v>162335.0</v>
      </c>
      <c r="B1275" s="1" t="s">
        <v>2</v>
      </c>
    </row>
    <row r="1276">
      <c r="A1276" s="2">
        <v>162586.0</v>
      </c>
      <c r="B1276" s="1" t="s">
        <v>2</v>
      </c>
    </row>
    <row r="1277">
      <c r="A1277" s="2">
        <v>162590.0</v>
      </c>
      <c r="B1277" s="1" t="s">
        <v>2</v>
      </c>
    </row>
    <row r="1278">
      <c r="A1278" s="2">
        <v>162650.0</v>
      </c>
      <c r="B1278" s="1" t="s">
        <v>2</v>
      </c>
    </row>
    <row r="1279">
      <c r="A1279" s="2">
        <v>162654.0</v>
      </c>
      <c r="B1279" s="1" t="s">
        <v>2</v>
      </c>
    </row>
    <row r="1280">
      <c r="A1280" s="2">
        <v>162655.0</v>
      </c>
      <c r="B1280" s="1" t="s">
        <v>2</v>
      </c>
    </row>
    <row r="1281">
      <c r="A1281" s="2">
        <v>162683.0</v>
      </c>
      <c r="B1281" s="1" t="s">
        <v>2</v>
      </c>
    </row>
    <row r="1282">
      <c r="A1282" s="2">
        <v>162744.0</v>
      </c>
      <c r="B1282" s="1" t="s">
        <v>2</v>
      </c>
    </row>
    <row r="1283">
      <c r="A1283" s="2">
        <v>162745.0</v>
      </c>
      <c r="B1283" s="1" t="s">
        <v>2</v>
      </c>
    </row>
    <row r="1284">
      <c r="A1284" s="2">
        <v>162812.0</v>
      </c>
      <c r="B1284" s="1" t="s">
        <v>2</v>
      </c>
    </row>
    <row r="1285">
      <c r="A1285" s="2">
        <v>162937.0</v>
      </c>
      <c r="B1285" s="1" t="s">
        <v>2</v>
      </c>
    </row>
    <row r="1286">
      <c r="A1286" s="2">
        <v>162943.0</v>
      </c>
      <c r="B1286" s="1" t="s">
        <v>2</v>
      </c>
    </row>
    <row r="1287">
      <c r="A1287" s="2">
        <v>163005.0</v>
      </c>
      <c r="B1287" s="1" t="s">
        <v>2</v>
      </c>
    </row>
    <row r="1288">
      <c r="A1288" s="2">
        <v>163006.0</v>
      </c>
      <c r="B1288" s="1" t="s">
        <v>2</v>
      </c>
    </row>
    <row r="1289">
      <c r="A1289" s="2">
        <v>163101.0</v>
      </c>
      <c r="B1289" s="1" t="s">
        <v>2</v>
      </c>
    </row>
    <row r="1290">
      <c r="A1290" s="2">
        <v>163102.0</v>
      </c>
      <c r="B1290" s="1" t="s">
        <v>2</v>
      </c>
    </row>
    <row r="1291">
      <c r="A1291" s="2">
        <v>163131.0</v>
      </c>
      <c r="B1291" s="1" t="s">
        <v>2</v>
      </c>
    </row>
    <row r="1292">
      <c r="A1292" s="2">
        <v>163193.0</v>
      </c>
      <c r="B1292" s="1" t="s">
        <v>2</v>
      </c>
    </row>
    <row r="1293">
      <c r="A1293" s="2">
        <v>163259.0</v>
      </c>
      <c r="B1293" s="1" t="s">
        <v>2</v>
      </c>
    </row>
    <row r="1294">
      <c r="A1294" s="2">
        <v>163261.0</v>
      </c>
      <c r="B1294" s="1" t="s">
        <v>2</v>
      </c>
    </row>
    <row r="1295">
      <c r="A1295" s="2">
        <v>163357.0</v>
      </c>
      <c r="B1295" s="1" t="s">
        <v>2</v>
      </c>
    </row>
    <row r="1296">
      <c r="A1296" s="2">
        <v>163518.0</v>
      </c>
      <c r="B1296" s="1" t="s">
        <v>2</v>
      </c>
    </row>
    <row r="1297">
      <c r="A1297" s="2">
        <v>163519.0</v>
      </c>
      <c r="B1297" s="1" t="s">
        <v>2</v>
      </c>
    </row>
    <row r="1298">
      <c r="A1298" s="2">
        <v>163544.0</v>
      </c>
      <c r="B1298" s="1" t="s">
        <v>2</v>
      </c>
    </row>
    <row r="1299">
      <c r="A1299" s="2">
        <v>163608.0</v>
      </c>
      <c r="B1299" s="1" t="s">
        <v>2</v>
      </c>
    </row>
    <row r="1300">
      <c r="A1300" s="2">
        <v>163647.0</v>
      </c>
      <c r="B1300" s="1" t="s">
        <v>2</v>
      </c>
    </row>
    <row r="1301">
      <c r="A1301" s="2">
        <v>163673.0</v>
      </c>
      <c r="B1301" s="1" t="s">
        <v>2</v>
      </c>
    </row>
    <row r="1302">
      <c r="A1302" s="2">
        <v>163833.0</v>
      </c>
      <c r="B1302" s="1" t="s">
        <v>2</v>
      </c>
    </row>
    <row r="1303">
      <c r="A1303" s="2">
        <v>163839.0</v>
      </c>
      <c r="B1303" s="1" t="s">
        <v>2</v>
      </c>
    </row>
    <row r="1304">
      <c r="A1304" s="2">
        <v>163902.0</v>
      </c>
      <c r="B1304" s="1" t="s">
        <v>2</v>
      </c>
    </row>
    <row r="1305">
      <c r="A1305" s="2">
        <v>163933.0</v>
      </c>
      <c r="B1305" s="1" t="s">
        <v>2</v>
      </c>
    </row>
    <row r="1306">
      <c r="A1306" s="2">
        <v>164152.0</v>
      </c>
      <c r="B1306" s="1" t="s">
        <v>2</v>
      </c>
    </row>
    <row r="1307">
      <c r="A1307" s="2">
        <v>164184.0</v>
      </c>
      <c r="B1307" s="1" t="s">
        <v>2</v>
      </c>
    </row>
    <row r="1308">
      <c r="A1308" s="2">
        <v>164187.0</v>
      </c>
      <c r="B1308" s="1" t="s">
        <v>2</v>
      </c>
    </row>
    <row r="1309">
      <c r="A1309" s="2">
        <v>164216.0</v>
      </c>
      <c r="B1309" s="1" t="s">
        <v>2</v>
      </c>
    </row>
    <row r="1310">
      <c r="A1310" s="2">
        <v>164254.0</v>
      </c>
      <c r="B1310" s="1" t="s">
        <v>2</v>
      </c>
    </row>
    <row r="1311">
      <c r="A1311" s="2">
        <v>164282.0</v>
      </c>
      <c r="B1311" s="1" t="s">
        <v>2</v>
      </c>
    </row>
    <row r="1312">
      <c r="A1312" s="2">
        <v>164345.0</v>
      </c>
      <c r="B1312" s="1" t="s">
        <v>2</v>
      </c>
    </row>
    <row r="1313">
      <c r="A1313" s="2">
        <v>164412.0</v>
      </c>
      <c r="B1313" s="1" t="s">
        <v>2</v>
      </c>
    </row>
    <row r="1314">
      <c r="A1314" s="2">
        <v>164504.0</v>
      </c>
      <c r="B1314" s="1" t="s">
        <v>2</v>
      </c>
    </row>
    <row r="1315">
      <c r="A1315" s="2">
        <v>164606.0</v>
      </c>
      <c r="B1315" s="1" t="s">
        <v>2</v>
      </c>
    </row>
    <row r="1316">
      <c r="A1316" s="2">
        <v>164728.0</v>
      </c>
      <c r="B1316" s="1" t="s">
        <v>2</v>
      </c>
    </row>
    <row r="1317">
      <c r="A1317" s="2">
        <v>164888.0</v>
      </c>
      <c r="B1317" s="1" t="s">
        <v>2</v>
      </c>
    </row>
    <row r="1318">
      <c r="A1318" s="2">
        <v>164895.0</v>
      </c>
      <c r="B1318" s="1" t="s">
        <v>2</v>
      </c>
    </row>
    <row r="1319">
      <c r="A1319" s="2">
        <v>164926.0</v>
      </c>
      <c r="B1319" s="1" t="s">
        <v>2</v>
      </c>
    </row>
    <row r="1320">
      <c r="A1320" s="2">
        <v>165151.0</v>
      </c>
      <c r="B1320" s="1" t="s">
        <v>2</v>
      </c>
    </row>
    <row r="1321">
      <c r="A1321" s="2">
        <v>165209.0</v>
      </c>
      <c r="B1321" s="1" t="s">
        <v>2</v>
      </c>
    </row>
    <row r="1322">
      <c r="A1322" s="2">
        <v>165243.0</v>
      </c>
      <c r="B1322" s="1" t="s">
        <v>2</v>
      </c>
    </row>
    <row r="1323">
      <c r="A1323" s="2">
        <v>165403.0</v>
      </c>
      <c r="B1323" s="1" t="s">
        <v>2</v>
      </c>
    </row>
    <row r="1324">
      <c r="A1324" s="2">
        <v>165436.0</v>
      </c>
      <c r="B1324" s="1" t="s">
        <v>2</v>
      </c>
    </row>
    <row r="1325">
      <c r="A1325" s="2">
        <v>165437.0</v>
      </c>
      <c r="B1325" s="1" t="s">
        <v>2</v>
      </c>
    </row>
    <row r="1326">
      <c r="A1326" s="2">
        <v>165465.0</v>
      </c>
      <c r="B1326" s="1" t="s">
        <v>2</v>
      </c>
    </row>
    <row r="1327">
      <c r="A1327" s="2">
        <v>165691.0</v>
      </c>
      <c r="B1327" s="1" t="s">
        <v>2</v>
      </c>
    </row>
    <row r="1328">
      <c r="A1328" s="2">
        <v>165693.0</v>
      </c>
      <c r="B1328" s="1" t="s">
        <v>2</v>
      </c>
    </row>
    <row r="1329">
      <c r="A1329" s="2">
        <v>165820.0</v>
      </c>
      <c r="B1329" s="1" t="s">
        <v>2</v>
      </c>
    </row>
    <row r="1330">
      <c r="A1330" s="2">
        <v>165823.0</v>
      </c>
      <c r="B1330" s="1" t="s">
        <v>2</v>
      </c>
    </row>
    <row r="1331">
      <c r="A1331" s="2">
        <v>165848.0</v>
      </c>
      <c r="B1331" s="1" t="s">
        <v>2</v>
      </c>
    </row>
    <row r="1332">
      <c r="A1332" s="2">
        <v>165852.0</v>
      </c>
      <c r="B1332" s="1" t="s">
        <v>2</v>
      </c>
    </row>
    <row r="1333">
      <c r="A1333" s="2">
        <v>165944.0</v>
      </c>
      <c r="B1333" s="1" t="s">
        <v>2</v>
      </c>
    </row>
    <row r="1334">
      <c r="A1334" s="2">
        <v>165951.0</v>
      </c>
      <c r="B1334" s="1" t="s">
        <v>2</v>
      </c>
    </row>
    <row r="1335">
      <c r="A1335" s="2">
        <v>166137.0</v>
      </c>
      <c r="B1335" s="1" t="s">
        <v>2</v>
      </c>
    </row>
    <row r="1336">
      <c r="A1336" s="2">
        <v>166138.0</v>
      </c>
      <c r="B1336" s="1" t="s">
        <v>2</v>
      </c>
    </row>
    <row r="1337">
      <c r="A1337" s="2">
        <v>166170.0</v>
      </c>
      <c r="B1337" s="1" t="s">
        <v>2</v>
      </c>
    </row>
    <row r="1338">
      <c r="A1338" s="2">
        <v>166200.0</v>
      </c>
      <c r="B1338" s="1" t="s">
        <v>2</v>
      </c>
    </row>
    <row r="1339">
      <c r="A1339" s="2">
        <v>166203.0</v>
      </c>
      <c r="B1339" s="1" t="s">
        <v>2</v>
      </c>
    </row>
    <row r="1340">
      <c r="A1340" s="2">
        <v>166296.0</v>
      </c>
      <c r="B1340" s="1" t="s">
        <v>2</v>
      </c>
    </row>
    <row r="1341">
      <c r="A1341" s="2">
        <v>166302.0</v>
      </c>
      <c r="B1341" s="1" t="s">
        <v>2</v>
      </c>
    </row>
    <row r="1342">
      <c r="A1342" s="2">
        <v>166329.0</v>
      </c>
      <c r="B1342" s="1" t="s">
        <v>2</v>
      </c>
    </row>
    <row r="1343">
      <c r="A1343" s="2">
        <v>166330.0</v>
      </c>
      <c r="B1343" s="1" t="s">
        <v>2</v>
      </c>
    </row>
    <row r="1344">
      <c r="A1344" s="2">
        <v>166332.0</v>
      </c>
      <c r="B1344" s="1" t="s">
        <v>2</v>
      </c>
    </row>
    <row r="1345">
      <c r="A1345" s="2">
        <v>166360.0</v>
      </c>
      <c r="B1345" s="1" t="s">
        <v>2</v>
      </c>
    </row>
    <row r="1346">
      <c r="A1346" s="2">
        <v>166363.0</v>
      </c>
      <c r="B1346" s="1" t="s">
        <v>2</v>
      </c>
    </row>
    <row r="1347">
      <c r="A1347" s="2">
        <v>166392.0</v>
      </c>
      <c r="B1347" s="1" t="s">
        <v>2</v>
      </c>
    </row>
    <row r="1348">
      <c r="A1348" s="2">
        <v>166398.0</v>
      </c>
      <c r="B1348" s="1" t="s">
        <v>2</v>
      </c>
    </row>
    <row r="1349">
      <c r="A1349" s="2">
        <v>166493.0</v>
      </c>
      <c r="B1349" s="1" t="s">
        <v>2</v>
      </c>
    </row>
    <row r="1350">
      <c r="A1350" s="2">
        <v>166686.0</v>
      </c>
      <c r="B1350" s="1" t="s">
        <v>2</v>
      </c>
    </row>
    <row r="1351">
      <c r="A1351" s="2">
        <v>166779.0</v>
      </c>
      <c r="B1351" s="1" t="s">
        <v>2</v>
      </c>
    </row>
    <row r="1352">
      <c r="A1352" s="2">
        <v>166906.0</v>
      </c>
      <c r="B1352" s="1" t="s">
        <v>2</v>
      </c>
    </row>
    <row r="1353">
      <c r="A1353" s="2">
        <v>166940.0</v>
      </c>
      <c r="B1353" s="1" t="s">
        <v>2</v>
      </c>
    </row>
    <row r="1354">
      <c r="A1354" s="2">
        <v>166972.0</v>
      </c>
      <c r="B1354" s="1" t="s">
        <v>2</v>
      </c>
    </row>
    <row r="1355">
      <c r="A1355" s="2">
        <v>167000.0</v>
      </c>
      <c r="B1355" s="1" t="s">
        <v>2</v>
      </c>
    </row>
    <row r="1356">
      <c r="A1356" s="2">
        <v>167036.0</v>
      </c>
      <c r="B1356" s="1" t="s">
        <v>2</v>
      </c>
    </row>
    <row r="1357">
      <c r="A1357" s="2">
        <v>167197.0</v>
      </c>
      <c r="B1357" s="1" t="s">
        <v>2</v>
      </c>
    </row>
    <row r="1358">
      <c r="A1358" s="2">
        <v>167256.0</v>
      </c>
      <c r="B1358" s="1" t="s">
        <v>2</v>
      </c>
    </row>
    <row r="1359">
      <c r="A1359" s="2">
        <v>167322.0</v>
      </c>
      <c r="B1359" s="1" t="s">
        <v>2</v>
      </c>
    </row>
    <row r="1360">
      <c r="A1360" s="2">
        <v>167325.0</v>
      </c>
      <c r="B1360" s="1" t="s">
        <v>2</v>
      </c>
    </row>
    <row r="1361">
      <c r="A1361" s="2">
        <v>167352.0</v>
      </c>
      <c r="B1361" s="1" t="s">
        <v>2</v>
      </c>
    </row>
    <row r="1362">
      <c r="A1362" s="2">
        <v>167391.0</v>
      </c>
      <c r="B1362" s="1" t="s">
        <v>2</v>
      </c>
    </row>
    <row r="1363">
      <c r="A1363" s="2">
        <v>167452.0</v>
      </c>
      <c r="B1363" s="1" t="s">
        <v>2</v>
      </c>
    </row>
    <row r="1364">
      <c r="A1364" s="2">
        <v>167486.0</v>
      </c>
      <c r="B1364" s="1" t="s">
        <v>2</v>
      </c>
    </row>
    <row r="1365">
      <c r="A1365" s="2">
        <v>167516.0</v>
      </c>
      <c r="B1365" s="1" t="s">
        <v>2</v>
      </c>
    </row>
    <row r="1366">
      <c r="A1366" s="2">
        <v>167646.0</v>
      </c>
      <c r="B1366" s="1" t="s">
        <v>2</v>
      </c>
    </row>
    <row r="1367">
      <c r="A1367" s="2">
        <v>167935.0</v>
      </c>
      <c r="B1367" s="1" t="s">
        <v>2</v>
      </c>
    </row>
    <row r="1368">
      <c r="A1368" s="2">
        <v>167965.0</v>
      </c>
      <c r="B1368" s="1" t="s">
        <v>2</v>
      </c>
    </row>
    <row r="1369">
      <c r="A1369" s="2">
        <v>168413.0</v>
      </c>
      <c r="B1369" s="1" t="s">
        <v>2</v>
      </c>
    </row>
    <row r="1370">
      <c r="A1370" s="2">
        <v>168539.0</v>
      </c>
      <c r="B1370" s="1" t="s">
        <v>2</v>
      </c>
    </row>
    <row r="1371">
      <c r="A1371" s="2">
        <v>168571.0</v>
      </c>
      <c r="B1371" s="1" t="s">
        <v>2</v>
      </c>
    </row>
    <row r="1372">
      <c r="A1372" s="2">
        <v>168635.0</v>
      </c>
      <c r="B1372" s="1" t="s">
        <v>2</v>
      </c>
    </row>
    <row r="1373">
      <c r="A1373" s="2">
        <v>168668.0</v>
      </c>
      <c r="B1373" s="1" t="s">
        <v>2</v>
      </c>
    </row>
    <row r="1374">
      <c r="A1374" s="2">
        <v>168733.0</v>
      </c>
      <c r="B1374" s="1" t="s">
        <v>2</v>
      </c>
    </row>
    <row r="1375">
      <c r="A1375" s="2">
        <v>168734.0</v>
      </c>
      <c r="B1375" s="1" t="s">
        <v>2</v>
      </c>
    </row>
    <row r="1376">
      <c r="A1376" s="2">
        <v>168766.0</v>
      </c>
      <c r="B1376" s="1" t="s">
        <v>2</v>
      </c>
    </row>
    <row r="1377">
      <c r="A1377" s="2">
        <v>168958.0</v>
      </c>
      <c r="B1377" s="1" t="s">
        <v>2</v>
      </c>
    </row>
    <row r="1378">
      <c r="A1378" s="2">
        <v>168984.0</v>
      </c>
      <c r="B1378" s="1" t="s">
        <v>2</v>
      </c>
    </row>
    <row r="1379">
      <c r="A1379" s="2">
        <v>168988.0</v>
      </c>
      <c r="B1379" s="1" t="s">
        <v>2</v>
      </c>
    </row>
    <row r="1380">
      <c r="A1380" s="2">
        <v>169023.0</v>
      </c>
      <c r="B1380" s="1" t="s">
        <v>2</v>
      </c>
    </row>
    <row r="1381">
      <c r="A1381" s="2">
        <v>169052.0</v>
      </c>
      <c r="B1381" s="1" t="s">
        <v>2</v>
      </c>
    </row>
    <row r="1382">
      <c r="A1382" s="2">
        <v>169053.0</v>
      </c>
      <c r="B1382" s="1" t="s">
        <v>2</v>
      </c>
    </row>
    <row r="1383">
      <c r="A1383" s="2">
        <v>169177.0</v>
      </c>
      <c r="B1383" s="1" t="s">
        <v>2</v>
      </c>
    </row>
    <row r="1384">
      <c r="A1384" s="2">
        <v>169244.0</v>
      </c>
      <c r="B1384" s="1" t="s">
        <v>2</v>
      </c>
    </row>
    <row r="1385">
      <c r="A1385" s="2">
        <v>169374.0</v>
      </c>
      <c r="B1385" s="1" t="s">
        <v>2</v>
      </c>
    </row>
    <row r="1386">
      <c r="A1386" s="2">
        <v>169434.0</v>
      </c>
      <c r="B1386" s="1" t="s">
        <v>2</v>
      </c>
    </row>
    <row r="1387">
      <c r="A1387" s="2">
        <v>169469.0</v>
      </c>
      <c r="B1387" s="1" t="s">
        <v>2</v>
      </c>
    </row>
    <row r="1388">
      <c r="A1388" s="2">
        <v>169503.0</v>
      </c>
      <c r="B1388" s="1" t="s">
        <v>2</v>
      </c>
    </row>
    <row r="1389">
      <c r="A1389" s="2">
        <v>169531.0</v>
      </c>
      <c r="B1389" s="1" t="s">
        <v>2</v>
      </c>
    </row>
    <row r="1390">
      <c r="A1390" s="2">
        <v>169533.0</v>
      </c>
      <c r="B1390" s="1" t="s">
        <v>2</v>
      </c>
    </row>
    <row r="1391">
      <c r="A1391" s="2">
        <v>169534.0</v>
      </c>
      <c r="B1391" s="1" t="s">
        <v>2</v>
      </c>
    </row>
    <row r="1392">
      <c r="A1392" s="2">
        <v>169565.0</v>
      </c>
      <c r="B1392" s="1" t="s">
        <v>2</v>
      </c>
    </row>
    <row r="1393">
      <c r="A1393" s="2">
        <v>169631.0</v>
      </c>
      <c r="B1393" s="1" t="s">
        <v>2</v>
      </c>
    </row>
    <row r="1394">
      <c r="A1394" s="2">
        <v>169662.0</v>
      </c>
      <c r="B1394" s="1" t="s">
        <v>2</v>
      </c>
    </row>
    <row r="1395">
      <c r="A1395" s="2">
        <v>169726.0</v>
      </c>
      <c r="B1395" s="1" t="s">
        <v>2</v>
      </c>
    </row>
    <row r="1396">
      <c r="A1396" s="2">
        <v>169756.0</v>
      </c>
      <c r="B1396" s="1" t="s">
        <v>2</v>
      </c>
    </row>
    <row r="1397">
      <c r="A1397" s="2">
        <v>169855.0</v>
      </c>
      <c r="B1397" s="1" t="s">
        <v>2</v>
      </c>
    </row>
    <row r="1398">
      <c r="A1398" s="2">
        <v>169881.0</v>
      </c>
      <c r="B1398" s="1" t="s">
        <v>2</v>
      </c>
    </row>
    <row r="1399">
      <c r="A1399" s="2">
        <v>169884.0</v>
      </c>
      <c r="B1399" s="1" t="s">
        <v>2</v>
      </c>
    </row>
    <row r="1400">
      <c r="A1400" s="2">
        <v>169977.0</v>
      </c>
      <c r="B1400" s="1" t="s">
        <v>2</v>
      </c>
    </row>
    <row r="1401">
      <c r="A1401" s="2">
        <v>169981.0</v>
      </c>
      <c r="B1401" s="1" t="s">
        <v>2</v>
      </c>
    </row>
    <row r="1402">
      <c r="A1402" s="2">
        <v>170011.0</v>
      </c>
      <c r="B1402" s="1" t="s">
        <v>2</v>
      </c>
    </row>
    <row r="1403">
      <c r="A1403" s="2">
        <v>170012.0</v>
      </c>
      <c r="B1403" s="1" t="s">
        <v>2</v>
      </c>
    </row>
    <row r="1404">
      <c r="A1404" s="2">
        <v>170015.0</v>
      </c>
      <c r="B1404" s="1" t="s">
        <v>2</v>
      </c>
    </row>
    <row r="1405">
      <c r="A1405" s="2">
        <v>170079.0</v>
      </c>
      <c r="B1405" s="1" t="s">
        <v>2</v>
      </c>
    </row>
    <row r="1406">
      <c r="A1406" s="2">
        <v>170106.0</v>
      </c>
      <c r="B1406" s="1" t="s">
        <v>2</v>
      </c>
    </row>
    <row r="1407">
      <c r="A1407" s="2">
        <v>170169.0</v>
      </c>
      <c r="B1407" s="1" t="s">
        <v>2</v>
      </c>
    </row>
    <row r="1408">
      <c r="A1408" s="2">
        <v>170174.0</v>
      </c>
      <c r="B1408" s="1" t="s">
        <v>2</v>
      </c>
    </row>
    <row r="1409">
      <c r="A1409" s="2">
        <v>170201.0</v>
      </c>
      <c r="B1409" s="1" t="s">
        <v>2</v>
      </c>
    </row>
    <row r="1410">
      <c r="A1410" s="2">
        <v>170236.0</v>
      </c>
      <c r="B1410" s="1" t="s">
        <v>2</v>
      </c>
    </row>
    <row r="1411">
      <c r="A1411" s="2">
        <v>170265.0</v>
      </c>
      <c r="B1411" s="1" t="s">
        <v>2</v>
      </c>
    </row>
    <row r="1412">
      <c r="A1412" s="2">
        <v>170301.0</v>
      </c>
      <c r="B1412" s="1" t="s">
        <v>2</v>
      </c>
    </row>
    <row r="1413">
      <c r="A1413" s="2">
        <v>170360.0</v>
      </c>
      <c r="B1413" s="1" t="s">
        <v>2</v>
      </c>
    </row>
    <row r="1414">
      <c r="A1414" s="2">
        <v>170398.0</v>
      </c>
      <c r="B1414" s="1" t="s">
        <v>2</v>
      </c>
    </row>
    <row r="1415">
      <c r="A1415" s="2">
        <v>170494.0</v>
      </c>
      <c r="B1415" s="1" t="s">
        <v>2</v>
      </c>
    </row>
    <row r="1416">
      <c r="A1416" s="2">
        <v>170621.0</v>
      </c>
      <c r="B1416" s="1" t="s">
        <v>2</v>
      </c>
    </row>
    <row r="1417">
      <c r="A1417" s="2">
        <v>170747.0</v>
      </c>
      <c r="B1417" s="1" t="s">
        <v>2</v>
      </c>
    </row>
    <row r="1418">
      <c r="A1418" s="2">
        <v>170815.0</v>
      </c>
      <c r="B1418" s="1" t="s">
        <v>2</v>
      </c>
    </row>
    <row r="1419">
      <c r="A1419" s="2">
        <v>171161.0</v>
      </c>
      <c r="B1419" s="1" t="s">
        <v>2</v>
      </c>
    </row>
    <row r="1420">
      <c r="A1420" s="2">
        <v>171288.0</v>
      </c>
      <c r="B1420" s="1" t="s">
        <v>2</v>
      </c>
    </row>
    <row r="1421">
      <c r="A1421" s="2">
        <v>171322.0</v>
      </c>
      <c r="B1421" s="1" t="s">
        <v>2</v>
      </c>
    </row>
    <row r="1422">
      <c r="A1422" s="2">
        <v>171353.0</v>
      </c>
      <c r="B1422" s="1" t="s">
        <v>2</v>
      </c>
    </row>
    <row r="1423">
      <c r="A1423" s="2">
        <v>171357.0</v>
      </c>
      <c r="B1423" s="1" t="s">
        <v>2</v>
      </c>
    </row>
    <row r="1424">
      <c r="A1424" s="2">
        <v>171420.0</v>
      </c>
      <c r="B1424" s="1" t="s">
        <v>2</v>
      </c>
    </row>
    <row r="1425">
      <c r="A1425" s="2">
        <v>171483.0</v>
      </c>
      <c r="B1425" s="1" t="s">
        <v>2</v>
      </c>
    </row>
    <row r="1426">
      <c r="A1426" s="2">
        <v>171512.0</v>
      </c>
      <c r="B1426" s="1" t="s">
        <v>2</v>
      </c>
    </row>
    <row r="1427">
      <c r="A1427" s="2">
        <v>171515.0</v>
      </c>
      <c r="B1427" s="1" t="s">
        <v>2</v>
      </c>
    </row>
    <row r="1428">
      <c r="A1428" s="2">
        <v>171576.0</v>
      </c>
      <c r="B1428" s="1" t="s">
        <v>2</v>
      </c>
    </row>
    <row r="1429">
      <c r="A1429" s="2">
        <v>171710.0</v>
      </c>
      <c r="B1429" s="1" t="s">
        <v>2</v>
      </c>
    </row>
    <row r="1430">
      <c r="A1430" s="2">
        <v>171772.0</v>
      </c>
      <c r="B1430" s="1" t="s">
        <v>2</v>
      </c>
    </row>
    <row r="1431">
      <c r="A1431" s="2">
        <v>171839.0</v>
      </c>
      <c r="B1431" s="1" t="s">
        <v>2</v>
      </c>
    </row>
    <row r="1432">
      <c r="A1432" s="2">
        <v>171935.0</v>
      </c>
      <c r="B1432" s="1" t="s">
        <v>2</v>
      </c>
    </row>
    <row r="1433">
      <c r="A1433" s="2">
        <v>171994.0</v>
      </c>
      <c r="B1433" s="1" t="s">
        <v>2</v>
      </c>
    </row>
    <row r="1434">
      <c r="A1434" s="2">
        <v>171998.0</v>
      </c>
      <c r="B1434" s="1" t="s">
        <v>2</v>
      </c>
    </row>
    <row r="1435">
      <c r="A1435" s="2">
        <v>172026.0</v>
      </c>
      <c r="B1435" s="1" t="s">
        <v>2</v>
      </c>
    </row>
    <row r="1436">
      <c r="A1436" s="2">
        <v>172029.0</v>
      </c>
      <c r="B1436" s="1" t="s">
        <v>2</v>
      </c>
    </row>
    <row r="1437">
      <c r="A1437" s="2">
        <v>172283.0</v>
      </c>
      <c r="B1437" s="1" t="s">
        <v>2</v>
      </c>
    </row>
    <row r="1438">
      <c r="A1438" s="2">
        <v>172344.0</v>
      </c>
      <c r="B1438" s="1" t="s">
        <v>2</v>
      </c>
    </row>
    <row r="1439">
      <c r="A1439" s="2">
        <v>172349.0</v>
      </c>
      <c r="B1439" s="1" t="s">
        <v>2</v>
      </c>
    </row>
    <row r="1440">
      <c r="A1440" s="2">
        <v>172442.0</v>
      </c>
      <c r="B1440" s="1" t="s">
        <v>2</v>
      </c>
    </row>
    <row r="1441">
      <c r="A1441" s="2">
        <v>172504.0</v>
      </c>
      <c r="B1441" s="1" t="s">
        <v>2</v>
      </c>
    </row>
    <row r="1442">
      <c r="A1442" s="2">
        <v>172505.0</v>
      </c>
      <c r="B1442" s="1" t="s">
        <v>2</v>
      </c>
    </row>
    <row r="1443">
      <c r="A1443" s="2">
        <v>172602.0</v>
      </c>
      <c r="B1443" s="1" t="s">
        <v>2</v>
      </c>
    </row>
    <row r="1444">
      <c r="A1444" s="2">
        <v>172634.0</v>
      </c>
      <c r="B1444" s="1" t="s">
        <v>2</v>
      </c>
    </row>
    <row r="1445">
      <c r="A1445" s="2">
        <v>172761.0</v>
      </c>
      <c r="B1445" s="1" t="s">
        <v>2</v>
      </c>
    </row>
    <row r="1446">
      <c r="A1446" s="2">
        <v>172762.0</v>
      </c>
      <c r="B1446" s="1" t="s">
        <v>2</v>
      </c>
    </row>
    <row r="1447">
      <c r="A1447" s="2">
        <v>172764.0</v>
      </c>
      <c r="B1447" s="1" t="s">
        <v>2</v>
      </c>
    </row>
    <row r="1448">
      <c r="A1448" s="2">
        <v>172797.0</v>
      </c>
      <c r="B1448" s="1" t="s">
        <v>2</v>
      </c>
    </row>
    <row r="1449">
      <c r="A1449" s="2">
        <v>172799.0</v>
      </c>
      <c r="B1449" s="1" t="s">
        <v>2</v>
      </c>
    </row>
    <row r="1450">
      <c r="A1450" s="2">
        <v>172921.0</v>
      </c>
      <c r="B1450" s="1" t="s">
        <v>2</v>
      </c>
    </row>
    <row r="1451">
      <c r="A1451" s="2">
        <v>172952.0</v>
      </c>
      <c r="B1451" s="1" t="s">
        <v>2</v>
      </c>
    </row>
    <row r="1452">
      <c r="A1452" s="2">
        <v>173016.0</v>
      </c>
      <c r="B1452" s="1" t="s">
        <v>2</v>
      </c>
    </row>
    <row r="1453">
      <c r="A1453" s="2">
        <v>173048.0</v>
      </c>
      <c r="B1453" s="1" t="s">
        <v>2</v>
      </c>
    </row>
    <row r="1454">
      <c r="A1454" s="2">
        <v>173118.0</v>
      </c>
      <c r="B1454" s="1" t="s">
        <v>2</v>
      </c>
    </row>
    <row r="1455">
      <c r="A1455" s="2">
        <v>173147.0</v>
      </c>
      <c r="B1455" s="1" t="s">
        <v>2</v>
      </c>
    </row>
    <row r="1456">
      <c r="A1456" s="2">
        <v>173208.0</v>
      </c>
      <c r="B1456" s="1" t="s">
        <v>2</v>
      </c>
    </row>
    <row r="1457">
      <c r="A1457" s="2">
        <v>173310.0</v>
      </c>
      <c r="B1457" s="1" t="s">
        <v>2</v>
      </c>
    </row>
    <row r="1458">
      <c r="A1458" s="2">
        <v>173338.0</v>
      </c>
      <c r="B1458" s="1" t="s">
        <v>2</v>
      </c>
    </row>
    <row r="1459">
      <c r="A1459" s="2">
        <v>173373.0</v>
      </c>
      <c r="B1459" s="1" t="s">
        <v>2</v>
      </c>
    </row>
    <row r="1460">
      <c r="A1460" s="2">
        <v>173466.0</v>
      </c>
      <c r="B1460" s="1" t="s">
        <v>2</v>
      </c>
    </row>
    <row r="1461">
      <c r="A1461" s="2">
        <v>173563.0</v>
      </c>
      <c r="B1461" s="1" t="s">
        <v>2</v>
      </c>
    </row>
    <row r="1462">
      <c r="A1462" s="2">
        <v>173565.0</v>
      </c>
      <c r="B1462" s="1" t="s">
        <v>2</v>
      </c>
    </row>
    <row r="1463">
      <c r="A1463" s="2">
        <v>173567.0</v>
      </c>
      <c r="B1463" s="1" t="s">
        <v>2</v>
      </c>
    </row>
    <row r="1464">
      <c r="A1464" s="2">
        <v>173594.0</v>
      </c>
      <c r="B1464" s="1" t="s">
        <v>2</v>
      </c>
    </row>
    <row r="1465">
      <c r="A1465" s="2">
        <v>173721.0</v>
      </c>
      <c r="B1465" s="1" t="s">
        <v>2</v>
      </c>
    </row>
    <row r="1466">
      <c r="A1466" s="2">
        <v>173726.0</v>
      </c>
      <c r="B1466" s="1" t="s">
        <v>2</v>
      </c>
    </row>
    <row r="1467">
      <c r="A1467" s="2">
        <v>173786.0</v>
      </c>
      <c r="B1467" s="1" t="s">
        <v>2</v>
      </c>
    </row>
    <row r="1468">
      <c r="A1468" s="2">
        <v>173822.0</v>
      </c>
      <c r="B1468" s="1" t="s">
        <v>2</v>
      </c>
    </row>
    <row r="1469">
      <c r="A1469" s="2">
        <v>173823.0</v>
      </c>
      <c r="B1469" s="1" t="s">
        <v>2</v>
      </c>
    </row>
    <row r="1470">
      <c r="A1470" s="2">
        <v>173849.0</v>
      </c>
      <c r="B1470" s="1" t="s">
        <v>2</v>
      </c>
    </row>
    <row r="1471">
      <c r="A1471" s="2">
        <v>173917.0</v>
      </c>
      <c r="B1471" s="1" t="s">
        <v>2</v>
      </c>
    </row>
    <row r="1472">
      <c r="A1472" s="2">
        <v>173977.0</v>
      </c>
      <c r="B1472" s="1" t="s">
        <v>2</v>
      </c>
    </row>
    <row r="1473">
      <c r="A1473" s="2">
        <v>173983.0</v>
      </c>
      <c r="B1473" s="1" t="s">
        <v>2</v>
      </c>
    </row>
    <row r="1474">
      <c r="A1474" s="2">
        <v>174047.0</v>
      </c>
      <c r="B1474" s="1" t="s">
        <v>2</v>
      </c>
    </row>
    <row r="1475">
      <c r="A1475" s="2">
        <v>174169.0</v>
      </c>
      <c r="B1475" s="1" t="s">
        <v>2</v>
      </c>
    </row>
    <row r="1476">
      <c r="A1476" s="2">
        <v>174171.0</v>
      </c>
      <c r="B1476" s="1" t="s">
        <v>2</v>
      </c>
    </row>
    <row r="1477">
      <c r="A1477" s="2">
        <v>174201.0</v>
      </c>
      <c r="B1477" s="1" t="s">
        <v>2</v>
      </c>
    </row>
    <row r="1478">
      <c r="A1478" s="2">
        <v>174239.0</v>
      </c>
      <c r="B1478" s="1" t="s">
        <v>2</v>
      </c>
    </row>
    <row r="1479">
      <c r="A1479" s="2">
        <v>174269.0</v>
      </c>
      <c r="B1479" s="1" t="s">
        <v>2</v>
      </c>
    </row>
    <row r="1480">
      <c r="A1480" s="2">
        <v>174297.0</v>
      </c>
      <c r="B1480" s="1" t="s">
        <v>2</v>
      </c>
    </row>
    <row r="1481">
      <c r="A1481" s="2">
        <v>174300.0</v>
      </c>
      <c r="B1481" s="1" t="s">
        <v>2</v>
      </c>
    </row>
    <row r="1482">
      <c r="A1482" s="2">
        <v>174395.0</v>
      </c>
      <c r="B1482" s="1" t="s">
        <v>2</v>
      </c>
    </row>
    <row r="1483">
      <c r="A1483" s="2">
        <v>174553.0</v>
      </c>
      <c r="B1483" s="1" t="s">
        <v>2</v>
      </c>
    </row>
    <row r="1484">
      <c r="A1484" s="2">
        <v>174559.0</v>
      </c>
      <c r="B1484" s="1" t="s">
        <v>2</v>
      </c>
    </row>
    <row r="1485">
      <c r="A1485" s="2">
        <v>174584.0</v>
      </c>
      <c r="B1485" s="1" t="s">
        <v>2</v>
      </c>
    </row>
    <row r="1486">
      <c r="A1486" s="2">
        <v>174648.0</v>
      </c>
      <c r="B1486" s="1" t="s">
        <v>2</v>
      </c>
    </row>
    <row r="1487">
      <c r="A1487" s="2">
        <v>174713.0</v>
      </c>
      <c r="B1487" s="1" t="s">
        <v>2</v>
      </c>
    </row>
    <row r="1488">
      <c r="A1488" s="2">
        <v>174813.0</v>
      </c>
      <c r="B1488" s="1" t="s">
        <v>2</v>
      </c>
    </row>
    <row r="1489">
      <c r="A1489" s="2">
        <v>174872.0</v>
      </c>
      <c r="B1489" s="1" t="s">
        <v>2</v>
      </c>
    </row>
    <row r="1490">
      <c r="A1490" s="2">
        <v>174876.0</v>
      </c>
      <c r="B1490" s="1" t="s">
        <v>2</v>
      </c>
    </row>
    <row r="1491">
      <c r="A1491" s="2">
        <v>174879.0</v>
      </c>
      <c r="B1491" s="1" t="s">
        <v>2</v>
      </c>
    </row>
    <row r="1492">
      <c r="A1492" s="2">
        <v>174937.0</v>
      </c>
      <c r="B1492" s="1" t="s">
        <v>2</v>
      </c>
    </row>
    <row r="1493">
      <c r="A1493" s="2">
        <v>174938.0</v>
      </c>
      <c r="B1493" s="1" t="s">
        <v>2</v>
      </c>
    </row>
    <row r="1494">
      <c r="A1494" s="2">
        <v>174940.0</v>
      </c>
      <c r="B1494" s="1" t="s">
        <v>2</v>
      </c>
    </row>
    <row r="1495">
      <c r="A1495" s="2">
        <v>174971.0</v>
      </c>
      <c r="B1495" s="1" t="s">
        <v>2</v>
      </c>
    </row>
    <row r="1496">
      <c r="A1496" s="2">
        <v>174975.0</v>
      </c>
      <c r="B1496" s="1" t="s">
        <v>2</v>
      </c>
    </row>
    <row r="1497">
      <c r="A1497" s="2">
        <v>175035.0</v>
      </c>
      <c r="B1497" s="1" t="s">
        <v>2</v>
      </c>
    </row>
    <row r="1498">
      <c r="A1498" s="2">
        <v>175128.0</v>
      </c>
      <c r="B1498" s="1" t="s">
        <v>2</v>
      </c>
    </row>
    <row r="1499">
      <c r="A1499" s="2">
        <v>175130.0</v>
      </c>
      <c r="B1499" s="1" t="s">
        <v>2</v>
      </c>
    </row>
    <row r="1500">
      <c r="A1500" s="2">
        <v>175195.0</v>
      </c>
      <c r="B1500" s="1" t="s">
        <v>2</v>
      </c>
    </row>
    <row r="1501">
      <c r="A1501" s="2">
        <v>175292.0</v>
      </c>
      <c r="B1501" s="1" t="s">
        <v>2</v>
      </c>
    </row>
    <row r="1502">
      <c r="A1502" s="2">
        <v>175321.0</v>
      </c>
      <c r="B1502" s="1" t="s">
        <v>2</v>
      </c>
    </row>
    <row r="1503">
      <c r="A1503" s="2">
        <v>175324.0</v>
      </c>
      <c r="B1503" s="1" t="s">
        <v>2</v>
      </c>
    </row>
    <row r="1504">
      <c r="A1504" s="2">
        <v>175326.0</v>
      </c>
      <c r="B1504" s="1" t="s">
        <v>2</v>
      </c>
    </row>
    <row r="1505">
      <c r="A1505" s="2">
        <v>175416.0</v>
      </c>
      <c r="B1505" s="1" t="s">
        <v>2</v>
      </c>
    </row>
    <row r="1506">
      <c r="A1506" s="2">
        <v>175448.0</v>
      </c>
      <c r="B1506" s="1" t="s">
        <v>2</v>
      </c>
    </row>
    <row r="1507">
      <c r="A1507" s="2">
        <v>175512.0</v>
      </c>
      <c r="B1507" s="1" t="s">
        <v>2</v>
      </c>
    </row>
    <row r="1508">
      <c r="A1508" s="2">
        <v>175576.0</v>
      </c>
      <c r="B1508" s="1" t="s">
        <v>2</v>
      </c>
    </row>
    <row r="1509">
      <c r="A1509" s="2">
        <v>175578.0</v>
      </c>
      <c r="B1509" s="1" t="s">
        <v>2</v>
      </c>
    </row>
    <row r="1510">
      <c r="A1510" s="2">
        <v>175580.0</v>
      </c>
      <c r="B1510" s="1" t="s">
        <v>2</v>
      </c>
    </row>
    <row r="1511">
      <c r="A1511" s="2">
        <v>175672.0</v>
      </c>
      <c r="B1511" s="1" t="s">
        <v>2</v>
      </c>
    </row>
    <row r="1512">
      <c r="A1512" s="2">
        <v>175673.0</v>
      </c>
      <c r="B1512" s="1" t="s">
        <v>2</v>
      </c>
    </row>
    <row r="1513">
      <c r="A1513" s="2">
        <v>175676.0</v>
      </c>
      <c r="B1513" s="1" t="s">
        <v>2</v>
      </c>
    </row>
    <row r="1514">
      <c r="A1514" s="2">
        <v>175999.0</v>
      </c>
      <c r="B1514" s="1" t="s">
        <v>2</v>
      </c>
    </row>
    <row r="1515">
      <c r="A1515" s="2">
        <v>176024.0</v>
      </c>
      <c r="B1515" s="1" t="s">
        <v>2</v>
      </c>
    </row>
    <row r="1516">
      <c r="A1516" s="2">
        <v>176026.0</v>
      </c>
      <c r="B1516" s="1" t="s">
        <v>2</v>
      </c>
    </row>
    <row r="1517">
      <c r="A1517" s="2">
        <v>176029.0</v>
      </c>
      <c r="B1517" s="1" t="s">
        <v>2</v>
      </c>
    </row>
    <row r="1518">
      <c r="A1518" s="2">
        <v>176120.0</v>
      </c>
      <c r="B1518" s="1" t="s">
        <v>2</v>
      </c>
    </row>
    <row r="1519">
      <c r="A1519" s="2">
        <v>176190.0</v>
      </c>
      <c r="B1519" s="1" t="s">
        <v>2</v>
      </c>
    </row>
    <row r="1520">
      <c r="A1520" s="2">
        <v>176248.0</v>
      </c>
      <c r="B1520" s="1" t="s">
        <v>2</v>
      </c>
    </row>
    <row r="1521">
      <c r="A1521" s="2">
        <v>176378.0</v>
      </c>
      <c r="B1521" s="1" t="s">
        <v>2</v>
      </c>
    </row>
    <row r="1522">
      <c r="A1522" s="2">
        <v>176382.0</v>
      </c>
      <c r="B1522" s="1" t="s">
        <v>2</v>
      </c>
    </row>
    <row r="1523">
      <c r="A1523" s="2">
        <v>176410.0</v>
      </c>
      <c r="B1523" s="1" t="s">
        <v>2</v>
      </c>
    </row>
    <row r="1524">
      <c r="A1524" s="2">
        <v>176443.0</v>
      </c>
      <c r="B1524" s="1" t="s">
        <v>2</v>
      </c>
    </row>
    <row r="1525">
      <c r="A1525" s="2">
        <v>176511.0</v>
      </c>
      <c r="B1525" s="1" t="s">
        <v>2</v>
      </c>
    </row>
    <row r="1526">
      <c r="A1526" s="2">
        <v>176536.0</v>
      </c>
      <c r="B1526" s="1" t="s">
        <v>2</v>
      </c>
    </row>
    <row r="1527">
      <c r="A1527" s="2">
        <v>176572.0</v>
      </c>
      <c r="B1527" s="1" t="s">
        <v>2</v>
      </c>
    </row>
    <row r="1528">
      <c r="A1528" s="2">
        <v>176698.0</v>
      </c>
      <c r="B1528" s="1" t="s">
        <v>2</v>
      </c>
    </row>
    <row r="1529">
      <c r="A1529" s="2">
        <v>176825.0</v>
      </c>
      <c r="B1529" s="1" t="s">
        <v>2</v>
      </c>
    </row>
    <row r="1530">
      <c r="A1530" s="2">
        <v>176955.0</v>
      </c>
      <c r="B1530" s="1" t="s">
        <v>2</v>
      </c>
    </row>
    <row r="1531">
      <c r="A1531" s="2">
        <v>177051.0</v>
      </c>
      <c r="B1531" s="1" t="s">
        <v>2</v>
      </c>
    </row>
    <row r="1532">
      <c r="A1532" s="2">
        <v>177053.0</v>
      </c>
      <c r="B1532" s="1" t="s">
        <v>2</v>
      </c>
    </row>
    <row r="1533">
      <c r="A1533" s="2">
        <v>177081.0</v>
      </c>
      <c r="B1533" s="1" t="s">
        <v>2</v>
      </c>
    </row>
    <row r="1534">
      <c r="A1534" s="2">
        <v>177151.0</v>
      </c>
      <c r="B1534" s="1" t="s">
        <v>2</v>
      </c>
    </row>
    <row r="1535">
      <c r="A1535" s="2">
        <v>177180.0</v>
      </c>
      <c r="B1535" s="1" t="s">
        <v>2</v>
      </c>
    </row>
    <row r="1536">
      <c r="A1536" s="2">
        <v>177214.0</v>
      </c>
      <c r="B1536" s="1" t="s">
        <v>2</v>
      </c>
    </row>
    <row r="1537">
      <c r="A1537" s="2">
        <v>177243.0</v>
      </c>
      <c r="B1537" s="1" t="s">
        <v>2</v>
      </c>
    </row>
    <row r="1538">
      <c r="A1538" s="2">
        <v>177274.0</v>
      </c>
      <c r="B1538" s="1" t="s">
        <v>2</v>
      </c>
    </row>
    <row r="1539">
      <c r="A1539" s="2">
        <v>177279.0</v>
      </c>
      <c r="B1539" s="1" t="s">
        <v>2</v>
      </c>
    </row>
    <row r="1540">
      <c r="A1540" s="2">
        <v>177336.0</v>
      </c>
      <c r="B1540" s="1" t="s">
        <v>2</v>
      </c>
    </row>
    <row r="1541">
      <c r="A1541" s="2">
        <v>177371.0</v>
      </c>
      <c r="B1541" s="1" t="s">
        <v>2</v>
      </c>
    </row>
    <row r="1542">
      <c r="A1542" s="2">
        <v>177401.0</v>
      </c>
      <c r="B1542" s="1" t="s">
        <v>2</v>
      </c>
    </row>
    <row r="1543">
      <c r="A1543" s="2">
        <v>177407.0</v>
      </c>
      <c r="B1543" s="1" t="s">
        <v>2</v>
      </c>
    </row>
    <row r="1544">
      <c r="A1544" s="2">
        <v>177464.0</v>
      </c>
      <c r="B1544" s="1" t="s">
        <v>2</v>
      </c>
    </row>
    <row r="1545">
      <c r="A1545" s="2">
        <v>177501.0</v>
      </c>
      <c r="B1545" s="1" t="s">
        <v>2</v>
      </c>
    </row>
    <row r="1546">
      <c r="A1546" s="2">
        <v>177534.0</v>
      </c>
      <c r="B1546" s="1" t="s">
        <v>2</v>
      </c>
    </row>
    <row r="1547">
      <c r="A1547" s="2">
        <v>177656.0</v>
      </c>
      <c r="B1547" s="1" t="s">
        <v>2</v>
      </c>
    </row>
    <row r="1548">
      <c r="A1548" s="2">
        <v>177786.0</v>
      </c>
      <c r="B1548" s="1" t="s">
        <v>2</v>
      </c>
    </row>
    <row r="1549">
      <c r="A1549" s="2">
        <v>177850.0</v>
      </c>
      <c r="B1549" s="1" t="s">
        <v>2</v>
      </c>
    </row>
    <row r="1550">
      <c r="A1550" s="2">
        <v>177886.0</v>
      </c>
      <c r="B1550" s="1" t="s">
        <v>2</v>
      </c>
    </row>
    <row r="1551">
      <c r="A1551" s="2">
        <v>178011.0</v>
      </c>
      <c r="B1551" s="1" t="s">
        <v>2</v>
      </c>
    </row>
    <row r="1552">
      <c r="A1552" s="2">
        <v>178040.0</v>
      </c>
      <c r="B1552" s="1" t="s">
        <v>2</v>
      </c>
    </row>
    <row r="1553">
      <c r="A1553" s="2">
        <v>178170.0</v>
      </c>
      <c r="B1553" s="1" t="s">
        <v>2</v>
      </c>
    </row>
    <row r="1554">
      <c r="A1554" s="2">
        <v>178234.0</v>
      </c>
      <c r="B1554" s="1" t="s">
        <v>2</v>
      </c>
    </row>
    <row r="1555">
      <c r="A1555" s="2">
        <v>178235.0</v>
      </c>
      <c r="B1555" s="1" t="s">
        <v>2</v>
      </c>
    </row>
    <row r="1556">
      <c r="A1556" s="2">
        <v>178362.0</v>
      </c>
      <c r="B1556" s="1" t="s">
        <v>2</v>
      </c>
    </row>
    <row r="1557">
      <c r="A1557" s="2">
        <v>178392.0</v>
      </c>
      <c r="B1557" s="1" t="s">
        <v>2</v>
      </c>
    </row>
    <row r="1558">
      <c r="A1558" s="2">
        <v>178425.0</v>
      </c>
      <c r="B1558" s="1" t="s">
        <v>2</v>
      </c>
    </row>
    <row r="1559">
      <c r="A1559" s="2">
        <v>178431.0</v>
      </c>
      <c r="B1559" s="1" t="s">
        <v>2</v>
      </c>
    </row>
    <row r="1560">
      <c r="A1560" s="2">
        <v>178520.0</v>
      </c>
      <c r="B1560" s="1" t="s">
        <v>2</v>
      </c>
    </row>
    <row r="1561">
      <c r="A1561" s="2">
        <v>178621.0</v>
      </c>
      <c r="B1561" s="1" t="s">
        <v>2</v>
      </c>
    </row>
    <row r="1562">
      <c r="A1562" s="2">
        <v>178648.0</v>
      </c>
      <c r="B1562" s="1" t="s">
        <v>2</v>
      </c>
    </row>
    <row r="1563">
      <c r="A1563" s="2">
        <v>178650.0</v>
      </c>
      <c r="B1563" s="1" t="s">
        <v>2</v>
      </c>
    </row>
    <row r="1564">
      <c r="A1564" s="2">
        <v>178651.0</v>
      </c>
      <c r="B1564" s="1" t="s">
        <v>2</v>
      </c>
    </row>
    <row r="1565">
      <c r="A1565" s="2">
        <v>178749.0</v>
      </c>
      <c r="B1565" s="1" t="s">
        <v>2</v>
      </c>
    </row>
    <row r="1566">
      <c r="A1566" s="2">
        <v>178776.0</v>
      </c>
      <c r="B1566" s="1" t="s">
        <v>2</v>
      </c>
    </row>
    <row r="1567">
      <c r="A1567" s="2">
        <v>178777.0</v>
      </c>
      <c r="B1567" s="1" t="s">
        <v>2</v>
      </c>
    </row>
    <row r="1568">
      <c r="A1568" s="2">
        <v>178840.0</v>
      </c>
      <c r="B1568" s="1" t="s">
        <v>2</v>
      </c>
    </row>
    <row r="1569">
      <c r="A1569" s="2">
        <v>178846.0</v>
      </c>
      <c r="B1569" s="1" t="s">
        <v>2</v>
      </c>
    </row>
    <row r="1570">
      <c r="A1570" s="2">
        <v>178874.0</v>
      </c>
      <c r="B1570" s="1" t="s">
        <v>2</v>
      </c>
    </row>
    <row r="1571">
      <c r="A1571" s="2">
        <v>178875.0</v>
      </c>
      <c r="B1571" s="1" t="s">
        <v>2</v>
      </c>
    </row>
    <row r="1572">
      <c r="A1572" s="2">
        <v>179006.0</v>
      </c>
      <c r="B1572" s="1" t="s">
        <v>2</v>
      </c>
    </row>
    <row r="1573">
      <c r="A1573" s="2">
        <v>179101.0</v>
      </c>
      <c r="B1573" s="1" t="s">
        <v>2</v>
      </c>
    </row>
    <row r="1574">
      <c r="A1574" s="2">
        <v>179291.0</v>
      </c>
      <c r="B1574" s="1" t="s">
        <v>2</v>
      </c>
    </row>
    <row r="1575">
      <c r="A1575" s="2">
        <v>179418.0</v>
      </c>
      <c r="B1575" s="1" t="s">
        <v>2</v>
      </c>
    </row>
    <row r="1576">
      <c r="A1576" s="2">
        <v>179420.0</v>
      </c>
      <c r="B1576" s="1" t="s">
        <v>2</v>
      </c>
    </row>
    <row r="1577">
      <c r="A1577" s="2">
        <v>179452.0</v>
      </c>
      <c r="B1577" s="1" t="s">
        <v>2</v>
      </c>
    </row>
    <row r="1578">
      <c r="A1578" s="2">
        <v>179514.0</v>
      </c>
      <c r="B1578" s="1" t="s">
        <v>2</v>
      </c>
    </row>
    <row r="1579">
      <c r="A1579" s="2">
        <v>179768.0</v>
      </c>
      <c r="B1579" s="1" t="s">
        <v>2</v>
      </c>
    </row>
    <row r="1580">
      <c r="A1580" s="2">
        <v>179837.0</v>
      </c>
      <c r="B1580" s="1" t="s">
        <v>2</v>
      </c>
    </row>
    <row r="1581">
      <c r="A1581" s="2">
        <v>179900.0</v>
      </c>
      <c r="B1581" s="1" t="s">
        <v>2</v>
      </c>
    </row>
    <row r="1582">
      <c r="A1582" s="2">
        <v>179931.0</v>
      </c>
      <c r="B1582" s="1" t="s">
        <v>2</v>
      </c>
    </row>
    <row r="1583">
      <c r="A1583" s="2">
        <v>180025.0</v>
      </c>
      <c r="B1583" s="1" t="s">
        <v>2</v>
      </c>
    </row>
    <row r="1584">
      <c r="A1584" s="2">
        <v>180058.0</v>
      </c>
      <c r="B1584" s="1" t="s">
        <v>2</v>
      </c>
    </row>
    <row r="1585">
      <c r="A1585" s="2">
        <v>180059.0</v>
      </c>
      <c r="B1585" s="1" t="s">
        <v>2</v>
      </c>
    </row>
    <row r="1586">
      <c r="A1586" s="2">
        <v>180061.0</v>
      </c>
      <c r="B1586" s="1" t="s">
        <v>2</v>
      </c>
    </row>
    <row r="1587">
      <c r="A1587" s="2">
        <v>180216.0</v>
      </c>
      <c r="B1587" s="1" t="s">
        <v>2</v>
      </c>
    </row>
    <row r="1588">
      <c r="A1588" s="2">
        <v>180287.0</v>
      </c>
      <c r="B1588" s="1" t="s">
        <v>2</v>
      </c>
    </row>
    <row r="1589">
      <c r="A1589" s="2">
        <v>180381.0</v>
      </c>
      <c r="B1589" s="1" t="s">
        <v>2</v>
      </c>
    </row>
    <row r="1590">
      <c r="A1590" s="2">
        <v>180412.0</v>
      </c>
      <c r="B1590" s="1" t="s">
        <v>2</v>
      </c>
    </row>
    <row r="1591">
      <c r="A1591" s="2">
        <v>180507.0</v>
      </c>
      <c r="B1591" s="1" t="s">
        <v>2</v>
      </c>
    </row>
    <row r="1592">
      <c r="A1592" s="2">
        <v>180633.0</v>
      </c>
      <c r="B1592" s="1" t="s">
        <v>2</v>
      </c>
    </row>
    <row r="1593">
      <c r="A1593" s="2">
        <v>180638.0</v>
      </c>
      <c r="B1593" s="1" t="s">
        <v>2</v>
      </c>
    </row>
    <row r="1594">
      <c r="A1594" s="2">
        <v>180639.0</v>
      </c>
      <c r="B1594" s="1" t="s">
        <v>2</v>
      </c>
    </row>
    <row r="1595">
      <c r="A1595" s="2">
        <v>180698.0</v>
      </c>
      <c r="B1595" s="1" t="s">
        <v>2</v>
      </c>
    </row>
    <row r="1596">
      <c r="A1596" s="2">
        <v>180700.0</v>
      </c>
      <c r="B1596" s="1" t="s">
        <v>2</v>
      </c>
    </row>
    <row r="1597">
      <c r="A1597" s="2">
        <v>180760.0</v>
      </c>
      <c r="B1597" s="1" t="s">
        <v>2</v>
      </c>
    </row>
    <row r="1598">
      <c r="A1598" s="2">
        <v>180767.0</v>
      </c>
      <c r="B1598" s="1" t="s">
        <v>2</v>
      </c>
    </row>
    <row r="1599">
      <c r="A1599" s="2">
        <v>180798.0</v>
      </c>
      <c r="B1599" s="1" t="s">
        <v>2</v>
      </c>
    </row>
    <row r="1600">
      <c r="A1600" s="2">
        <v>180861.0</v>
      </c>
      <c r="B1600" s="1" t="s">
        <v>2</v>
      </c>
    </row>
    <row r="1601">
      <c r="A1601" s="2">
        <v>180894.0</v>
      </c>
      <c r="B1601" s="1" t="s">
        <v>2</v>
      </c>
    </row>
    <row r="1602">
      <c r="A1602" s="2">
        <v>180922.0</v>
      </c>
      <c r="B1602" s="1" t="s">
        <v>2</v>
      </c>
    </row>
    <row r="1603">
      <c r="A1603" s="2">
        <v>181054.0</v>
      </c>
      <c r="B1603" s="1" t="s">
        <v>2</v>
      </c>
    </row>
    <row r="1604">
      <c r="A1604" s="2">
        <v>181084.0</v>
      </c>
      <c r="B1604" s="1" t="s">
        <v>2</v>
      </c>
    </row>
    <row r="1605">
      <c r="A1605" s="2">
        <v>181147.0</v>
      </c>
      <c r="B1605" s="1" t="s">
        <v>2</v>
      </c>
    </row>
    <row r="1606">
      <c r="A1606" s="2">
        <v>181181.0</v>
      </c>
      <c r="B1606" s="1" t="s">
        <v>2</v>
      </c>
    </row>
    <row r="1607">
      <c r="A1607" s="2">
        <v>181278.0</v>
      </c>
      <c r="B1607" s="1" t="s">
        <v>2</v>
      </c>
    </row>
    <row r="1608">
      <c r="A1608" s="2">
        <v>181342.0</v>
      </c>
      <c r="B1608" s="1" t="s">
        <v>2</v>
      </c>
    </row>
    <row r="1609">
      <c r="A1609" s="2">
        <v>181372.0</v>
      </c>
      <c r="B1609" s="1" t="s">
        <v>2</v>
      </c>
    </row>
    <row r="1610">
      <c r="A1610" s="2">
        <v>181434.0</v>
      </c>
      <c r="B1610" s="1" t="s">
        <v>2</v>
      </c>
    </row>
    <row r="1611">
      <c r="A1611" s="2">
        <v>181500.0</v>
      </c>
      <c r="B1611" s="1" t="s">
        <v>2</v>
      </c>
    </row>
    <row r="1612">
      <c r="A1612" s="2">
        <v>181528.0</v>
      </c>
      <c r="B1612" s="1" t="s">
        <v>2</v>
      </c>
    </row>
    <row r="1613">
      <c r="A1613" s="2">
        <v>181566.0</v>
      </c>
      <c r="B1613" s="1" t="s">
        <v>2</v>
      </c>
    </row>
    <row r="1614">
      <c r="A1614" s="2">
        <v>181688.0</v>
      </c>
      <c r="B1614" s="1" t="s">
        <v>2</v>
      </c>
    </row>
    <row r="1615">
      <c r="A1615" s="2">
        <v>181755.0</v>
      </c>
      <c r="B1615" s="1" t="s">
        <v>2</v>
      </c>
    </row>
    <row r="1616">
      <c r="A1616" s="2">
        <v>181759.0</v>
      </c>
      <c r="B1616" s="1" t="s">
        <v>2</v>
      </c>
    </row>
    <row r="1617">
      <c r="A1617" s="2">
        <v>181784.0</v>
      </c>
      <c r="B1617" s="1" t="s">
        <v>2</v>
      </c>
    </row>
    <row r="1618">
      <c r="A1618" s="2">
        <v>181851.0</v>
      </c>
      <c r="B1618" s="1" t="s">
        <v>2</v>
      </c>
    </row>
    <row r="1619">
      <c r="A1619" s="2">
        <v>181914.0</v>
      </c>
      <c r="B1619" s="1" t="s">
        <v>2</v>
      </c>
    </row>
    <row r="1620">
      <c r="A1620" s="2">
        <v>182015.0</v>
      </c>
      <c r="B1620" s="1" t="s">
        <v>2</v>
      </c>
    </row>
    <row r="1621">
      <c r="A1621" s="2">
        <v>182072.0</v>
      </c>
      <c r="B1621" s="1" t="s">
        <v>2</v>
      </c>
    </row>
    <row r="1622">
      <c r="A1622" s="2">
        <v>182075.0</v>
      </c>
      <c r="B1622" s="1" t="s">
        <v>2</v>
      </c>
    </row>
    <row r="1623">
      <c r="A1623" s="2">
        <v>182170.0</v>
      </c>
      <c r="B1623" s="1" t="s">
        <v>2</v>
      </c>
    </row>
    <row r="1624">
      <c r="A1624" s="2">
        <v>182233.0</v>
      </c>
      <c r="B1624" s="1" t="s">
        <v>2</v>
      </c>
    </row>
    <row r="1625">
      <c r="A1625" s="2">
        <v>182365.0</v>
      </c>
      <c r="B1625" s="1" t="s">
        <v>2</v>
      </c>
    </row>
    <row r="1626">
      <c r="A1626" s="2">
        <v>182392.0</v>
      </c>
      <c r="B1626" s="1" t="s">
        <v>2</v>
      </c>
    </row>
    <row r="1627">
      <c r="A1627" s="2">
        <v>182492.0</v>
      </c>
      <c r="B1627" s="1" t="s">
        <v>2</v>
      </c>
    </row>
    <row r="1628">
      <c r="A1628" s="2">
        <v>182559.0</v>
      </c>
      <c r="B1628" s="1" t="s">
        <v>2</v>
      </c>
    </row>
    <row r="1629">
      <c r="A1629" s="2">
        <v>182586.0</v>
      </c>
      <c r="B1629" s="1" t="s">
        <v>2</v>
      </c>
    </row>
    <row r="1630">
      <c r="A1630" s="2">
        <v>182680.0</v>
      </c>
      <c r="B1630" s="1" t="s">
        <v>2</v>
      </c>
    </row>
    <row r="1631">
      <c r="A1631" s="2">
        <v>182681.0</v>
      </c>
      <c r="B1631" s="1" t="s">
        <v>2</v>
      </c>
    </row>
    <row r="1632">
      <c r="A1632" s="2">
        <v>182683.0</v>
      </c>
      <c r="B1632" s="1" t="s">
        <v>2</v>
      </c>
    </row>
    <row r="1633">
      <c r="A1633" s="2">
        <v>182750.0</v>
      </c>
      <c r="B1633" s="1" t="s">
        <v>2</v>
      </c>
    </row>
    <row r="1634">
      <c r="A1634" s="2">
        <v>182781.0</v>
      </c>
      <c r="B1634" s="1" t="s">
        <v>2</v>
      </c>
    </row>
    <row r="1635">
      <c r="A1635" s="2">
        <v>182906.0</v>
      </c>
      <c r="B1635" s="1" t="s">
        <v>2</v>
      </c>
    </row>
    <row r="1636">
      <c r="A1636" s="15"/>
      <c r="B1636"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4" max="4" width="12.63"/>
    <col hidden="1" min="6" max="6" width="12.63"/>
    <col hidden="1" min="8" max="8" width="12.63"/>
    <col hidden="1" min="10" max="10" width="12.63"/>
    <col hidden="1" min="12" max="12" width="12.63"/>
    <col hidden="1" min="14" max="14" width="12.63"/>
    <col hidden="1" min="16" max="16" width="12.63"/>
  </cols>
  <sheetData>
    <row r="1">
      <c r="AL1" s="23"/>
      <c r="AU1" s="24"/>
      <c r="AV1" s="24"/>
    </row>
    <row r="2" hidden="1">
      <c r="B2" s="25" t="s">
        <v>415</v>
      </c>
      <c r="C2" s="26" t="s">
        <v>13</v>
      </c>
      <c r="D2" s="27" t="s">
        <v>11</v>
      </c>
      <c r="E2" s="25"/>
      <c r="F2" s="25"/>
      <c r="G2" s="25"/>
      <c r="H2" s="25"/>
      <c r="I2" s="25"/>
      <c r="J2" s="25"/>
      <c r="K2" s="25"/>
      <c r="L2" s="25"/>
      <c r="M2" s="25"/>
      <c r="N2" s="25"/>
      <c r="O2" s="25"/>
      <c r="P2" s="25"/>
      <c r="AL2" s="23"/>
      <c r="AU2" s="24"/>
      <c r="AV2" s="24"/>
    </row>
    <row r="3" hidden="1">
      <c r="B3" s="25"/>
      <c r="C3" s="26">
        <v>1.0</v>
      </c>
      <c r="D3" s="25" t="s">
        <v>418</v>
      </c>
      <c r="E3" s="26">
        <v>2.0</v>
      </c>
      <c r="F3" s="25" t="s">
        <v>419</v>
      </c>
      <c r="G3" s="26">
        <v>3.0</v>
      </c>
      <c r="H3" s="25" t="s">
        <v>420</v>
      </c>
      <c r="I3" s="26">
        <v>4.0</v>
      </c>
      <c r="J3" s="25" t="s">
        <v>421</v>
      </c>
      <c r="K3" s="26">
        <v>5.0</v>
      </c>
      <c r="L3" s="25" t="s">
        <v>422</v>
      </c>
      <c r="M3" s="26">
        <v>6.0</v>
      </c>
      <c r="N3" s="25" t="s">
        <v>423</v>
      </c>
      <c r="O3" s="26">
        <v>7.0</v>
      </c>
      <c r="P3" s="25" t="s">
        <v>424</v>
      </c>
      <c r="AL3" s="23"/>
      <c r="AU3" s="24"/>
      <c r="AV3" s="24"/>
    </row>
    <row r="4">
      <c r="B4" s="25" t="s">
        <v>10</v>
      </c>
      <c r="C4" s="27" t="s">
        <v>27</v>
      </c>
      <c r="D4" s="25"/>
      <c r="E4" s="27" t="s">
        <v>57</v>
      </c>
      <c r="F4" s="25"/>
      <c r="G4" s="27" t="s">
        <v>35</v>
      </c>
      <c r="H4" s="25"/>
      <c r="I4" s="27" t="s">
        <v>70</v>
      </c>
      <c r="J4" s="25"/>
      <c r="K4" s="27" t="s">
        <v>76</v>
      </c>
      <c r="L4" s="25"/>
      <c r="M4" s="27" t="s">
        <v>53</v>
      </c>
      <c r="N4" s="25"/>
      <c r="O4" s="27" t="s">
        <v>61</v>
      </c>
      <c r="P4" s="25"/>
      <c r="AL4" s="23"/>
      <c r="AU4" s="24"/>
      <c r="AV4" s="24"/>
    </row>
    <row r="5">
      <c r="B5" s="25" t="s">
        <v>68</v>
      </c>
      <c r="C5" s="25">
        <v>53.0</v>
      </c>
      <c r="D5" s="25">
        <v>53.0</v>
      </c>
      <c r="E5" s="25">
        <v>48.0</v>
      </c>
      <c r="F5" s="25">
        <v>48.0</v>
      </c>
      <c r="G5" s="25">
        <v>57.0</v>
      </c>
      <c r="H5" s="25">
        <v>57.0</v>
      </c>
      <c r="I5" s="25">
        <v>65.0</v>
      </c>
      <c r="J5" s="25">
        <v>65.0</v>
      </c>
      <c r="K5" s="25">
        <v>65.0</v>
      </c>
      <c r="L5" s="25">
        <v>65.0</v>
      </c>
      <c r="M5" s="25">
        <v>58.0</v>
      </c>
      <c r="N5" s="25">
        <v>58.0</v>
      </c>
      <c r="O5" s="25">
        <v>54.0</v>
      </c>
      <c r="P5" s="25">
        <v>54.0</v>
      </c>
      <c r="AG5" s="25" t="s">
        <v>19</v>
      </c>
      <c r="AH5" s="25" t="s">
        <v>415</v>
      </c>
      <c r="AI5" s="25" t="s">
        <v>415</v>
      </c>
      <c r="AO5" s="38" t="s">
        <v>695</v>
      </c>
      <c r="AP5" s="38" t="s">
        <v>697</v>
      </c>
      <c r="AQ5" s="38" t="s">
        <v>699</v>
      </c>
      <c r="AR5" s="38" t="s">
        <v>701</v>
      </c>
      <c r="AS5" s="38"/>
      <c r="AW5" s="38"/>
      <c r="AZ5" s="38"/>
      <c r="BA5" s="38"/>
      <c r="BB5" s="38"/>
      <c r="BC5" s="38"/>
      <c r="BD5" s="38"/>
      <c r="BE5" s="38"/>
    </row>
    <row r="6">
      <c r="B6" s="25" t="s">
        <v>26</v>
      </c>
      <c r="C6" s="25">
        <v>58.0</v>
      </c>
      <c r="D6" s="25">
        <v>58.0</v>
      </c>
      <c r="E6" s="25">
        <v>45.0</v>
      </c>
      <c r="F6" s="25">
        <v>45.0</v>
      </c>
      <c r="G6" s="25">
        <v>47.0</v>
      </c>
      <c r="H6" s="25">
        <v>47.0</v>
      </c>
      <c r="I6" s="25">
        <v>39.0</v>
      </c>
      <c r="J6" s="25">
        <v>39.0</v>
      </c>
      <c r="K6" s="25">
        <v>39.0</v>
      </c>
      <c r="L6" s="25">
        <v>39.0</v>
      </c>
      <c r="M6" s="25">
        <v>56.0</v>
      </c>
      <c r="N6" s="25">
        <v>56.0</v>
      </c>
      <c r="O6" s="25">
        <v>39.0</v>
      </c>
      <c r="P6" s="25">
        <v>39.0</v>
      </c>
      <c r="AD6" s="25" t="str">
        <f t="shared" ref="AD6:AE6" si="1">AA6</f>
        <v>Paper</v>
      </c>
      <c r="AE6" s="25">
        <f t="shared" si="1"/>
        <v>284</v>
      </c>
      <c r="AG6" s="25" t="b">
        <v>0</v>
      </c>
      <c r="AH6" s="25">
        <v>1354.0</v>
      </c>
      <c r="AI6" s="40">
        <v>0.991941391941392</v>
      </c>
      <c r="AN6" s="25" t="str">
        <f t="shared" ref="AN6:AN9" si="3">AK6</f>
        <v>Krakow</v>
      </c>
      <c r="AO6" s="41">
        <v>2.5</v>
      </c>
      <c r="AP6" s="41">
        <v>1.5</v>
      </c>
      <c r="AQ6" s="41">
        <v>1.0</v>
      </c>
      <c r="AR6" s="23">
        <f t="shared" ref="AR6:AR9" si="4">AL6</f>
        <v>77365.47267</v>
      </c>
    </row>
    <row r="7">
      <c r="B7" s="25" t="s">
        <v>34</v>
      </c>
      <c r="C7" s="25">
        <v>43.0</v>
      </c>
      <c r="D7" s="25">
        <v>43.0</v>
      </c>
      <c r="E7" s="25">
        <v>38.0</v>
      </c>
      <c r="F7" s="25">
        <v>38.0</v>
      </c>
      <c r="G7" s="25">
        <v>56.0</v>
      </c>
      <c r="H7" s="25">
        <v>56.0</v>
      </c>
      <c r="I7" s="25">
        <v>57.0</v>
      </c>
      <c r="J7" s="25">
        <v>57.0</v>
      </c>
      <c r="K7" s="25">
        <v>44.0</v>
      </c>
      <c r="L7" s="25">
        <v>44.0</v>
      </c>
      <c r="M7" s="25">
        <v>60.0</v>
      </c>
      <c r="N7" s="25">
        <v>60.0</v>
      </c>
      <c r="O7" s="25">
        <v>38.0</v>
      </c>
      <c r="P7" s="25">
        <v>38.0</v>
      </c>
      <c r="AD7" s="25" t="str">
        <f t="shared" ref="AD7:AE7" si="2">AA7</f>
        <v>Binders and Binder Accessories</v>
      </c>
      <c r="AE7" s="25">
        <f t="shared" si="2"/>
        <v>200</v>
      </c>
      <c r="AG7" s="25" t="b">
        <v>1</v>
      </c>
      <c r="AH7" s="25">
        <v>11.0</v>
      </c>
      <c r="AI7" s="40">
        <v>0.00805860805860806</v>
      </c>
      <c r="AN7" s="25" t="str">
        <f t="shared" si="3"/>
        <v>Lodz</v>
      </c>
      <c r="AO7" s="42">
        <v>1.5</v>
      </c>
      <c r="AP7" s="42">
        <v>4.8</v>
      </c>
      <c r="AQ7" s="42">
        <v>2.0</v>
      </c>
      <c r="AR7" s="23">
        <f t="shared" si="4"/>
        <v>85291.40345</v>
      </c>
    </row>
    <row r="8">
      <c r="B8" s="25" t="s">
        <v>229</v>
      </c>
      <c r="C8" s="25">
        <v>44.0</v>
      </c>
      <c r="D8" s="25">
        <v>44.0</v>
      </c>
      <c r="E8" s="25">
        <v>44.0</v>
      </c>
      <c r="F8" s="25">
        <v>44.0</v>
      </c>
      <c r="G8" s="25">
        <v>40.0</v>
      </c>
      <c r="H8" s="25">
        <v>40.0</v>
      </c>
      <c r="I8" s="25">
        <v>62.0</v>
      </c>
      <c r="J8" s="25">
        <v>62.0</v>
      </c>
      <c r="K8" s="25">
        <v>46.0</v>
      </c>
      <c r="L8" s="25">
        <v>46.0</v>
      </c>
      <c r="M8" s="25">
        <v>50.0</v>
      </c>
      <c r="N8" s="25">
        <v>50.0</v>
      </c>
      <c r="O8" s="25">
        <v>40.0</v>
      </c>
      <c r="P8" s="25">
        <v>40.0</v>
      </c>
      <c r="AD8" s="25" t="str">
        <f t="shared" ref="AD8:AE8" si="5">AA8</f>
        <v>Telephones and Communication</v>
      </c>
      <c r="AE8" s="25">
        <f t="shared" si="5"/>
        <v>194</v>
      </c>
      <c r="AG8" s="25" t="s">
        <v>805</v>
      </c>
      <c r="AH8" s="25">
        <v>1365.0</v>
      </c>
      <c r="AI8" s="40">
        <v>1.0</v>
      </c>
      <c r="AN8" s="25" t="str">
        <f t="shared" si="3"/>
        <v>Warsaw</v>
      </c>
      <c r="AO8" s="42">
        <v>3.0</v>
      </c>
      <c r="AP8" s="42">
        <v>5.8</v>
      </c>
      <c r="AQ8" s="42">
        <v>3.0</v>
      </c>
      <c r="AR8" s="23">
        <f t="shared" si="4"/>
        <v>75844.7901</v>
      </c>
    </row>
    <row r="9">
      <c r="AD9" s="25" t="str">
        <f t="shared" ref="AD9:AE9" si="6">AA9</f>
        <v>Office Furnishings</v>
      </c>
      <c r="AE9" s="25">
        <f t="shared" si="6"/>
        <v>185</v>
      </c>
      <c r="AN9" s="25" t="str">
        <f t="shared" si="3"/>
        <v>Wroclaw</v>
      </c>
      <c r="AO9" s="42">
        <v>-1.5</v>
      </c>
      <c r="AP9" s="42">
        <v>3.0</v>
      </c>
      <c r="AQ9" s="42">
        <v>4.0</v>
      </c>
      <c r="AR9" s="23">
        <f t="shared" si="4"/>
        <v>-14424.05438</v>
      </c>
    </row>
    <row r="10">
      <c r="AD10" s="25" t="str">
        <f t="shared" ref="AD10:AE10" si="7">AA10</f>
        <v>Computer Peripherals</v>
      </c>
      <c r="AE10" s="25">
        <f t="shared" si="7"/>
        <v>174</v>
      </c>
      <c r="AO10" s="42">
        <v>10.0</v>
      </c>
      <c r="AP10" s="42">
        <v>10.0</v>
      </c>
      <c r="AQ10" s="43"/>
    </row>
    <row r="11">
      <c r="AL11" s="23"/>
      <c r="AO11" s="42">
        <v>-5.0</v>
      </c>
      <c r="AP11" s="43"/>
      <c r="AQ11" s="43"/>
    </row>
    <row r="12">
      <c r="AL12" s="23"/>
    </row>
    <row r="13">
      <c r="AL13" s="23"/>
    </row>
    <row r="14">
      <c r="AL14" s="23"/>
    </row>
    <row r="15">
      <c r="AL15" s="23"/>
    </row>
    <row r="16">
      <c r="AL16" s="23"/>
    </row>
    <row r="17">
      <c r="AL17" s="23"/>
    </row>
    <row r="18">
      <c r="AL18" s="23"/>
    </row>
    <row r="19">
      <c r="AL19" s="23"/>
    </row>
    <row r="20">
      <c r="AL20" s="23"/>
    </row>
    <row r="21">
      <c r="AL21" s="23"/>
    </row>
    <row r="22">
      <c r="AL22" s="23"/>
    </row>
    <row r="23">
      <c r="AL23" s="23"/>
    </row>
    <row r="24">
      <c r="AL24" s="23"/>
    </row>
    <row r="25">
      <c r="AL25" s="23"/>
    </row>
    <row r="26">
      <c r="AL26" s="23"/>
    </row>
    <row r="27">
      <c r="AL27" s="23"/>
    </row>
    <row r="28">
      <c r="AL28" s="23"/>
    </row>
    <row r="29">
      <c r="AL29" s="23"/>
    </row>
    <row r="30">
      <c r="AL30" s="23"/>
      <c r="BB30" s="24">
        <f>SUM(AU:AU)</f>
        <v>1924337.88</v>
      </c>
    </row>
    <row r="31">
      <c r="AL31" s="23"/>
    </row>
    <row r="32">
      <c r="AL32" s="23"/>
    </row>
    <row r="33">
      <c r="AL33" s="23"/>
    </row>
    <row r="34">
      <c r="AL34" s="23"/>
    </row>
    <row r="35">
      <c r="AL35" s="23"/>
    </row>
    <row r="36">
      <c r="AL36" s="23"/>
    </row>
    <row r="37">
      <c r="AL37" s="23"/>
    </row>
    <row r="38">
      <c r="AL38" s="23"/>
    </row>
    <row r="39">
      <c r="AL39" s="23"/>
    </row>
    <row r="40">
      <c r="O40" s="28"/>
      <c r="AL40" s="23"/>
    </row>
    <row r="41">
      <c r="AL41" s="23"/>
    </row>
    <row r="42">
      <c r="AL42" s="23"/>
    </row>
    <row r="43">
      <c r="AL43" s="23"/>
    </row>
    <row r="44">
      <c r="AL44" s="23"/>
    </row>
    <row r="45">
      <c r="AL45" s="23"/>
    </row>
    <row r="46">
      <c r="AL46" s="23"/>
    </row>
    <row r="47">
      <c r="AL47" s="23"/>
    </row>
    <row r="48">
      <c r="AL48" s="23"/>
    </row>
    <row r="49">
      <c r="AL49" s="23"/>
    </row>
    <row r="50">
      <c r="AL50" s="23"/>
    </row>
    <row r="51">
      <c r="AL51" s="23"/>
    </row>
    <row r="52">
      <c r="AL52" s="23"/>
    </row>
    <row r="53">
      <c r="AL53" s="23"/>
    </row>
    <row r="54">
      <c r="AL54" s="23"/>
    </row>
    <row r="55">
      <c r="AH55" s="28"/>
      <c r="AL55" s="23"/>
    </row>
    <row r="56">
      <c r="AL56" s="23"/>
    </row>
    <row r="57">
      <c r="AL57" s="23"/>
    </row>
    <row r="58">
      <c r="AL58" s="23"/>
    </row>
    <row r="59">
      <c r="AL59" s="23"/>
    </row>
    <row r="60">
      <c r="AL60" s="23"/>
    </row>
    <row r="61">
      <c r="AL61" s="23"/>
    </row>
    <row r="62">
      <c r="AL62" s="23"/>
    </row>
    <row r="63">
      <c r="AL63" s="23"/>
    </row>
    <row r="64">
      <c r="AL64" s="23"/>
    </row>
    <row r="65">
      <c r="AL65" s="23"/>
    </row>
    <row r="66">
      <c r="AL66" s="23"/>
    </row>
    <row r="67">
      <c r="AL67" s="23"/>
    </row>
    <row r="68">
      <c r="AL68" s="23"/>
    </row>
    <row r="69">
      <c r="AL69" s="23"/>
    </row>
    <row r="70">
      <c r="AL70" s="23"/>
    </row>
    <row r="71">
      <c r="AL71" s="23"/>
    </row>
    <row r="72">
      <c r="AL72" s="23"/>
    </row>
    <row r="73">
      <c r="AL73" s="23"/>
    </row>
    <row r="74">
      <c r="AL74" s="23"/>
    </row>
    <row r="75">
      <c r="AL75" s="23"/>
    </row>
    <row r="76">
      <c r="AL76" s="23"/>
    </row>
    <row r="77">
      <c r="AL77" s="23"/>
    </row>
    <row r="78">
      <c r="AL78" s="23"/>
    </row>
    <row r="79">
      <c r="AL79" s="23"/>
    </row>
    <row r="80">
      <c r="AL80" s="23"/>
    </row>
    <row r="81">
      <c r="AL81" s="23"/>
    </row>
    <row r="82">
      <c r="AL82" s="23"/>
    </row>
    <row r="83">
      <c r="AL83" s="23"/>
    </row>
    <row r="84">
      <c r="AL84" s="23"/>
    </row>
    <row r="85">
      <c r="AL85" s="23"/>
    </row>
    <row r="86">
      <c r="AL86" s="23"/>
    </row>
    <row r="87">
      <c r="AL87" s="23"/>
    </row>
    <row r="88">
      <c r="AL88" s="23"/>
    </row>
    <row r="89">
      <c r="AL89" s="23"/>
    </row>
    <row r="90">
      <c r="AL90" s="23"/>
    </row>
    <row r="91">
      <c r="AL91" s="23"/>
    </row>
    <row r="92">
      <c r="AL92" s="23"/>
    </row>
    <row r="93">
      <c r="AL93" s="23"/>
    </row>
    <row r="94">
      <c r="AL94" s="23"/>
    </row>
    <row r="95">
      <c r="AL95" s="23"/>
    </row>
    <row r="96">
      <c r="AL96" s="23"/>
    </row>
    <row r="97">
      <c r="AL97" s="23"/>
    </row>
    <row r="98">
      <c r="AL98" s="23"/>
    </row>
    <row r="99">
      <c r="AL99" s="23"/>
    </row>
    <row r="100">
      <c r="AL100" s="23"/>
    </row>
    <row r="101">
      <c r="AL101" s="23"/>
    </row>
    <row r="102">
      <c r="AL102" s="23"/>
    </row>
    <row r="103">
      <c r="AL103" s="23"/>
    </row>
    <row r="104">
      <c r="AL104" s="23"/>
    </row>
    <row r="105">
      <c r="AL105" s="23"/>
    </row>
    <row r="106">
      <c r="AL106" s="23"/>
    </row>
    <row r="107">
      <c r="AL107" s="23"/>
    </row>
    <row r="108">
      <c r="AL108" s="23"/>
    </row>
    <row r="109">
      <c r="AL109" s="23"/>
    </row>
    <row r="110">
      <c r="AL110" s="23"/>
    </row>
    <row r="111">
      <c r="AL111" s="23"/>
    </row>
    <row r="112">
      <c r="AL112" s="23"/>
    </row>
    <row r="113">
      <c r="AL113" s="23"/>
    </row>
    <row r="114">
      <c r="AL114" s="23"/>
    </row>
    <row r="115">
      <c r="AL115" s="23"/>
    </row>
    <row r="116">
      <c r="AL116" s="23"/>
    </row>
    <row r="117">
      <c r="AL117" s="23"/>
    </row>
    <row r="118">
      <c r="AL118" s="23"/>
    </row>
    <row r="119">
      <c r="AL119" s="23"/>
    </row>
    <row r="120">
      <c r="AL120" s="23"/>
    </row>
    <row r="121">
      <c r="AL121" s="23"/>
    </row>
    <row r="122">
      <c r="AL122" s="23"/>
    </row>
    <row r="123">
      <c r="AL123" s="23"/>
    </row>
    <row r="124">
      <c r="AL124" s="23"/>
    </row>
    <row r="125">
      <c r="AL125" s="23"/>
    </row>
    <row r="126">
      <c r="AL126" s="23"/>
    </row>
    <row r="127">
      <c r="AL127" s="23"/>
    </row>
    <row r="128">
      <c r="AL128" s="23"/>
    </row>
    <row r="129">
      <c r="AL129" s="23"/>
    </row>
    <row r="130">
      <c r="AL130" s="23"/>
    </row>
    <row r="131">
      <c r="AL131" s="23"/>
    </row>
    <row r="132">
      <c r="AL132" s="23"/>
    </row>
    <row r="133">
      <c r="AL133" s="23"/>
    </row>
    <row r="134">
      <c r="AL134" s="23"/>
    </row>
    <row r="135">
      <c r="AL135" s="23"/>
    </row>
    <row r="136">
      <c r="AL136" s="23"/>
    </row>
    <row r="137">
      <c r="AL137" s="23"/>
    </row>
    <row r="138">
      <c r="AL138" s="23"/>
    </row>
    <row r="139">
      <c r="AL139" s="23"/>
    </row>
    <row r="140">
      <c r="AL140" s="23"/>
    </row>
    <row r="141">
      <c r="AL141" s="23"/>
    </row>
    <row r="142">
      <c r="AL142" s="23"/>
    </row>
    <row r="143">
      <c r="AL143" s="23"/>
    </row>
    <row r="144">
      <c r="AL144" s="23"/>
    </row>
    <row r="145">
      <c r="AL145" s="23"/>
    </row>
    <row r="146">
      <c r="AL146" s="23"/>
    </row>
    <row r="147">
      <c r="AL147" s="23"/>
    </row>
    <row r="148">
      <c r="AL148" s="23"/>
    </row>
    <row r="149">
      <c r="AL149" s="23"/>
    </row>
    <row r="150">
      <c r="AL150" s="23"/>
    </row>
    <row r="151">
      <c r="AL151" s="23"/>
    </row>
    <row r="152">
      <c r="AL152" s="23"/>
    </row>
    <row r="153">
      <c r="AL153" s="23"/>
    </row>
    <row r="154">
      <c r="AL154" s="23"/>
    </row>
    <row r="155">
      <c r="AL155" s="23"/>
    </row>
    <row r="156">
      <c r="AL156" s="23"/>
    </row>
    <row r="157">
      <c r="AL157" s="23"/>
    </row>
    <row r="158">
      <c r="AL158" s="23"/>
    </row>
    <row r="159">
      <c r="AL159" s="23"/>
    </row>
    <row r="160">
      <c r="AL160" s="23"/>
    </row>
    <row r="161">
      <c r="AL161" s="23"/>
    </row>
    <row r="162">
      <c r="AL162" s="23"/>
    </row>
    <row r="163">
      <c r="AL163" s="23"/>
    </row>
    <row r="164">
      <c r="AL164" s="23"/>
    </row>
    <row r="165">
      <c r="AL165" s="23"/>
    </row>
    <row r="166">
      <c r="AL166" s="23"/>
    </row>
    <row r="167">
      <c r="AL167" s="23"/>
    </row>
    <row r="168">
      <c r="AL168" s="23"/>
    </row>
    <row r="169">
      <c r="AL169" s="23"/>
    </row>
    <row r="170">
      <c r="AL170" s="23"/>
    </row>
    <row r="171">
      <c r="AL171" s="23"/>
    </row>
    <row r="172">
      <c r="AL172" s="23"/>
    </row>
    <row r="173">
      <c r="AL173" s="23"/>
    </row>
    <row r="174">
      <c r="AL174" s="23"/>
    </row>
    <row r="175">
      <c r="AL175" s="23"/>
    </row>
    <row r="176">
      <c r="AL176" s="23"/>
    </row>
    <row r="177">
      <c r="AL177" s="23"/>
    </row>
    <row r="178">
      <c r="AL178" s="23"/>
    </row>
    <row r="179">
      <c r="AL179" s="23"/>
    </row>
    <row r="180">
      <c r="AL180" s="23"/>
    </row>
    <row r="181">
      <c r="AL181" s="23"/>
    </row>
    <row r="182">
      <c r="AL182" s="23"/>
    </row>
    <row r="183">
      <c r="AL183" s="23"/>
    </row>
    <row r="184">
      <c r="AL184" s="23"/>
    </row>
    <row r="185">
      <c r="AL185" s="23"/>
      <c r="AU185" s="24"/>
      <c r="AV185" s="24"/>
    </row>
    <row r="186">
      <c r="AL186" s="23"/>
      <c r="AU186" s="24"/>
      <c r="AV186" s="24"/>
    </row>
    <row r="187">
      <c r="AL187" s="23"/>
      <c r="AU187" s="24"/>
      <c r="AV187" s="24"/>
    </row>
    <row r="188">
      <c r="AL188" s="23"/>
      <c r="AU188" s="24"/>
      <c r="AV188" s="24"/>
    </row>
    <row r="189">
      <c r="AL189" s="23"/>
      <c r="AU189" s="24"/>
      <c r="AV189" s="24"/>
    </row>
    <row r="190">
      <c r="AL190" s="23"/>
      <c r="AU190" s="24"/>
      <c r="AV190" s="24"/>
    </row>
    <row r="191">
      <c r="AL191" s="23"/>
      <c r="AU191" s="24"/>
      <c r="AV191" s="24"/>
    </row>
    <row r="192">
      <c r="AL192" s="23"/>
      <c r="AU192" s="24"/>
      <c r="AV192" s="24"/>
    </row>
    <row r="193">
      <c r="AL193" s="23"/>
      <c r="AU193" s="24"/>
      <c r="AV193" s="24"/>
    </row>
    <row r="194">
      <c r="AL194" s="23"/>
      <c r="AU194" s="24"/>
      <c r="AV194" s="24"/>
    </row>
    <row r="195">
      <c r="AL195" s="23"/>
      <c r="AU195" s="24"/>
      <c r="AV195" s="24"/>
    </row>
    <row r="196">
      <c r="AL196" s="23"/>
      <c r="AU196" s="24"/>
      <c r="AV196" s="24"/>
    </row>
    <row r="197">
      <c r="AL197" s="23"/>
      <c r="AU197" s="24"/>
      <c r="AV197" s="24"/>
    </row>
    <row r="198">
      <c r="AL198" s="23"/>
      <c r="AU198" s="24"/>
      <c r="AV198" s="24"/>
    </row>
    <row r="199">
      <c r="AL199" s="23"/>
      <c r="AU199" s="24"/>
      <c r="AV199" s="24"/>
    </row>
    <row r="200">
      <c r="AL200" s="23"/>
      <c r="AU200" s="24"/>
      <c r="AV200" s="24"/>
    </row>
    <row r="201">
      <c r="AL201" s="23"/>
      <c r="AU201" s="24"/>
      <c r="AV201" s="24"/>
    </row>
    <row r="202">
      <c r="AL202" s="23"/>
      <c r="AU202" s="24"/>
      <c r="AV202" s="24"/>
    </row>
    <row r="203">
      <c r="AL203" s="23"/>
      <c r="AU203" s="24"/>
      <c r="AV203" s="24"/>
    </row>
    <row r="204">
      <c r="AL204" s="23"/>
      <c r="AU204" s="24"/>
      <c r="AV204" s="24"/>
    </row>
    <row r="205">
      <c r="AL205" s="23"/>
      <c r="AU205" s="24"/>
      <c r="AV205" s="24"/>
    </row>
    <row r="206">
      <c r="AL206" s="23"/>
      <c r="AU206" s="24"/>
      <c r="AV206" s="24"/>
    </row>
    <row r="207">
      <c r="AL207" s="23"/>
      <c r="AU207" s="24"/>
      <c r="AV207" s="24"/>
    </row>
    <row r="208">
      <c r="AL208" s="23"/>
      <c r="AU208" s="24"/>
      <c r="AV208" s="24"/>
    </row>
    <row r="209">
      <c r="AL209" s="23"/>
      <c r="AU209" s="24"/>
      <c r="AV209" s="24"/>
    </row>
    <row r="210">
      <c r="AL210" s="23"/>
      <c r="AU210" s="24"/>
      <c r="AV210" s="24"/>
    </row>
    <row r="211">
      <c r="AL211" s="23"/>
      <c r="AU211" s="24"/>
      <c r="AV211" s="24"/>
    </row>
    <row r="212">
      <c r="AL212" s="23"/>
      <c r="AU212" s="24"/>
      <c r="AV212" s="24"/>
    </row>
    <row r="213">
      <c r="AL213" s="23"/>
      <c r="AU213" s="24"/>
      <c r="AV213" s="24"/>
    </row>
    <row r="214">
      <c r="AL214" s="23"/>
      <c r="AU214" s="24"/>
      <c r="AV214" s="24"/>
    </row>
    <row r="215">
      <c r="AL215" s="23"/>
      <c r="AU215" s="24"/>
      <c r="AV215" s="24"/>
    </row>
    <row r="216">
      <c r="AL216" s="23"/>
      <c r="AU216" s="24"/>
      <c r="AV216" s="24"/>
    </row>
    <row r="217">
      <c r="AL217" s="23"/>
      <c r="AU217" s="24"/>
      <c r="AV217" s="24"/>
    </row>
    <row r="218">
      <c r="AL218" s="23"/>
      <c r="AU218" s="24"/>
      <c r="AV218" s="24"/>
    </row>
    <row r="219">
      <c r="AL219" s="23"/>
      <c r="AU219" s="24"/>
      <c r="AV219" s="24"/>
    </row>
    <row r="220">
      <c r="AL220" s="23"/>
      <c r="AU220" s="24"/>
      <c r="AV220" s="24"/>
    </row>
    <row r="221">
      <c r="AL221" s="23"/>
      <c r="AU221" s="24"/>
      <c r="AV221" s="24"/>
    </row>
    <row r="222">
      <c r="AL222" s="23"/>
      <c r="AU222" s="24"/>
      <c r="AV222" s="24"/>
    </row>
    <row r="223">
      <c r="AL223" s="23"/>
      <c r="AU223" s="24"/>
      <c r="AV223" s="24"/>
    </row>
    <row r="224">
      <c r="AL224" s="23"/>
      <c r="AU224" s="24"/>
      <c r="AV224" s="24"/>
    </row>
    <row r="225">
      <c r="AL225" s="23"/>
      <c r="AU225" s="24"/>
      <c r="AV225" s="24"/>
    </row>
    <row r="226">
      <c r="AL226" s="23"/>
      <c r="AU226" s="24"/>
      <c r="AV226" s="24"/>
    </row>
    <row r="227">
      <c r="AL227" s="23"/>
      <c r="AU227" s="24"/>
      <c r="AV227" s="24"/>
    </row>
    <row r="228">
      <c r="AL228" s="23"/>
      <c r="AU228" s="24"/>
      <c r="AV228" s="24"/>
    </row>
    <row r="229">
      <c r="AL229" s="23"/>
      <c r="AU229" s="24"/>
      <c r="AV229" s="24"/>
    </row>
    <row r="230">
      <c r="AL230" s="23"/>
      <c r="AU230" s="24"/>
      <c r="AV230" s="24"/>
    </row>
    <row r="231">
      <c r="AL231" s="23"/>
      <c r="AU231" s="24"/>
      <c r="AV231" s="24"/>
    </row>
    <row r="232">
      <c r="AL232" s="23"/>
      <c r="AU232" s="24"/>
      <c r="AV232" s="24"/>
    </row>
    <row r="233">
      <c r="AL233" s="23"/>
      <c r="AU233" s="24"/>
      <c r="AV233" s="24"/>
    </row>
    <row r="234">
      <c r="AL234" s="23"/>
      <c r="AU234" s="24"/>
      <c r="AV234" s="24"/>
    </row>
    <row r="235">
      <c r="AL235" s="23"/>
      <c r="AU235" s="24"/>
      <c r="AV235" s="24"/>
    </row>
    <row r="236">
      <c r="AL236" s="23"/>
      <c r="AU236" s="24"/>
      <c r="AV236" s="24"/>
    </row>
    <row r="237">
      <c r="AL237" s="23"/>
      <c r="AU237" s="24"/>
      <c r="AV237" s="24"/>
    </row>
    <row r="238">
      <c r="AL238" s="23"/>
      <c r="AU238" s="24"/>
      <c r="AV238" s="24"/>
    </row>
    <row r="239">
      <c r="AL239" s="23"/>
      <c r="AU239" s="24"/>
      <c r="AV239" s="24"/>
    </row>
    <row r="240">
      <c r="AL240" s="23"/>
      <c r="AU240" s="24"/>
      <c r="AV240" s="24"/>
    </row>
    <row r="241">
      <c r="AL241" s="23"/>
      <c r="AU241" s="24"/>
      <c r="AV241" s="24"/>
    </row>
    <row r="242">
      <c r="AL242" s="23"/>
      <c r="AU242" s="24"/>
      <c r="AV242" s="24"/>
    </row>
    <row r="243">
      <c r="AL243" s="23"/>
      <c r="AU243" s="24"/>
      <c r="AV243" s="24"/>
    </row>
    <row r="244">
      <c r="AL244" s="23"/>
      <c r="AU244" s="24"/>
      <c r="AV244" s="24"/>
    </row>
    <row r="245">
      <c r="AL245" s="23"/>
      <c r="AU245" s="24"/>
      <c r="AV245" s="24"/>
    </row>
    <row r="246">
      <c r="AL246" s="23"/>
      <c r="AU246" s="24"/>
      <c r="AV246" s="24"/>
    </row>
    <row r="247">
      <c r="AL247" s="23"/>
      <c r="AU247" s="24"/>
      <c r="AV247" s="24"/>
    </row>
    <row r="248">
      <c r="AL248" s="23"/>
      <c r="AU248" s="24"/>
      <c r="AV248" s="24"/>
    </row>
    <row r="249">
      <c r="AL249" s="23"/>
      <c r="AU249" s="24"/>
      <c r="AV249" s="24"/>
    </row>
    <row r="250">
      <c r="AL250" s="23"/>
      <c r="AU250" s="24"/>
      <c r="AV250" s="24"/>
    </row>
    <row r="251">
      <c r="AL251" s="23"/>
      <c r="AU251" s="24"/>
      <c r="AV251" s="24"/>
    </row>
    <row r="252">
      <c r="AL252" s="23"/>
      <c r="AU252" s="24"/>
      <c r="AV252" s="24"/>
    </row>
    <row r="253">
      <c r="AL253" s="23"/>
      <c r="AU253" s="24"/>
      <c r="AV253" s="24"/>
    </row>
    <row r="254">
      <c r="AL254" s="23"/>
      <c r="AU254" s="24"/>
      <c r="AV254" s="24"/>
    </row>
    <row r="255">
      <c r="AL255" s="23"/>
      <c r="AU255" s="24"/>
      <c r="AV255" s="24"/>
    </row>
    <row r="256">
      <c r="AL256" s="23"/>
      <c r="AU256" s="24"/>
      <c r="AV256" s="24"/>
    </row>
    <row r="257">
      <c r="AL257" s="23"/>
      <c r="AU257" s="24"/>
      <c r="AV257" s="24"/>
    </row>
    <row r="258">
      <c r="AL258" s="23"/>
      <c r="AU258" s="24"/>
      <c r="AV258" s="24"/>
    </row>
    <row r="259">
      <c r="AL259" s="23"/>
      <c r="AU259" s="24"/>
      <c r="AV259" s="24"/>
    </row>
    <row r="260">
      <c r="AL260" s="23"/>
      <c r="AU260" s="24"/>
      <c r="AV260" s="24"/>
    </row>
    <row r="261">
      <c r="AL261" s="23"/>
      <c r="AU261" s="24"/>
      <c r="AV261" s="24"/>
    </row>
    <row r="262">
      <c r="AL262" s="23"/>
      <c r="AU262" s="24"/>
      <c r="AV262" s="24"/>
    </row>
    <row r="263">
      <c r="AL263" s="23"/>
      <c r="AU263" s="24"/>
      <c r="AV263" s="24"/>
    </row>
    <row r="264">
      <c r="AL264" s="23"/>
      <c r="AU264" s="24"/>
      <c r="AV264" s="24"/>
    </row>
    <row r="265">
      <c r="AL265" s="23"/>
      <c r="AU265" s="24"/>
      <c r="AV265" s="24"/>
    </row>
    <row r="266">
      <c r="AL266" s="23"/>
      <c r="AU266" s="24"/>
      <c r="AV266" s="24"/>
    </row>
    <row r="267">
      <c r="AL267" s="23"/>
      <c r="AU267" s="24"/>
      <c r="AV267" s="24"/>
    </row>
    <row r="268">
      <c r="AL268" s="23"/>
      <c r="AU268" s="24"/>
      <c r="AV268" s="24"/>
    </row>
    <row r="269">
      <c r="AL269" s="23"/>
      <c r="AU269" s="24"/>
      <c r="AV269" s="24"/>
    </row>
    <row r="270">
      <c r="AL270" s="23"/>
      <c r="AU270" s="24"/>
      <c r="AV270" s="24"/>
    </row>
    <row r="271">
      <c r="AL271" s="23"/>
      <c r="AU271" s="24"/>
      <c r="AV271" s="24"/>
    </row>
    <row r="272">
      <c r="AL272" s="23"/>
      <c r="AU272" s="24"/>
      <c r="AV272" s="24"/>
    </row>
    <row r="273">
      <c r="AL273" s="23"/>
      <c r="AU273" s="24"/>
      <c r="AV273" s="24"/>
    </row>
    <row r="274">
      <c r="AL274" s="23"/>
      <c r="AU274" s="24"/>
      <c r="AV274" s="24"/>
    </row>
    <row r="275">
      <c r="AL275" s="23"/>
      <c r="AU275" s="24"/>
      <c r="AV275" s="24"/>
    </row>
    <row r="276">
      <c r="AL276" s="23"/>
      <c r="AU276" s="24"/>
      <c r="AV276" s="24"/>
    </row>
    <row r="277">
      <c r="AL277" s="23"/>
      <c r="AU277" s="24"/>
      <c r="AV277" s="24"/>
    </row>
    <row r="278">
      <c r="AL278" s="23"/>
      <c r="AU278" s="24"/>
      <c r="AV278" s="24"/>
    </row>
    <row r="279">
      <c r="AL279" s="23"/>
      <c r="AU279" s="24"/>
      <c r="AV279" s="24"/>
    </row>
    <row r="280">
      <c r="AL280" s="23"/>
      <c r="AU280" s="24"/>
      <c r="AV280" s="24"/>
    </row>
    <row r="281">
      <c r="AL281" s="23"/>
      <c r="AU281" s="24"/>
      <c r="AV281" s="24"/>
    </row>
    <row r="282">
      <c r="AL282" s="23"/>
      <c r="AU282" s="24"/>
      <c r="AV282" s="24"/>
    </row>
    <row r="283">
      <c r="AL283" s="23"/>
      <c r="AU283" s="24"/>
      <c r="AV283" s="24"/>
    </row>
    <row r="284">
      <c r="AL284" s="23"/>
      <c r="AU284" s="24"/>
      <c r="AV284" s="24"/>
    </row>
    <row r="285">
      <c r="AL285" s="23"/>
      <c r="AU285" s="24"/>
      <c r="AV285" s="24"/>
    </row>
    <row r="286">
      <c r="AL286" s="23"/>
      <c r="AU286" s="24"/>
      <c r="AV286" s="24"/>
    </row>
    <row r="287">
      <c r="AL287" s="23"/>
      <c r="AU287" s="24"/>
      <c r="AV287" s="24"/>
    </row>
    <row r="288">
      <c r="AL288" s="23"/>
      <c r="AU288" s="24"/>
      <c r="AV288" s="24"/>
    </row>
    <row r="289">
      <c r="AL289" s="23"/>
      <c r="AU289" s="24"/>
      <c r="AV289" s="24"/>
    </row>
    <row r="290">
      <c r="AL290" s="23"/>
      <c r="AU290" s="24"/>
      <c r="AV290" s="24"/>
    </row>
    <row r="291">
      <c r="AL291" s="23"/>
      <c r="AU291" s="24"/>
      <c r="AV291" s="24"/>
    </row>
    <row r="292">
      <c r="AL292" s="23"/>
      <c r="AU292" s="24"/>
      <c r="AV292" s="24"/>
    </row>
    <row r="293">
      <c r="AL293" s="23"/>
      <c r="AU293" s="24"/>
      <c r="AV293" s="24"/>
    </row>
    <row r="294">
      <c r="AL294" s="23"/>
      <c r="AU294" s="24"/>
      <c r="AV294" s="24"/>
    </row>
    <row r="295">
      <c r="AL295" s="23"/>
      <c r="AU295" s="24"/>
      <c r="AV295" s="24"/>
    </row>
    <row r="296">
      <c r="AL296" s="23"/>
      <c r="AU296" s="24"/>
      <c r="AV296" s="24"/>
    </row>
    <row r="297">
      <c r="AL297" s="23"/>
      <c r="AU297" s="24"/>
      <c r="AV297" s="24"/>
    </row>
    <row r="298">
      <c r="AL298" s="23"/>
      <c r="AU298" s="24"/>
      <c r="AV298" s="24"/>
    </row>
    <row r="299">
      <c r="AL299" s="23"/>
      <c r="AU299" s="24"/>
      <c r="AV299" s="24"/>
    </row>
    <row r="300">
      <c r="AL300" s="23"/>
      <c r="AU300" s="24"/>
      <c r="AV300" s="24"/>
    </row>
    <row r="301">
      <c r="AL301" s="23"/>
      <c r="AU301" s="24"/>
      <c r="AV301" s="24"/>
    </row>
    <row r="302">
      <c r="AL302" s="23"/>
      <c r="AU302" s="24"/>
      <c r="AV302" s="24"/>
    </row>
    <row r="303">
      <c r="AL303" s="23"/>
      <c r="AU303" s="24"/>
      <c r="AV303" s="24"/>
    </row>
    <row r="304">
      <c r="AL304" s="23"/>
      <c r="AU304" s="24"/>
      <c r="AV304" s="24"/>
    </row>
    <row r="305">
      <c r="AL305" s="23"/>
      <c r="AU305" s="24"/>
      <c r="AV305" s="24"/>
    </row>
    <row r="306">
      <c r="AL306" s="23"/>
      <c r="AU306" s="24"/>
      <c r="AV306" s="24"/>
    </row>
    <row r="307">
      <c r="AL307" s="23"/>
      <c r="AU307" s="24"/>
      <c r="AV307" s="24"/>
    </row>
    <row r="308">
      <c r="AL308" s="23"/>
      <c r="AU308" s="24"/>
      <c r="AV308" s="24"/>
    </row>
    <row r="309">
      <c r="AL309" s="23"/>
      <c r="AU309" s="24"/>
      <c r="AV309" s="24"/>
    </row>
    <row r="310">
      <c r="AL310" s="23"/>
      <c r="AU310" s="24"/>
      <c r="AV310" s="24"/>
    </row>
    <row r="311">
      <c r="AL311" s="23"/>
      <c r="AU311" s="24"/>
      <c r="AV311" s="24"/>
    </row>
    <row r="312">
      <c r="AL312" s="23"/>
      <c r="AU312" s="24"/>
      <c r="AV312" s="24"/>
    </row>
    <row r="313">
      <c r="AL313" s="23"/>
      <c r="AU313" s="24"/>
      <c r="AV313" s="24"/>
    </row>
    <row r="314">
      <c r="AL314" s="23"/>
      <c r="AU314" s="24"/>
      <c r="AV314" s="24"/>
    </row>
    <row r="315">
      <c r="AL315" s="23"/>
      <c r="AU315" s="24"/>
      <c r="AV315" s="24"/>
    </row>
    <row r="316">
      <c r="AL316" s="23"/>
      <c r="AU316" s="24"/>
      <c r="AV316" s="24"/>
    </row>
    <row r="317">
      <c r="AL317" s="23"/>
      <c r="AU317" s="24"/>
      <c r="AV317" s="24"/>
    </row>
    <row r="318">
      <c r="AL318" s="23"/>
      <c r="AU318" s="24"/>
      <c r="AV318" s="24"/>
    </row>
    <row r="319">
      <c r="AL319" s="23"/>
      <c r="AU319" s="24"/>
      <c r="AV319" s="24"/>
    </row>
    <row r="320">
      <c r="AL320" s="23"/>
      <c r="AU320" s="24"/>
      <c r="AV320" s="24"/>
    </row>
    <row r="321">
      <c r="AL321" s="23"/>
      <c r="AU321" s="24"/>
      <c r="AV321" s="24"/>
    </row>
    <row r="322">
      <c r="AL322" s="23"/>
      <c r="AU322" s="24"/>
      <c r="AV322" s="24"/>
    </row>
    <row r="323">
      <c r="AL323" s="23"/>
      <c r="AU323" s="24"/>
      <c r="AV323" s="24"/>
    </row>
    <row r="324">
      <c r="AL324" s="23"/>
      <c r="AU324" s="24"/>
      <c r="AV324" s="24"/>
    </row>
    <row r="325">
      <c r="AL325" s="23"/>
      <c r="AU325" s="24"/>
      <c r="AV325" s="24"/>
    </row>
    <row r="326">
      <c r="AL326" s="23"/>
      <c r="AU326" s="24"/>
      <c r="AV326" s="24"/>
    </row>
    <row r="327">
      <c r="AL327" s="23"/>
      <c r="AU327" s="24"/>
      <c r="AV327" s="24"/>
    </row>
    <row r="328">
      <c r="AL328" s="23"/>
      <c r="AU328" s="24"/>
      <c r="AV328" s="24"/>
    </row>
    <row r="329">
      <c r="AL329" s="23"/>
      <c r="AU329" s="24"/>
      <c r="AV329" s="24"/>
    </row>
    <row r="330">
      <c r="AL330" s="23"/>
      <c r="AU330" s="24"/>
      <c r="AV330" s="24"/>
    </row>
    <row r="331">
      <c r="AL331" s="23"/>
      <c r="AU331" s="24"/>
      <c r="AV331" s="24"/>
    </row>
    <row r="332">
      <c r="AL332" s="23"/>
      <c r="AU332" s="24"/>
      <c r="AV332" s="24"/>
    </row>
    <row r="333">
      <c r="AL333" s="23"/>
      <c r="AU333" s="24"/>
      <c r="AV333" s="24"/>
    </row>
    <row r="334">
      <c r="AL334" s="23"/>
      <c r="AU334" s="24"/>
      <c r="AV334" s="24"/>
    </row>
    <row r="335">
      <c r="AL335" s="23"/>
      <c r="AU335" s="24"/>
      <c r="AV335" s="24"/>
    </row>
    <row r="336">
      <c r="AL336" s="23"/>
      <c r="AU336" s="24"/>
      <c r="AV336" s="24"/>
    </row>
    <row r="337">
      <c r="AL337" s="23"/>
      <c r="AU337" s="24"/>
      <c r="AV337" s="24"/>
    </row>
    <row r="338">
      <c r="AL338" s="23"/>
      <c r="AU338" s="24"/>
      <c r="AV338" s="24"/>
    </row>
    <row r="339">
      <c r="AL339" s="23"/>
      <c r="AU339" s="24"/>
      <c r="AV339" s="24"/>
    </row>
    <row r="340">
      <c r="AL340" s="23"/>
      <c r="AU340" s="24"/>
      <c r="AV340" s="24"/>
    </row>
    <row r="341">
      <c r="AL341" s="23"/>
      <c r="AU341" s="24"/>
      <c r="AV341" s="24"/>
    </row>
    <row r="342">
      <c r="AL342" s="23"/>
      <c r="AU342" s="24"/>
      <c r="AV342" s="24"/>
    </row>
    <row r="343">
      <c r="AL343" s="23"/>
      <c r="AU343" s="24"/>
      <c r="AV343" s="24"/>
    </row>
    <row r="344">
      <c r="AL344" s="23"/>
      <c r="AU344" s="24"/>
      <c r="AV344" s="24"/>
    </row>
    <row r="345">
      <c r="AL345" s="23"/>
      <c r="AU345" s="24"/>
      <c r="AV345" s="24"/>
    </row>
    <row r="346">
      <c r="AL346" s="23"/>
      <c r="AU346" s="24"/>
      <c r="AV346" s="24"/>
    </row>
    <row r="347">
      <c r="AL347" s="23"/>
      <c r="AU347" s="24"/>
      <c r="AV347" s="24"/>
    </row>
    <row r="348">
      <c r="AL348" s="23"/>
      <c r="AU348" s="24"/>
      <c r="AV348" s="24"/>
    </row>
    <row r="349">
      <c r="AL349" s="23"/>
      <c r="AU349" s="24"/>
      <c r="AV349" s="24"/>
    </row>
    <row r="350">
      <c r="AL350" s="23"/>
      <c r="AU350" s="24"/>
      <c r="AV350" s="24"/>
    </row>
    <row r="351">
      <c r="AL351" s="23"/>
      <c r="AU351" s="24"/>
      <c r="AV351" s="24"/>
    </row>
    <row r="352">
      <c r="AL352" s="23"/>
      <c r="AU352" s="24"/>
      <c r="AV352" s="24"/>
    </row>
    <row r="353">
      <c r="AL353" s="23"/>
      <c r="AU353" s="24"/>
      <c r="AV353" s="24"/>
    </row>
    <row r="354">
      <c r="AL354" s="23"/>
      <c r="AU354" s="24"/>
      <c r="AV354" s="24"/>
    </row>
    <row r="355">
      <c r="AL355" s="23"/>
      <c r="AU355" s="24"/>
      <c r="AV355" s="24"/>
    </row>
    <row r="356">
      <c r="AL356" s="23"/>
      <c r="AU356" s="24"/>
      <c r="AV356" s="24"/>
    </row>
    <row r="357">
      <c r="AL357" s="23"/>
      <c r="AU357" s="24"/>
      <c r="AV357" s="24"/>
    </row>
    <row r="358">
      <c r="AL358" s="23"/>
      <c r="AU358" s="24"/>
      <c r="AV358" s="24"/>
    </row>
    <row r="359">
      <c r="AL359" s="23"/>
      <c r="AU359" s="24"/>
      <c r="AV359" s="24"/>
    </row>
    <row r="360">
      <c r="AL360" s="23"/>
      <c r="AU360" s="24"/>
      <c r="AV360" s="24"/>
    </row>
    <row r="361">
      <c r="AL361" s="23"/>
      <c r="AU361" s="24"/>
      <c r="AV361" s="24"/>
    </row>
    <row r="362">
      <c r="AL362" s="23"/>
      <c r="AU362" s="24"/>
      <c r="AV362" s="24"/>
    </row>
    <row r="363">
      <c r="AL363" s="23"/>
      <c r="AU363" s="24"/>
      <c r="AV363" s="24"/>
    </row>
    <row r="364">
      <c r="AL364" s="23"/>
      <c r="AU364" s="24"/>
      <c r="AV364" s="24"/>
    </row>
    <row r="365">
      <c r="AL365" s="23"/>
      <c r="AU365" s="24"/>
      <c r="AV365" s="24"/>
    </row>
    <row r="366">
      <c r="AL366" s="23"/>
      <c r="AU366" s="24"/>
      <c r="AV366" s="24"/>
    </row>
    <row r="367">
      <c r="AL367" s="23"/>
      <c r="AU367" s="24"/>
      <c r="AV367" s="24"/>
    </row>
    <row r="368">
      <c r="AL368" s="23"/>
      <c r="AU368" s="24"/>
      <c r="AV368" s="24"/>
    </row>
    <row r="369">
      <c r="AL369" s="23"/>
      <c r="AU369" s="24"/>
      <c r="AV369" s="24"/>
    </row>
    <row r="370">
      <c r="AL370" s="23"/>
      <c r="AU370" s="24"/>
      <c r="AV370" s="24"/>
    </row>
    <row r="371">
      <c r="AL371" s="23"/>
      <c r="AU371" s="24"/>
      <c r="AV371" s="24"/>
    </row>
    <row r="372">
      <c r="AL372" s="23"/>
      <c r="AU372" s="24"/>
      <c r="AV372" s="24"/>
    </row>
    <row r="373">
      <c r="AL373" s="23"/>
      <c r="AU373" s="24"/>
      <c r="AV373" s="24"/>
    </row>
    <row r="374">
      <c r="AL374" s="23"/>
      <c r="AU374" s="24"/>
      <c r="AV374" s="24"/>
    </row>
    <row r="375">
      <c r="AL375" s="23"/>
      <c r="AU375" s="24"/>
      <c r="AV375" s="24"/>
    </row>
    <row r="376">
      <c r="AL376" s="23"/>
      <c r="AU376" s="24"/>
      <c r="AV376" s="24"/>
    </row>
    <row r="377">
      <c r="AL377" s="23"/>
      <c r="AU377" s="24"/>
      <c r="AV377" s="24"/>
    </row>
    <row r="378">
      <c r="AL378" s="23"/>
      <c r="AU378" s="24"/>
      <c r="AV378" s="24"/>
    </row>
    <row r="379">
      <c r="AL379" s="23"/>
      <c r="AU379" s="24"/>
      <c r="AV379" s="24"/>
    </row>
    <row r="380">
      <c r="AL380" s="23"/>
      <c r="AU380" s="24"/>
      <c r="AV380" s="24"/>
    </row>
    <row r="381">
      <c r="AL381" s="23"/>
      <c r="AU381" s="24"/>
      <c r="AV381" s="24"/>
    </row>
    <row r="382">
      <c r="AL382" s="23"/>
      <c r="AU382" s="24"/>
      <c r="AV382" s="24"/>
    </row>
    <row r="383">
      <c r="AL383" s="23"/>
      <c r="AU383" s="24"/>
      <c r="AV383" s="24"/>
    </row>
    <row r="384">
      <c r="AL384" s="23"/>
      <c r="AU384" s="24"/>
      <c r="AV384" s="24"/>
    </row>
    <row r="385">
      <c r="AL385" s="23"/>
      <c r="AU385" s="24"/>
      <c r="AV385" s="24"/>
    </row>
    <row r="386">
      <c r="AL386" s="23"/>
      <c r="AU386" s="24"/>
      <c r="AV386" s="24"/>
    </row>
    <row r="387">
      <c r="AL387" s="23"/>
      <c r="AU387" s="24"/>
      <c r="AV387" s="24"/>
    </row>
    <row r="388">
      <c r="AL388" s="23"/>
      <c r="AU388" s="24"/>
      <c r="AV388" s="24"/>
    </row>
    <row r="389">
      <c r="AL389" s="23"/>
      <c r="AU389" s="24"/>
      <c r="AV389" s="24"/>
    </row>
    <row r="390">
      <c r="AL390" s="23"/>
      <c r="AU390" s="24"/>
      <c r="AV390" s="24"/>
    </row>
    <row r="391">
      <c r="AL391" s="23"/>
      <c r="AU391" s="24"/>
      <c r="AV391" s="24"/>
    </row>
    <row r="392">
      <c r="AL392" s="23"/>
      <c r="AU392" s="24"/>
      <c r="AV392" s="24"/>
    </row>
    <row r="393">
      <c r="AL393" s="23"/>
      <c r="AU393" s="24"/>
      <c r="AV393" s="24"/>
    </row>
    <row r="394">
      <c r="AL394" s="23"/>
      <c r="AU394" s="24"/>
      <c r="AV394" s="24"/>
    </row>
    <row r="395">
      <c r="AL395" s="23"/>
      <c r="AU395" s="24"/>
      <c r="AV395" s="24"/>
    </row>
    <row r="396">
      <c r="AL396" s="23"/>
      <c r="AU396" s="24"/>
      <c r="AV396" s="24"/>
    </row>
    <row r="397">
      <c r="AL397" s="23"/>
      <c r="AU397" s="24"/>
      <c r="AV397" s="24"/>
    </row>
    <row r="398">
      <c r="AL398" s="23"/>
      <c r="AU398" s="24"/>
      <c r="AV398" s="24"/>
    </row>
    <row r="399">
      <c r="AL399" s="23"/>
      <c r="AU399" s="24"/>
      <c r="AV399" s="24"/>
    </row>
    <row r="400">
      <c r="AL400" s="23"/>
      <c r="AU400" s="24"/>
      <c r="AV400" s="24"/>
    </row>
    <row r="401">
      <c r="AL401" s="23"/>
      <c r="AU401" s="24"/>
      <c r="AV401" s="24"/>
    </row>
    <row r="402">
      <c r="AL402" s="23"/>
      <c r="AU402" s="24"/>
      <c r="AV402" s="24"/>
    </row>
    <row r="403">
      <c r="AL403" s="23"/>
      <c r="AU403" s="24"/>
      <c r="AV403" s="24"/>
    </row>
    <row r="404">
      <c r="AL404" s="23"/>
      <c r="AU404" s="24"/>
      <c r="AV404" s="24"/>
    </row>
    <row r="405">
      <c r="AL405" s="23"/>
      <c r="AU405" s="24"/>
      <c r="AV405" s="24"/>
    </row>
    <row r="406">
      <c r="AL406" s="23"/>
      <c r="AU406" s="24"/>
      <c r="AV406" s="24"/>
    </row>
    <row r="407">
      <c r="AL407" s="23"/>
      <c r="AU407" s="24"/>
      <c r="AV407" s="24"/>
    </row>
    <row r="408">
      <c r="AL408" s="23"/>
      <c r="AU408" s="24"/>
      <c r="AV408" s="24"/>
    </row>
    <row r="409">
      <c r="AL409" s="23"/>
      <c r="AU409" s="24"/>
      <c r="AV409" s="24"/>
    </row>
    <row r="410">
      <c r="AL410" s="23"/>
      <c r="AU410" s="24"/>
      <c r="AV410" s="24"/>
    </row>
    <row r="411">
      <c r="AL411" s="23"/>
      <c r="AU411" s="24"/>
      <c r="AV411" s="24"/>
    </row>
    <row r="412">
      <c r="AL412" s="23"/>
      <c r="AU412" s="24"/>
      <c r="AV412" s="24"/>
    </row>
    <row r="413">
      <c r="AL413" s="23"/>
      <c r="AU413" s="24"/>
      <c r="AV413" s="24"/>
    </row>
    <row r="414">
      <c r="AL414" s="23"/>
      <c r="AU414" s="24"/>
      <c r="AV414" s="24"/>
    </row>
    <row r="415">
      <c r="AL415" s="23"/>
      <c r="AU415" s="24"/>
      <c r="AV415" s="24"/>
    </row>
    <row r="416">
      <c r="AL416" s="23"/>
      <c r="AU416" s="24"/>
      <c r="AV416" s="24"/>
    </row>
    <row r="417">
      <c r="AL417" s="23"/>
      <c r="AU417" s="24"/>
      <c r="AV417" s="24"/>
    </row>
    <row r="418">
      <c r="AL418" s="23"/>
      <c r="AU418" s="24"/>
      <c r="AV418" s="24"/>
    </row>
    <row r="419">
      <c r="AL419" s="23"/>
      <c r="AU419" s="24"/>
      <c r="AV419" s="24"/>
    </row>
    <row r="420">
      <c r="AL420" s="23"/>
      <c r="AU420" s="24"/>
      <c r="AV420" s="24"/>
    </row>
    <row r="421">
      <c r="AL421" s="23"/>
      <c r="AU421" s="24"/>
      <c r="AV421" s="24"/>
    </row>
    <row r="422">
      <c r="AL422" s="23"/>
      <c r="AU422" s="24"/>
      <c r="AV422" s="24"/>
    </row>
    <row r="423">
      <c r="AL423" s="23"/>
      <c r="AU423" s="24"/>
      <c r="AV423" s="24"/>
    </row>
    <row r="424">
      <c r="AL424" s="23"/>
      <c r="AU424" s="24"/>
      <c r="AV424" s="24"/>
    </row>
    <row r="425">
      <c r="AL425" s="23"/>
      <c r="AU425" s="24"/>
      <c r="AV425" s="24"/>
    </row>
    <row r="426">
      <c r="AL426" s="23"/>
      <c r="AU426" s="24"/>
      <c r="AV426" s="24"/>
    </row>
    <row r="427">
      <c r="AL427" s="23"/>
      <c r="AU427" s="24"/>
      <c r="AV427" s="24"/>
    </row>
    <row r="428">
      <c r="AL428" s="23"/>
      <c r="AU428" s="24"/>
      <c r="AV428" s="24"/>
    </row>
    <row r="429">
      <c r="AL429" s="23"/>
      <c r="AU429" s="24"/>
      <c r="AV429" s="24"/>
    </row>
    <row r="430">
      <c r="AL430" s="23"/>
      <c r="AU430" s="24"/>
      <c r="AV430" s="24"/>
    </row>
    <row r="431">
      <c r="AL431" s="23"/>
      <c r="AU431" s="24"/>
      <c r="AV431" s="24"/>
    </row>
    <row r="432">
      <c r="AL432" s="23"/>
      <c r="AU432" s="24"/>
      <c r="AV432" s="24"/>
    </row>
    <row r="433">
      <c r="AL433" s="23"/>
      <c r="AU433" s="24"/>
      <c r="AV433" s="24"/>
    </row>
    <row r="434">
      <c r="AL434" s="23"/>
      <c r="AU434" s="24"/>
      <c r="AV434" s="24"/>
    </row>
    <row r="435">
      <c r="AL435" s="23"/>
      <c r="AU435" s="24"/>
      <c r="AV435" s="24"/>
    </row>
    <row r="436">
      <c r="AL436" s="23"/>
      <c r="AU436" s="24"/>
      <c r="AV436" s="24"/>
    </row>
    <row r="437">
      <c r="AL437" s="23"/>
      <c r="AU437" s="24"/>
      <c r="AV437" s="24"/>
    </row>
    <row r="438">
      <c r="AL438" s="23"/>
      <c r="AU438" s="24"/>
      <c r="AV438" s="24"/>
    </row>
    <row r="439">
      <c r="AL439" s="23"/>
      <c r="AU439" s="24"/>
      <c r="AV439" s="24"/>
    </row>
    <row r="440">
      <c r="AL440" s="23"/>
      <c r="AU440" s="24"/>
      <c r="AV440" s="24"/>
    </row>
    <row r="441">
      <c r="AL441" s="23"/>
      <c r="AU441" s="24"/>
      <c r="AV441" s="24"/>
    </row>
    <row r="442">
      <c r="AL442" s="23"/>
      <c r="AU442" s="24"/>
      <c r="AV442" s="24"/>
    </row>
    <row r="443">
      <c r="AL443" s="23"/>
      <c r="AU443" s="24"/>
      <c r="AV443" s="24"/>
    </row>
    <row r="444">
      <c r="AL444" s="23"/>
      <c r="AU444" s="24"/>
      <c r="AV444" s="24"/>
    </row>
    <row r="445">
      <c r="AL445" s="23"/>
      <c r="AU445" s="24"/>
      <c r="AV445" s="24"/>
    </row>
    <row r="446">
      <c r="AL446" s="23"/>
      <c r="AU446" s="24"/>
      <c r="AV446" s="24"/>
    </row>
    <row r="447">
      <c r="AL447" s="23"/>
      <c r="AU447" s="24"/>
      <c r="AV447" s="24"/>
    </row>
    <row r="448">
      <c r="AL448" s="23"/>
      <c r="AU448" s="24"/>
      <c r="AV448" s="24"/>
    </row>
    <row r="449">
      <c r="AL449" s="23"/>
      <c r="AU449" s="24"/>
      <c r="AV449" s="24"/>
    </row>
    <row r="450">
      <c r="AL450" s="23"/>
      <c r="AU450" s="24"/>
      <c r="AV450" s="24"/>
    </row>
    <row r="451">
      <c r="AL451" s="23"/>
      <c r="AU451" s="24"/>
      <c r="AV451" s="24"/>
    </row>
    <row r="452">
      <c r="AL452" s="23"/>
      <c r="AU452" s="24"/>
      <c r="AV452" s="24"/>
    </row>
    <row r="453">
      <c r="AL453" s="23"/>
      <c r="AU453" s="24"/>
      <c r="AV453" s="24"/>
    </row>
    <row r="454">
      <c r="AL454" s="23"/>
      <c r="AU454" s="24"/>
      <c r="AV454" s="24"/>
    </row>
    <row r="455">
      <c r="AL455" s="23"/>
      <c r="AU455" s="24"/>
      <c r="AV455" s="24"/>
    </row>
    <row r="456">
      <c r="AL456" s="23"/>
      <c r="AU456" s="24"/>
      <c r="AV456" s="24"/>
    </row>
    <row r="457">
      <c r="AL457" s="23"/>
      <c r="AU457" s="24"/>
      <c r="AV457" s="24"/>
    </row>
    <row r="458">
      <c r="AL458" s="23"/>
      <c r="AU458" s="24"/>
      <c r="AV458" s="24"/>
    </row>
    <row r="459">
      <c r="AL459" s="23"/>
      <c r="AU459" s="24"/>
      <c r="AV459" s="24"/>
    </row>
    <row r="460">
      <c r="AL460" s="23"/>
      <c r="AU460" s="24"/>
      <c r="AV460" s="24"/>
    </row>
    <row r="461">
      <c r="AL461" s="23"/>
      <c r="AU461" s="24"/>
      <c r="AV461" s="24"/>
    </row>
    <row r="462">
      <c r="AL462" s="23"/>
      <c r="AU462" s="24"/>
      <c r="AV462" s="24"/>
    </row>
    <row r="463">
      <c r="AL463" s="23"/>
      <c r="AU463" s="24"/>
      <c r="AV463" s="24"/>
    </row>
    <row r="464">
      <c r="AL464" s="23"/>
      <c r="AU464" s="24"/>
      <c r="AV464" s="24"/>
    </row>
    <row r="465">
      <c r="AL465" s="23"/>
      <c r="AU465" s="24"/>
      <c r="AV465" s="24"/>
    </row>
    <row r="466">
      <c r="AL466" s="23"/>
      <c r="AU466" s="24"/>
      <c r="AV466" s="24"/>
    </row>
    <row r="467">
      <c r="AL467" s="23"/>
      <c r="AU467" s="24"/>
      <c r="AV467" s="24"/>
    </row>
    <row r="468">
      <c r="AL468" s="23"/>
      <c r="AU468" s="24"/>
      <c r="AV468" s="24"/>
    </row>
    <row r="469">
      <c r="AL469" s="23"/>
      <c r="AU469" s="24"/>
      <c r="AV469" s="24"/>
    </row>
    <row r="470">
      <c r="AL470" s="23"/>
      <c r="AU470" s="24"/>
      <c r="AV470" s="24"/>
    </row>
    <row r="471">
      <c r="AL471" s="23"/>
      <c r="AU471" s="24"/>
      <c r="AV471" s="24"/>
    </row>
    <row r="472">
      <c r="AL472" s="23"/>
      <c r="AU472" s="24"/>
      <c r="AV472" s="24"/>
    </row>
    <row r="473">
      <c r="AL473" s="23"/>
      <c r="AU473" s="24"/>
      <c r="AV473" s="24"/>
    </row>
    <row r="474">
      <c r="AL474" s="23"/>
      <c r="AU474" s="24"/>
      <c r="AV474" s="24"/>
    </row>
    <row r="475">
      <c r="AL475" s="23"/>
      <c r="AU475" s="24"/>
      <c r="AV475" s="24"/>
    </row>
    <row r="476">
      <c r="AL476" s="23"/>
      <c r="AU476" s="24"/>
      <c r="AV476" s="24"/>
    </row>
    <row r="477">
      <c r="AL477" s="23"/>
      <c r="AU477" s="24"/>
      <c r="AV477" s="24"/>
    </row>
    <row r="478">
      <c r="AL478" s="23"/>
      <c r="AU478" s="24"/>
      <c r="AV478" s="24"/>
    </row>
    <row r="479">
      <c r="AL479" s="23"/>
      <c r="AU479" s="24"/>
      <c r="AV479" s="24"/>
    </row>
    <row r="480">
      <c r="AL480" s="23"/>
      <c r="AU480" s="24"/>
      <c r="AV480" s="24"/>
    </row>
    <row r="481">
      <c r="AL481" s="23"/>
      <c r="AU481" s="24"/>
      <c r="AV481" s="24"/>
    </row>
    <row r="482">
      <c r="AL482" s="23"/>
      <c r="AU482" s="24"/>
      <c r="AV482" s="24"/>
    </row>
    <row r="483">
      <c r="AL483" s="23"/>
      <c r="AU483" s="24"/>
      <c r="AV483" s="24"/>
    </row>
    <row r="484">
      <c r="AL484" s="23"/>
      <c r="AU484" s="24"/>
      <c r="AV484" s="24"/>
    </row>
    <row r="485">
      <c r="AL485" s="23"/>
      <c r="AU485" s="24"/>
      <c r="AV485" s="24"/>
    </row>
    <row r="486">
      <c r="AL486" s="23"/>
      <c r="AU486" s="24"/>
      <c r="AV486" s="24"/>
    </row>
    <row r="487">
      <c r="AL487" s="23"/>
      <c r="AU487" s="24"/>
      <c r="AV487" s="24"/>
    </row>
    <row r="488">
      <c r="AL488" s="23"/>
      <c r="AU488" s="24"/>
      <c r="AV488" s="24"/>
    </row>
    <row r="489">
      <c r="AL489" s="23"/>
      <c r="AU489" s="24"/>
      <c r="AV489" s="24"/>
    </row>
    <row r="490">
      <c r="AL490" s="23"/>
      <c r="AU490" s="24"/>
      <c r="AV490" s="24"/>
    </row>
    <row r="491">
      <c r="AL491" s="23"/>
      <c r="AU491" s="24"/>
      <c r="AV491" s="24"/>
    </row>
    <row r="492">
      <c r="AL492" s="23"/>
      <c r="AU492" s="24"/>
      <c r="AV492" s="24"/>
    </row>
    <row r="493">
      <c r="AL493" s="23"/>
      <c r="AU493" s="24"/>
      <c r="AV493" s="24"/>
    </row>
    <row r="494">
      <c r="AL494" s="23"/>
      <c r="AU494" s="24"/>
      <c r="AV494" s="24"/>
    </row>
    <row r="495">
      <c r="AL495" s="23"/>
      <c r="AU495" s="24"/>
      <c r="AV495" s="24"/>
    </row>
    <row r="496">
      <c r="AL496" s="23"/>
      <c r="AU496" s="24"/>
      <c r="AV496" s="24"/>
    </row>
    <row r="497">
      <c r="AL497" s="23"/>
      <c r="AU497" s="24"/>
      <c r="AV497" s="24"/>
    </row>
    <row r="498">
      <c r="AL498" s="23"/>
      <c r="AU498" s="24"/>
      <c r="AV498" s="24"/>
    </row>
    <row r="499">
      <c r="AL499" s="23"/>
      <c r="AU499" s="24"/>
      <c r="AV499" s="24"/>
    </row>
    <row r="500">
      <c r="AL500" s="23"/>
      <c r="AU500" s="24"/>
      <c r="AV500" s="24"/>
    </row>
    <row r="501">
      <c r="AL501" s="23"/>
      <c r="AU501" s="24"/>
      <c r="AV501" s="24"/>
    </row>
    <row r="502">
      <c r="AL502" s="23"/>
      <c r="AU502" s="24"/>
      <c r="AV502" s="24"/>
    </row>
    <row r="503">
      <c r="AL503" s="23"/>
      <c r="AU503" s="24"/>
      <c r="AV503" s="24"/>
    </row>
    <row r="504">
      <c r="AL504" s="23"/>
      <c r="AU504" s="24"/>
      <c r="AV504" s="24"/>
    </row>
    <row r="505">
      <c r="AL505" s="23"/>
      <c r="AU505" s="24"/>
      <c r="AV505" s="24"/>
    </row>
    <row r="506">
      <c r="AL506" s="23"/>
      <c r="AU506" s="24"/>
      <c r="AV506" s="24"/>
    </row>
    <row r="507">
      <c r="AL507" s="23"/>
      <c r="AU507" s="24"/>
      <c r="AV507" s="24"/>
    </row>
    <row r="508">
      <c r="AL508" s="23"/>
      <c r="AU508" s="24"/>
      <c r="AV508" s="24"/>
    </row>
    <row r="509">
      <c r="AL509" s="23"/>
      <c r="AU509" s="24"/>
      <c r="AV509" s="24"/>
    </row>
    <row r="510">
      <c r="AL510" s="23"/>
      <c r="AU510" s="24"/>
      <c r="AV510" s="24"/>
    </row>
    <row r="511">
      <c r="AL511" s="23"/>
      <c r="AU511" s="24"/>
      <c r="AV511" s="24"/>
    </row>
    <row r="512">
      <c r="AL512" s="23"/>
      <c r="AU512" s="24"/>
      <c r="AV512" s="24"/>
    </row>
    <row r="513">
      <c r="AL513" s="23"/>
      <c r="AU513" s="24"/>
      <c r="AV513" s="24"/>
    </row>
    <row r="514">
      <c r="AL514" s="23"/>
      <c r="AU514" s="24"/>
      <c r="AV514" s="24"/>
    </row>
    <row r="515">
      <c r="AL515" s="23"/>
      <c r="AU515" s="24"/>
      <c r="AV515" s="24"/>
    </row>
    <row r="516">
      <c r="AL516" s="23"/>
      <c r="AU516" s="24"/>
      <c r="AV516" s="24"/>
    </row>
    <row r="517">
      <c r="AL517" s="23"/>
      <c r="AU517" s="24"/>
      <c r="AV517" s="24"/>
    </row>
    <row r="518">
      <c r="AL518" s="23"/>
      <c r="AU518" s="24"/>
      <c r="AV518" s="24"/>
    </row>
    <row r="519">
      <c r="AL519" s="23"/>
      <c r="AU519" s="24"/>
      <c r="AV519" s="24"/>
    </row>
    <row r="520">
      <c r="AL520" s="23"/>
      <c r="AU520" s="24"/>
      <c r="AV520" s="24"/>
    </row>
    <row r="521">
      <c r="AL521" s="23"/>
      <c r="AU521" s="24"/>
      <c r="AV521" s="24"/>
    </row>
    <row r="522">
      <c r="AL522" s="23"/>
      <c r="AU522" s="24"/>
      <c r="AV522" s="24"/>
    </row>
    <row r="523">
      <c r="AL523" s="23"/>
      <c r="AU523" s="24"/>
      <c r="AV523" s="24"/>
    </row>
    <row r="524">
      <c r="AL524" s="23"/>
      <c r="AU524" s="24"/>
      <c r="AV524" s="24"/>
    </row>
    <row r="525">
      <c r="AL525" s="23"/>
      <c r="AU525" s="24"/>
      <c r="AV525" s="24"/>
    </row>
    <row r="526">
      <c r="AL526" s="23"/>
      <c r="AU526" s="24"/>
      <c r="AV526" s="24"/>
    </row>
    <row r="527">
      <c r="AL527" s="23"/>
      <c r="AU527" s="24"/>
      <c r="AV527" s="24"/>
    </row>
    <row r="528">
      <c r="AL528" s="23"/>
      <c r="AU528" s="24"/>
      <c r="AV528" s="24"/>
    </row>
    <row r="529">
      <c r="AL529" s="23"/>
      <c r="AU529" s="24"/>
      <c r="AV529" s="24"/>
    </row>
    <row r="530">
      <c r="AL530" s="23"/>
      <c r="AU530" s="24"/>
      <c r="AV530" s="24"/>
    </row>
    <row r="531">
      <c r="AL531" s="23"/>
      <c r="AU531" s="24"/>
      <c r="AV531" s="24"/>
    </row>
    <row r="532">
      <c r="AL532" s="23"/>
      <c r="AU532" s="24"/>
      <c r="AV532" s="24"/>
    </row>
    <row r="533">
      <c r="AL533" s="23"/>
      <c r="AU533" s="24"/>
      <c r="AV533" s="24"/>
    </row>
    <row r="534">
      <c r="AL534" s="23"/>
      <c r="AU534" s="24"/>
      <c r="AV534" s="24"/>
    </row>
    <row r="535">
      <c r="AL535" s="23"/>
      <c r="AU535" s="24"/>
      <c r="AV535" s="24"/>
    </row>
    <row r="536">
      <c r="AL536" s="23"/>
      <c r="AU536" s="24"/>
      <c r="AV536" s="24"/>
    </row>
    <row r="537">
      <c r="AL537" s="23"/>
      <c r="AU537" s="24"/>
      <c r="AV537" s="24"/>
    </row>
    <row r="538">
      <c r="AL538" s="23"/>
      <c r="AU538" s="24"/>
      <c r="AV538" s="24"/>
    </row>
    <row r="539">
      <c r="AL539" s="23"/>
      <c r="AU539" s="24"/>
      <c r="AV539" s="24"/>
    </row>
    <row r="540">
      <c r="AL540" s="23"/>
      <c r="AU540" s="24"/>
      <c r="AV540" s="24"/>
    </row>
    <row r="541">
      <c r="AL541" s="23"/>
      <c r="AU541" s="24"/>
      <c r="AV541" s="24"/>
    </row>
    <row r="542">
      <c r="AL542" s="23"/>
      <c r="AU542" s="24"/>
      <c r="AV542" s="24"/>
    </row>
    <row r="543">
      <c r="AL543" s="23"/>
      <c r="AU543" s="24"/>
      <c r="AV543" s="24"/>
    </row>
    <row r="544">
      <c r="AL544" s="23"/>
      <c r="AU544" s="24"/>
      <c r="AV544" s="24"/>
    </row>
    <row r="545">
      <c r="AL545" s="23"/>
      <c r="AU545" s="24"/>
      <c r="AV545" s="24"/>
    </row>
    <row r="546">
      <c r="AL546" s="23"/>
      <c r="AU546" s="24"/>
      <c r="AV546" s="24"/>
    </row>
    <row r="547">
      <c r="AL547" s="23"/>
      <c r="AU547" s="24"/>
      <c r="AV547" s="24"/>
    </row>
    <row r="548">
      <c r="AL548" s="23"/>
      <c r="AU548" s="24"/>
      <c r="AV548" s="24"/>
    </row>
    <row r="549">
      <c r="AL549" s="23"/>
      <c r="AU549" s="24"/>
      <c r="AV549" s="24"/>
    </row>
    <row r="550">
      <c r="AL550" s="23"/>
      <c r="AU550" s="24"/>
      <c r="AV550" s="24"/>
    </row>
    <row r="551">
      <c r="AL551" s="23"/>
      <c r="AU551" s="24"/>
      <c r="AV551" s="24"/>
    </row>
    <row r="552">
      <c r="AL552" s="23"/>
      <c r="AU552" s="24"/>
      <c r="AV552" s="24"/>
    </row>
    <row r="553">
      <c r="AL553" s="23"/>
      <c r="AU553" s="24"/>
      <c r="AV553" s="24"/>
    </row>
    <row r="554">
      <c r="AL554" s="23"/>
      <c r="AU554" s="24"/>
      <c r="AV554" s="24"/>
    </row>
    <row r="555">
      <c r="AL555" s="23"/>
      <c r="AU555" s="24"/>
      <c r="AV555" s="24"/>
    </row>
    <row r="556">
      <c r="AL556" s="23"/>
      <c r="AU556" s="24"/>
      <c r="AV556" s="24"/>
    </row>
    <row r="557">
      <c r="AL557" s="23"/>
      <c r="AU557" s="24"/>
      <c r="AV557" s="24"/>
    </row>
    <row r="558">
      <c r="AL558" s="23"/>
      <c r="AU558" s="24"/>
      <c r="AV558" s="24"/>
    </row>
    <row r="559">
      <c r="AL559" s="23"/>
      <c r="AU559" s="24"/>
      <c r="AV559" s="24"/>
    </row>
    <row r="560">
      <c r="AL560" s="23"/>
      <c r="AU560" s="24"/>
      <c r="AV560" s="24"/>
    </row>
    <row r="561">
      <c r="AL561" s="23"/>
      <c r="AU561" s="24"/>
      <c r="AV561" s="24"/>
    </row>
    <row r="562">
      <c r="AL562" s="23"/>
      <c r="AU562" s="24"/>
      <c r="AV562" s="24"/>
    </row>
    <row r="563">
      <c r="AL563" s="23"/>
      <c r="AU563" s="24"/>
      <c r="AV563" s="24"/>
    </row>
    <row r="564">
      <c r="AL564" s="23"/>
      <c r="AU564" s="24"/>
      <c r="AV564" s="24"/>
    </row>
    <row r="565">
      <c r="AL565" s="23"/>
      <c r="AU565" s="24"/>
      <c r="AV565" s="24"/>
    </row>
    <row r="566">
      <c r="AL566" s="23"/>
      <c r="AU566" s="24"/>
      <c r="AV566" s="24"/>
    </row>
    <row r="567">
      <c r="AL567" s="23"/>
      <c r="AU567" s="24"/>
      <c r="AV567" s="24"/>
    </row>
    <row r="568">
      <c r="AL568" s="23"/>
      <c r="AU568" s="24"/>
      <c r="AV568" s="24"/>
    </row>
    <row r="569">
      <c r="AL569" s="23"/>
      <c r="AU569" s="24"/>
      <c r="AV569" s="24"/>
    </row>
    <row r="570">
      <c r="AL570" s="23"/>
      <c r="AU570" s="24"/>
      <c r="AV570" s="24"/>
    </row>
    <row r="571">
      <c r="AL571" s="23"/>
      <c r="AU571" s="24"/>
      <c r="AV571" s="24"/>
    </row>
    <row r="572">
      <c r="AL572" s="23"/>
      <c r="AU572" s="24"/>
      <c r="AV572" s="24"/>
    </row>
    <row r="573">
      <c r="AL573" s="23"/>
      <c r="AU573" s="24"/>
      <c r="AV573" s="24"/>
    </row>
    <row r="574">
      <c r="AL574" s="23"/>
      <c r="AU574" s="24"/>
      <c r="AV574" s="24"/>
    </row>
    <row r="575">
      <c r="AL575" s="23"/>
      <c r="AU575" s="24"/>
      <c r="AV575" s="24"/>
    </row>
    <row r="576">
      <c r="AL576" s="23"/>
      <c r="AU576" s="24"/>
      <c r="AV576" s="24"/>
    </row>
    <row r="577">
      <c r="AL577" s="23"/>
      <c r="AU577" s="24"/>
      <c r="AV577" s="24"/>
    </row>
    <row r="578">
      <c r="AL578" s="23"/>
      <c r="AU578" s="24"/>
      <c r="AV578" s="24"/>
    </row>
    <row r="579">
      <c r="AL579" s="23"/>
      <c r="AU579" s="24"/>
      <c r="AV579" s="24"/>
    </row>
    <row r="580">
      <c r="AL580" s="23"/>
      <c r="AU580" s="24"/>
      <c r="AV580" s="24"/>
    </row>
    <row r="581">
      <c r="AL581" s="23"/>
      <c r="AU581" s="24"/>
      <c r="AV581" s="24"/>
    </row>
    <row r="582">
      <c r="AL582" s="23"/>
      <c r="AU582" s="24"/>
      <c r="AV582" s="24"/>
    </row>
    <row r="583">
      <c r="AL583" s="23"/>
      <c r="AU583" s="24"/>
      <c r="AV583" s="24"/>
    </row>
    <row r="584">
      <c r="AL584" s="23"/>
      <c r="AU584" s="24"/>
      <c r="AV584" s="24"/>
    </row>
    <row r="585">
      <c r="AL585" s="23"/>
      <c r="AU585" s="24"/>
      <c r="AV585" s="24"/>
    </row>
    <row r="586">
      <c r="AL586" s="23"/>
      <c r="AU586" s="24"/>
      <c r="AV586" s="24"/>
    </row>
    <row r="587">
      <c r="AL587" s="23"/>
      <c r="AU587" s="24"/>
      <c r="AV587" s="24"/>
    </row>
    <row r="588">
      <c r="AL588" s="23"/>
      <c r="AU588" s="24"/>
      <c r="AV588" s="24"/>
    </row>
    <row r="589">
      <c r="AL589" s="23"/>
      <c r="AU589" s="24"/>
      <c r="AV589" s="24"/>
    </row>
    <row r="590">
      <c r="AL590" s="23"/>
      <c r="AU590" s="24"/>
      <c r="AV590" s="24"/>
    </row>
    <row r="591">
      <c r="AL591" s="23"/>
      <c r="AU591" s="24"/>
      <c r="AV591" s="24"/>
    </row>
    <row r="592">
      <c r="AL592" s="23"/>
      <c r="AU592" s="24"/>
      <c r="AV592" s="24"/>
    </row>
    <row r="593">
      <c r="AL593" s="23"/>
      <c r="AU593" s="24"/>
      <c r="AV593" s="24"/>
    </row>
    <row r="594">
      <c r="AL594" s="23"/>
      <c r="AU594" s="24"/>
      <c r="AV594" s="24"/>
    </row>
    <row r="595">
      <c r="AL595" s="23"/>
      <c r="AU595" s="24"/>
      <c r="AV595" s="24"/>
    </row>
    <row r="596">
      <c r="AL596" s="23"/>
      <c r="AU596" s="24"/>
      <c r="AV596" s="24"/>
    </row>
    <row r="597">
      <c r="AL597" s="23"/>
      <c r="AU597" s="24"/>
      <c r="AV597" s="24"/>
    </row>
    <row r="598">
      <c r="AL598" s="23"/>
      <c r="AU598" s="24"/>
      <c r="AV598" s="24"/>
    </row>
    <row r="599">
      <c r="AL599" s="23"/>
      <c r="AU599" s="24"/>
      <c r="AV599" s="24"/>
    </row>
    <row r="600">
      <c r="AL600" s="23"/>
      <c r="AU600" s="24"/>
      <c r="AV600" s="24"/>
    </row>
    <row r="601">
      <c r="AL601" s="23"/>
      <c r="AU601" s="24"/>
      <c r="AV601" s="24"/>
    </row>
    <row r="602">
      <c r="AL602" s="23"/>
      <c r="AU602" s="24"/>
      <c r="AV602" s="24"/>
    </row>
    <row r="603">
      <c r="AL603" s="23"/>
      <c r="AU603" s="24"/>
      <c r="AV603" s="24"/>
    </row>
    <row r="604">
      <c r="AL604" s="23"/>
      <c r="AU604" s="24"/>
      <c r="AV604" s="24"/>
    </row>
    <row r="605">
      <c r="AL605" s="23"/>
      <c r="AU605" s="24"/>
      <c r="AV605" s="24"/>
    </row>
    <row r="606">
      <c r="AL606" s="23"/>
      <c r="AU606" s="24"/>
      <c r="AV606" s="24"/>
    </row>
    <row r="607">
      <c r="AL607" s="23"/>
      <c r="AU607" s="24"/>
      <c r="AV607" s="24"/>
    </row>
    <row r="608">
      <c r="AL608" s="23"/>
      <c r="AU608" s="24"/>
      <c r="AV608" s="24"/>
    </row>
    <row r="609">
      <c r="AL609" s="23"/>
      <c r="AU609" s="24"/>
      <c r="AV609" s="24"/>
    </row>
    <row r="610">
      <c r="AL610" s="23"/>
      <c r="AU610" s="24"/>
      <c r="AV610" s="24"/>
    </row>
    <row r="611">
      <c r="AL611" s="23"/>
      <c r="AU611" s="24"/>
      <c r="AV611" s="24"/>
    </row>
    <row r="612">
      <c r="AL612" s="23"/>
      <c r="AU612" s="24"/>
      <c r="AV612" s="24"/>
    </row>
    <row r="613">
      <c r="AL613" s="23"/>
      <c r="AU613" s="24"/>
      <c r="AV613" s="24"/>
    </row>
    <row r="614">
      <c r="AL614" s="23"/>
      <c r="AU614" s="24"/>
      <c r="AV614" s="24"/>
    </row>
    <row r="615">
      <c r="AL615" s="23"/>
      <c r="AU615" s="24"/>
      <c r="AV615" s="24"/>
    </row>
    <row r="616">
      <c r="AL616" s="23"/>
      <c r="AU616" s="24"/>
      <c r="AV616" s="24"/>
    </row>
    <row r="617">
      <c r="AL617" s="23"/>
      <c r="AU617" s="24"/>
      <c r="AV617" s="24"/>
    </row>
    <row r="618">
      <c r="AL618" s="23"/>
      <c r="AU618" s="24"/>
      <c r="AV618" s="24"/>
    </row>
    <row r="619">
      <c r="AL619" s="23"/>
      <c r="AU619" s="24"/>
      <c r="AV619" s="24"/>
    </row>
    <row r="620">
      <c r="AL620" s="23"/>
      <c r="AU620" s="24"/>
      <c r="AV620" s="24"/>
    </row>
    <row r="621">
      <c r="AL621" s="23"/>
      <c r="AU621" s="24"/>
      <c r="AV621" s="24"/>
    </row>
    <row r="622">
      <c r="AL622" s="23"/>
      <c r="AU622" s="24"/>
      <c r="AV622" s="24"/>
    </row>
    <row r="623">
      <c r="AL623" s="23"/>
      <c r="AU623" s="24"/>
      <c r="AV623" s="24"/>
    </row>
    <row r="624">
      <c r="AL624" s="23"/>
      <c r="AU624" s="24"/>
      <c r="AV624" s="24"/>
    </row>
    <row r="625">
      <c r="AL625" s="23"/>
      <c r="AU625" s="24"/>
      <c r="AV625" s="24"/>
    </row>
    <row r="626">
      <c r="AL626" s="23"/>
      <c r="AU626" s="24"/>
      <c r="AV626" s="24"/>
    </row>
    <row r="627">
      <c r="AL627" s="23"/>
      <c r="AU627" s="24"/>
      <c r="AV627" s="24"/>
    </row>
    <row r="628">
      <c r="AL628" s="23"/>
      <c r="AU628" s="24"/>
      <c r="AV628" s="24"/>
    </row>
    <row r="629">
      <c r="AL629" s="23"/>
      <c r="AU629" s="24"/>
      <c r="AV629" s="24"/>
    </row>
    <row r="630">
      <c r="AL630" s="23"/>
      <c r="AU630" s="24"/>
      <c r="AV630" s="24"/>
    </row>
    <row r="631">
      <c r="AL631" s="23"/>
      <c r="AU631" s="24"/>
      <c r="AV631" s="24"/>
    </row>
    <row r="632">
      <c r="AL632" s="23"/>
      <c r="AU632" s="24"/>
      <c r="AV632" s="24"/>
    </row>
    <row r="633">
      <c r="AL633" s="23"/>
      <c r="AU633" s="24"/>
      <c r="AV633" s="24"/>
    </row>
    <row r="634">
      <c r="AL634" s="23"/>
      <c r="AU634" s="24"/>
      <c r="AV634" s="24"/>
    </row>
    <row r="635">
      <c r="AL635" s="23"/>
      <c r="AU635" s="24"/>
      <c r="AV635" s="24"/>
    </row>
    <row r="636">
      <c r="AL636" s="23"/>
      <c r="AU636" s="24"/>
      <c r="AV636" s="24"/>
    </row>
    <row r="637">
      <c r="AL637" s="23"/>
      <c r="AU637" s="24"/>
      <c r="AV637" s="24"/>
    </row>
    <row r="638">
      <c r="AL638" s="23"/>
      <c r="AU638" s="24"/>
      <c r="AV638" s="24"/>
    </row>
    <row r="639">
      <c r="AL639" s="23"/>
      <c r="AU639" s="24"/>
      <c r="AV639" s="24"/>
    </row>
    <row r="640">
      <c r="AL640" s="23"/>
      <c r="AU640" s="24"/>
      <c r="AV640" s="24"/>
    </row>
    <row r="641">
      <c r="AL641" s="23"/>
      <c r="AU641" s="24"/>
      <c r="AV641" s="24"/>
    </row>
    <row r="642">
      <c r="AL642" s="23"/>
      <c r="AU642" s="24"/>
      <c r="AV642" s="24"/>
    </row>
    <row r="643">
      <c r="AL643" s="23"/>
      <c r="AU643" s="24"/>
      <c r="AV643" s="24"/>
    </row>
    <row r="644">
      <c r="AL644" s="23"/>
      <c r="AU644" s="24"/>
      <c r="AV644" s="24"/>
    </row>
    <row r="645">
      <c r="AL645" s="23"/>
      <c r="AU645" s="24"/>
      <c r="AV645" s="24"/>
    </row>
    <row r="646">
      <c r="AL646" s="23"/>
      <c r="AU646" s="24"/>
      <c r="AV646" s="24"/>
    </row>
    <row r="647">
      <c r="AL647" s="23"/>
      <c r="AU647" s="24"/>
      <c r="AV647" s="24"/>
    </row>
    <row r="648">
      <c r="AL648" s="23"/>
      <c r="AU648" s="24"/>
      <c r="AV648" s="24"/>
    </row>
    <row r="649">
      <c r="AL649" s="23"/>
      <c r="AU649" s="24"/>
      <c r="AV649" s="24"/>
    </row>
    <row r="650">
      <c r="AL650" s="23"/>
      <c r="AU650" s="24"/>
      <c r="AV650" s="24"/>
    </row>
    <row r="651">
      <c r="AL651" s="23"/>
      <c r="AU651" s="24"/>
      <c r="AV651" s="24"/>
    </row>
    <row r="652">
      <c r="AL652" s="23"/>
      <c r="AU652" s="24"/>
      <c r="AV652" s="24"/>
    </row>
    <row r="653">
      <c r="AL653" s="23"/>
      <c r="AU653" s="24"/>
      <c r="AV653" s="24"/>
    </row>
    <row r="654">
      <c r="AL654" s="23"/>
      <c r="AU654" s="24"/>
      <c r="AV654" s="24"/>
    </row>
    <row r="655">
      <c r="AL655" s="23"/>
      <c r="AU655" s="24"/>
      <c r="AV655" s="24"/>
    </row>
    <row r="656">
      <c r="AL656" s="23"/>
      <c r="AU656" s="24"/>
      <c r="AV656" s="24"/>
    </row>
    <row r="657">
      <c r="AL657" s="23"/>
      <c r="AU657" s="24"/>
      <c r="AV657" s="24"/>
    </row>
    <row r="658">
      <c r="AL658" s="23"/>
      <c r="AU658" s="24"/>
      <c r="AV658" s="24"/>
    </row>
    <row r="659">
      <c r="AL659" s="23"/>
      <c r="AU659" s="24"/>
      <c r="AV659" s="24"/>
    </row>
    <row r="660">
      <c r="AL660" s="23"/>
      <c r="AU660" s="24"/>
      <c r="AV660" s="24"/>
    </row>
    <row r="661">
      <c r="AL661" s="23"/>
      <c r="AU661" s="24"/>
      <c r="AV661" s="24"/>
    </row>
    <row r="662">
      <c r="AL662" s="23"/>
      <c r="AU662" s="24"/>
      <c r="AV662" s="24"/>
    </row>
    <row r="663">
      <c r="AL663" s="23"/>
      <c r="AU663" s="24"/>
      <c r="AV663" s="24"/>
    </row>
    <row r="664">
      <c r="AL664" s="23"/>
      <c r="AU664" s="24"/>
      <c r="AV664" s="24"/>
    </row>
    <row r="665">
      <c r="AL665" s="23"/>
      <c r="AU665" s="24"/>
      <c r="AV665" s="24"/>
    </row>
    <row r="666">
      <c r="AL666" s="23"/>
      <c r="AU666" s="24"/>
      <c r="AV666" s="24"/>
    </row>
    <row r="667">
      <c r="AL667" s="23"/>
      <c r="AU667" s="24"/>
      <c r="AV667" s="24"/>
    </row>
    <row r="668">
      <c r="AL668" s="23"/>
      <c r="AU668" s="24"/>
      <c r="AV668" s="24"/>
    </row>
    <row r="669">
      <c r="AL669" s="23"/>
      <c r="AU669" s="24"/>
      <c r="AV669" s="24"/>
    </row>
    <row r="670">
      <c r="AL670" s="23"/>
      <c r="AU670" s="24"/>
      <c r="AV670" s="24"/>
    </row>
    <row r="671">
      <c r="AL671" s="23"/>
      <c r="AU671" s="24"/>
      <c r="AV671" s="24"/>
    </row>
    <row r="672">
      <c r="AL672" s="23"/>
      <c r="AU672" s="24"/>
      <c r="AV672" s="24"/>
    </row>
    <row r="673">
      <c r="AL673" s="23"/>
      <c r="AU673" s="24"/>
      <c r="AV673" s="24"/>
    </row>
    <row r="674">
      <c r="AL674" s="23"/>
      <c r="AU674" s="24"/>
      <c r="AV674" s="24"/>
    </row>
    <row r="675">
      <c r="AL675" s="23"/>
      <c r="AU675" s="24"/>
      <c r="AV675" s="24"/>
    </row>
    <row r="676">
      <c r="AL676" s="23"/>
      <c r="AU676" s="24"/>
      <c r="AV676" s="24"/>
    </row>
    <row r="677">
      <c r="AL677" s="23"/>
      <c r="AU677" s="24"/>
      <c r="AV677" s="24"/>
    </row>
    <row r="678">
      <c r="AL678" s="23"/>
      <c r="AU678" s="24"/>
      <c r="AV678" s="24"/>
    </row>
    <row r="679">
      <c r="AL679" s="23"/>
      <c r="AU679" s="24"/>
      <c r="AV679" s="24"/>
    </row>
    <row r="680">
      <c r="AL680" s="23"/>
      <c r="AU680" s="24"/>
      <c r="AV680" s="24"/>
    </row>
    <row r="681">
      <c r="AL681" s="23"/>
      <c r="AU681" s="24"/>
      <c r="AV681" s="24"/>
    </row>
    <row r="682">
      <c r="AL682" s="23"/>
      <c r="AU682" s="24"/>
      <c r="AV682" s="24"/>
    </row>
    <row r="683">
      <c r="AL683" s="23"/>
      <c r="AU683" s="24"/>
      <c r="AV683" s="24"/>
    </row>
    <row r="684">
      <c r="AL684" s="23"/>
      <c r="AU684" s="24"/>
      <c r="AV684" s="24"/>
    </row>
    <row r="685">
      <c r="AL685" s="23"/>
      <c r="AU685" s="24"/>
      <c r="AV685" s="24"/>
    </row>
    <row r="686">
      <c r="AL686" s="23"/>
      <c r="AU686" s="24"/>
      <c r="AV686" s="24"/>
    </row>
    <row r="687">
      <c r="AL687" s="23"/>
      <c r="AU687" s="24"/>
      <c r="AV687" s="24"/>
    </row>
    <row r="688">
      <c r="AL688" s="23"/>
      <c r="AU688" s="24"/>
      <c r="AV688" s="24"/>
    </row>
    <row r="689">
      <c r="AL689" s="23"/>
      <c r="AU689" s="24"/>
      <c r="AV689" s="24"/>
    </row>
    <row r="690">
      <c r="AL690" s="23"/>
      <c r="AU690" s="24"/>
      <c r="AV690" s="24"/>
    </row>
    <row r="691">
      <c r="AL691" s="23"/>
      <c r="AU691" s="24"/>
      <c r="AV691" s="24"/>
    </row>
    <row r="692">
      <c r="AL692" s="23"/>
      <c r="AU692" s="24"/>
      <c r="AV692" s="24"/>
    </row>
    <row r="693">
      <c r="AL693" s="23"/>
      <c r="AU693" s="24"/>
      <c r="AV693" s="24"/>
    </row>
    <row r="694">
      <c r="AL694" s="23"/>
      <c r="AU694" s="24"/>
      <c r="AV694" s="24"/>
    </row>
    <row r="695">
      <c r="AL695" s="23"/>
      <c r="AU695" s="24"/>
      <c r="AV695" s="24"/>
    </row>
    <row r="696">
      <c r="AL696" s="23"/>
      <c r="AU696" s="24"/>
      <c r="AV696" s="24"/>
    </row>
    <row r="697">
      <c r="AL697" s="23"/>
      <c r="AU697" s="24"/>
      <c r="AV697" s="24"/>
    </row>
    <row r="698">
      <c r="AL698" s="23"/>
      <c r="AU698" s="24"/>
      <c r="AV698" s="24"/>
    </row>
    <row r="699">
      <c r="AL699" s="23"/>
      <c r="AU699" s="24"/>
      <c r="AV699" s="24"/>
    </row>
    <row r="700">
      <c r="AL700" s="23"/>
      <c r="AU700" s="24"/>
      <c r="AV700" s="24"/>
    </row>
    <row r="701">
      <c r="AL701" s="23"/>
      <c r="AU701" s="24"/>
      <c r="AV701" s="24"/>
    </row>
    <row r="702">
      <c r="AL702" s="23"/>
      <c r="AU702" s="24"/>
      <c r="AV702" s="24"/>
    </row>
    <row r="703">
      <c r="AL703" s="23"/>
      <c r="AU703" s="24"/>
      <c r="AV703" s="24"/>
    </row>
    <row r="704">
      <c r="AL704" s="23"/>
      <c r="AU704" s="24"/>
      <c r="AV704" s="24"/>
    </row>
    <row r="705">
      <c r="AL705" s="23"/>
      <c r="AU705" s="24"/>
      <c r="AV705" s="24"/>
    </row>
    <row r="706">
      <c r="AL706" s="23"/>
      <c r="AU706" s="24"/>
      <c r="AV706" s="24"/>
    </row>
    <row r="707">
      <c r="AL707" s="23"/>
      <c r="AU707" s="24"/>
      <c r="AV707" s="24"/>
    </row>
    <row r="708">
      <c r="AL708" s="23"/>
      <c r="AU708" s="24"/>
      <c r="AV708" s="24"/>
    </row>
    <row r="709">
      <c r="AL709" s="23"/>
      <c r="AU709" s="24"/>
      <c r="AV709" s="24"/>
    </row>
    <row r="710">
      <c r="AL710" s="23"/>
      <c r="AU710" s="24"/>
      <c r="AV710" s="24"/>
    </row>
    <row r="711">
      <c r="AL711" s="23"/>
      <c r="AU711" s="24"/>
      <c r="AV711" s="24"/>
    </row>
    <row r="712">
      <c r="AL712" s="23"/>
      <c r="AU712" s="24"/>
      <c r="AV712" s="24"/>
    </row>
    <row r="713">
      <c r="AL713" s="23"/>
      <c r="AU713" s="24"/>
      <c r="AV713" s="24"/>
    </row>
    <row r="714">
      <c r="AL714" s="23"/>
      <c r="AU714" s="24"/>
      <c r="AV714" s="24"/>
    </row>
    <row r="715">
      <c r="AL715" s="23"/>
      <c r="AU715" s="24"/>
      <c r="AV715" s="24"/>
    </row>
    <row r="716">
      <c r="AL716" s="23"/>
      <c r="AU716" s="24"/>
      <c r="AV716" s="24"/>
    </row>
    <row r="717">
      <c r="AL717" s="23"/>
      <c r="AU717" s="24"/>
      <c r="AV717" s="24"/>
    </row>
    <row r="718">
      <c r="AL718" s="23"/>
      <c r="AU718" s="24"/>
      <c r="AV718" s="24"/>
    </row>
    <row r="719">
      <c r="AL719" s="23"/>
      <c r="AU719" s="24"/>
      <c r="AV719" s="24"/>
    </row>
    <row r="720">
      <c r="AL720" s="23"/>
      <c r="AU720" s="24"/>
      <c r="AV720" s="24"/>
    </row>
    <row r="721">
      <c r="AL721" s="23"/>
      <c r="AU721" s="24"/>
      <c r="AV721" s="24"/>
    </row>
    <row r="722">
      <c r="AL722" s="23"/>
      <c r="AU722" s="24"/>
      <c r="AV722" s="24"/>
    </row>
    <row r="723">
      <c r="AL723" s="23"/>
      <c r="AU723" s="24"/>
      <c r="AV723" s="24"/>
    </row>
    <row r="724">
      <c r="AL724" s="23"/>
      <c r="AU724" s="24"/>
      <c r="AV724" s="24"/>
    </row>
    <row r="725">
      <c r="AL725" s="23"/>
      <c r="AU725" s="24"/>
      <c r="AV725" s="24"/>
    </row>
    <row r="726">
      <c r="AL726" s="23"/>
      <c r="AU726" s="24"/>
      <c r="AV726" s="24"/>
    </row>
    <row r="727">
      <c r="AL727" s="23"/>
      <c r="AU727" s="24"/>
      <c r="AV727" s="24"/>
    </row>
    <row r="728">
      <c r="AL728" s="23"/>
      <c r="AU728" s="24"/>
      <c r="AV728" s="24"/>
    </row>
    <row r="729">
      <c r="AL729" s="23"/>
      <c r="AU729" s="24"/>
      <c r="AV729" s="24"/>
    </row>
    <row r="730">
      <c r="AL730" s="23"/>
      <c r="AU730" s="24"/>
      <c r="AV730" s="24"/>
    </row>
    <row r="731">
      <c r="AL731" s="23"/>
      <c r="AU731" s="24"/>
      <c r="AV731" s="24"/>
    </row>
    <row r="732">
      <c r="AL732" s="23"/>
      <c r="AU732" s="24"/>
      <c r="AV732" s="24"/>
    </row>
    <row r="733">
      <c r="AL733" s="23"/>
      <c r="AU733" s="24"/>
      <c r="AV733" s="24"/>
    </row>
    <row r="734">
      <c r="AL734" s="23"/>
      <c r="AU734" s="24"/>
      <c r="AV734" s="24"/>
    </row>
    <row r="735">
      <c r="AL735" s="23"/>
      <c r="AU735" s="24"/>
      <c r="AV735" s="24"/>
    </row>
    <row r="736">
      <c r="AL736" s="23"/>
      <c r="AU736" s="24"/>
      <c r="AV736" s="24"/>
    </row>
    <row r="737">
      <c r="AL737" s="23"/>
      <c r="AU737" s="24"/>
      <c r="AV737" s="24"/>
    </row>
    <row r="738">
      <c r="AL738" s="23"/>
      <c r="AU738" s="24"/>
      <c r="AV738" s="24"/>
    </row>
    <row r="739">
      <c r="AL739" s="23"/>
      <c r="AU739" s="24"/>
      <c r="AV739" s="24"/>
    </row>
    <row r="740">
      <c r="AL740" s="23"/>
      <c r="AU740" s="24"/>
      <c r="AV740" s="24"/>
    </row>
    <row r="741">
      <c r="AL741" s="23"/>
      <c r="AU741" s="24"/>
      <c r="AV741" s="24"/>
    </row>
    <row r="742">
      <c r="AL742" s="23"/>
      <c r="AU742" s="24"/>
      <c r="AV742" s="24"/>
    </row>
    <row r="743">
      <c r="AL743" s="23"/>
      <c r="AU743" s="24"/>
      <c r="AV743" s="24"/>
    </row>
    <row r="744">
      <c r="AL744" s="23"/>
      <c r="AU744" s="24"/>
      <c r="AV744" s="24"/>
    </row>
    <row r="745">
      <c r="AL745" s="23"/>
      <c r="AU745" s="24"/>
      <c r="AV745" s="24"/>
    </row>
    <row r="746">
      <c r="AL746" s="23"/>
      <c r="AU746" s="24"/>
      <c r="AV746" s="24"/>
    </row>
    <row r="747">
      <c r="AL747" s="23"/>
      <c r="AU747" s="24"/>
      <c r="AV747" s="24"/>
    </row>
    <row r="748">
      <c r="AL748" s="23"/>
      <c r="AU748" s="24"/>
      <c r="AV748" s="24"/>
    </row>
    <row r="749">
      <c r="AL749" s="23"/>
      <c r="AU749" s="24"/>
      <c r="AV749" s="24"/>
    </row>
    <row r="750">
      <c r="AL750" s="23"/>
      <c r="AU750" s="24"/>
      <c r="AV750" s="24"/>
    </row>
    <row r="751">
      <c r="AL751" s="23"/>
      <c r="AU751" s="24"/>
      <c r="AV751" s="24"/>
    </row>
    <row r="752">
      <c r="AL752" s="23"/>
      <c r="AU752" s="24"/>
      <c r="AV752" s="24"/>
    </row>
    <row r="753">
      <c r="AL753" s="23"/>
      <c r="AU753" s="24"/>
      <c r="AV753" s="24"/>
    </row>
    <row r="754">
      <c r="AL754" s="23"/>
      <c r="AU754" s="24"/>
      <c r="AV754" s="24"/>
    </row>
    <row r="755">
      <c r="AL755" s="23"/>
      <c r="AU755" s="24"/>
      <c r="AV755" s="24"/>
    </row>
    <row r="756">
      <c r="AL756" s="23"/>
      <c r="AU756" s="24"/>
      <c r="AV756" s="24"/>
    </row>
    <row r="757">
      <c r="AL757" s="23"/>
      <c r="AU757" s="24"/>
      <c r="AV757" s="24"/>
    </row>
    <row r="758">
      <c r="AL758" s="23"/>
      <c r="AU758" s="24"/>
      <c r="AV758" s="24"/>
    </row>
    <row r="759">
      <c r="AL759" s="23"/>
      <c r="AU759" s="24"/>
      <c r="AV759" s="24"/>
    </row>
    <row r="760">
      <c r="AL760" s="23"/>
      <c r="AU760" s="24"/>
      <c r="AV760" s="24"/>
    </row>
    <row r="761">
      <c r="AL761" s="23"/>
      <c r="AU761" s="24"/>
      <c r="AV761" s="24"/>
    </row>
    <row r="762">
      <c r="AL762" s="23"/>
      <c r="AU762" s="24"/>
      <c r="AV762" s="24"/>
    </row>
    <row r="763">
      <c r="AL763" s="23"/>
      <c r="AU763" s="24"/>
      <c r="AV763" s="24"/>
    </row>
    <row r="764">
      <c r="AL764" s="23"/>
      <c r="AU764" s="24"/>
      <c r="AV764" s="24"/>
    </row>
    <row r="765">
      <c r="AL765" s="23"/>
      <c r="AU765" s="24"/>
      <c r="AV765" s="24"/>
    </row>
    <row r="766">
      <c r="AL766" s="23"/>
      <c r="AU766" s="24"/>
      <c r="AV766" s="24"/>
    </row>
    <row r="767">
      <c r="AL767" s="23"/>
      <c r="AU767" s="24"/>
      <c r="AV767" s="24"/>
    </row>
    <row r="768">
      <c r="AL768" s="23"/>
      <c r="AU768" s="24"/>
      <c r="AV768" s="24"/>
    </row>
    <row r="769">
      <c r="AL769" s="23"/>
      <c r="AU769" s="24"/>
      <c r="AV769" s="24"/>
    </row>
    <row r="770">
      <c r="AL770" s="23"/>
      <c r="AU770" s="24"/>
      <c r="AV770" s="24"/>
    </row>
    <row r="771">
      <c r="AL771" s="23"/>
      <c r="AU771" s="24"/>
      <c r="AV771" s="24"/>
    </row>
    <row r="772">
      <c r="AL772" s="23"/>
      <c r="AU772" s="24"/>
      <c r="AV772" s="24"/>
    </row>
    <row r="773">
      <c r="AL773" s="23"/>
      <c r="AU773" s="24"/>
      <c r="AV773" s="24"/>
    </row>
    <row r="774">
      <c r="AL774" s="23"/>
      <c r="AU774" s="24"/>
      <c r="AV774" s="24"/>
    </row>
    <row r="775">
      <c r="AL775" s="23"/>
      <c r="AU775" s="24"/>
      <c r="AV775" s="24"/>
    </row>
    <row r="776">
      <c r="AL776" s="23"/>
      <c r="AU776" s="24"/>
      <c r="AV776" s="24"/>
    </row>
    <row r="777">
      <c r="AL777" s="23"/>
      <c r="AU777" s="24"/>
      <c r="AV777" s="24"/>
    </row>
    <row r="778">
      <c r="AL778" s="23"/>
      <c r="AU778" s="24"/>
      <c r="AV778" s="24"/>
    </row>
    <row r="779">
      <c r="AL779" s="23"/>
      <c r="AU779" s="24"/>
      <c r="AV779" s="24"/>
    </row>
    <row r="780">
      <c r="AL780" s="23"/>
      <c r="AU780" s="24"/>
      <c r="AV780" s="24"/>
    </row>
    <row r="781">
      <c r="AL781" s="23"/>
      <c r="AU781" s="24"/>
      <c r="AV781" s="24"/>
    </row>
    <row r="782">
      <c r="AL782" s="23"/>
      <c r="AU782" s="24"/>
      <c r="AV782" s="24"/>
    </row>
    <row r="783">
      <c r="AL783" s="23"/>
      <c r="AU783" s="24"/>
      <c r="AV783" s="24"/>
    </row>
    <row r="784">
      <c r="AL784" s="23"/>
      <c r="AU784" s="24"/>
      <c r="AV784" s="24"/>
    </row>
    <row r="785">
      <c r="AL785" s="23"/>
      <c r="AU785" s="24"/>
      <c r="AV785" s="24"/>
    </row>
    <row r="786">
      <c r="AL786" s="23"/>
      <c r="AU786" s="24"/>
      <c r="AV786" s="24"/>
    </row>
    <row r="787">
      <c r="AL787" s="23"/>
      <c r="AU787" s="24"/>
      <c r="AV787" s="24"/>
    </row>
    <row r="788">
      <c r="AL788" s="23"/>
      <c r="AU788" s="24"/>
      <c r="AV788" s="24"/>
    </row>
    <row r="789">
      <c r="AL789" s="23"/>
      <c r="AU789" s="24"/>
      <c r="AV789" s="24"/>
    </row>
    <row r="790">
      <c r="AL790" s="23"/>
      <c r="AU790" s="24"/>
      <c r="AV790" s="24"/>
    </row>
    <row r="791">
      <c r="AL791" s="23"/>
      <c r="AU791" s="24"/>
      <c r="AV791" s="24"/>
    </row>
    <row r="792">
      <c r="AL792" s="23"/>
      <c r="AU792" s="24"/>
      <c r="AV792" s="24"/>
    </row>
    <row r="793">
      <c r="AL793" s="23"/>
      <c r="AU793" s="24"/>
      <c r="AV793" s="24"/>
    </row>
    <row r="794">
      <c r="AL794" s="23"/>
      <c r="AU794" s="24"/>
      <c r="AV794" s="24"/>
    </row>
    <row r="795">
      <c r="AL795" s="23"/>
      <c r="AU795" s="24"/>
      <c r="AV795" s="24"/>
    </row>
    <row r="796">
      <c r="AL796" s="23"/>
      <c r="AU796" s="24"/>
      <c r="AV796" s="24"/>
    </row>
    <row r="797">
      <c r="AL797" s="23"/>
      <c r="AU797" s="24"/>
      <c r="AV797" s="24"/>
    </row>
    <row r="798">
      <c r="AL798" s="23"/>
      <c r="AU798" s="24"/>
      <c r="AV798" s="24"/>
    </row>
    <row r="799">
      <c r="AL799" s="23"/>
      <c r="AU799" s="24"/>
      <c r="AV799" s="24"/>
    </row>
    <row r="800">
      <c r="AL800" s="23"/>
      <c r="AU800" s="24"/>
      <c r="AV800" s="24"/>
    </row>
    <row r="801">
      <c r="AL801" s="23"/>
      <c r="AU801" s="24"/>
      <c r="AV801" s="24"/>
    </row>
    <row r="802">
      <c r="AL802" s="23"/>
      <c r="AU802" s="24"/>
      <c r="AV802" s="24"/>
    </row>
    <row r="803">
      <c r="AL803" s="23"/>
      <c r="AU803" s="24"/>
      <c r="AV803" s="24"/>
    </row>
    <row r="804">
      <c r="AL804" s="23"/>
      <c r="AU804" s="24"/>
      <c r="AV804" s="24"/>
    </row>
    <row r="805">
      <c r="AL805" s="23"/>
      <c r="AU805" s="24"/>
      <c r="AV805" s="24"/>
    </row>
    <row r="806">
      <c r="AL806" s="23"/>
      <c r="AU806" s="24"/>
      <c r="AV806" s="24"/>
    </row>
    <row r="807">
      <c r="AL807" s="23"/>
      <c r="AU807" s="24"/>
      <c r="AV807" s="24"/>
    </row>
    <row r="808">
      <c r="AL808" s="23"/>
      <c r="AU808" s="24"/>
      <c r="AV808" s="24"/>
    </row>
    <row r="809">
      <c r="AL809" s="23"/>
      <c r="AU809" s="24"/>
      <c r="AV809" s="24"/>
    </row>
    <row r="810">
      <c r="AL810" s="23"/>
      <c r="AU810" s="24"/>
      <c r="AV810" s="24"/>
    </row>
    <row r="811">
      <c r="AL811" s="23"/>
      <c r="AU811" s="24"/>
      <c r="AV811" s="24"/>
    </row>
    <row r="812">
      <c r="AL812" s="23"/>
      <c r="AU812" s="24"/>
      <c r="AV812" s="24"/>
    </row>
    <row r="813">
      <c r="AL813" s="23"/>
      <c r="AU813" s="24"/>
      <c r="AV813" s="24"/>
    </row>
    <row r="814">
      <c r="AL814" s="23"/>
      <c r="AU814" s="24"/>
      <c r="AV814" s="24"/>
    </row>
    <row r="815">
      <c r="AL815" s="23"/>
      <c r="AU815" s="24"/>
      <c r="AV815" s="24"/>
    </row>
    <row r="816">
      <c r="AL816" s="23"/>
      <c r="AU816" s="24"/>
      <c r="AV816" s="24"/>
    </row>
    <row r="817">
      <c r="AL817" s="23"/>
      <c r="AU817" s="24"/>
      <c r="AV817" s="24"/>
    </row>
    <row r="818">
      <c r="AL818" s="23"/>
      <c r="AU818" s="24"/>
      <c r="AV818" s="24"/>
    </row>
    <row r="819">
      <c r="AL819" s="23"/>
      <c r="AU819" s="24"/>
      <c r="AV819" s="24"/>
    </row>
    <row r="820">
      <c r="AL820" s="23"/>
      <c r="AU820" s="24"/>
      <c r="AV820" s="24"/>
    </row>
    <row r="821">
      <c r="AL821" s="23"/>
      <c r="AU821" s="24"/>
      <c r="AV821" s="24"/>
    </row>
    <row r="822">
      <c r="AL822" s="23"/>
      <c r="AU822" s="24"/>
      <c r="AV822" s="24"/>
    </row>
    <row r="823">
      <c r="AL823" s="23"/>
      <c r="AU823" s="24"/>
      <c r="AV823" s="24"/>
    </row>
    <row r="824">
      <c r="AL824" s="23"/>
      <c r="AU824" s="24"/>
      <c r="AV824" s="24"/>
    </row>
    <row r="825">
      <c r="AL825" s="23"/>
      <c r="AU825" s="24"/>
      <c r="AV825" s="24"/>
    </row>
    <row r="826">
      <c r="AL826" s="23"/>
      <c r="AU826" s="24"/>
      <c r="AV826" s="24"/>
    </row>
    <row r="827">
      <c r="AL827" s="23"/>
      <c r="AU827" s="24"/>
      <c r="AV827" s="24"/>
    </row>
    <row r="828">
      <c r="AL828" s="23"/>
      <c r="AU828" s="24"/>
      <c r="AV828" s="24"/>
    </row>
    <row r="829">
      <c r="AL829" s="23"/>
      <c r="AU829" s="24"/>
      <c r="AV829" s="24"/>
    </row>
    <row r="830">
      <c r="AL830" s="23"/>
      <c r="AU830" s="24"/>
      <c r="AV830" s="24"/>
    </row>
    <row r="831">
      <c r="AL831" s="23"/>
      <c r="AU831" s="24"/>
      <c r="AV831" s="24"/>
    </row>
    <row r="832">
      <c r="AL832" s="23"/>
      <c r="AU832" s="24"/>
      <c r="AV832" s="24"/>
    </row>
    <row r="833">
      <c r="AL833" s="23"/>
      <c r="AU833" s="24"/>
      <c r="AV833" s="24"/>
    </row>
    <row r="834">
      <c r="AL834" s="23"/>
      <c r="AU834" s="24"/>
      <c r="AV834" s="24"/>
    </row>
    <row r="835">
      <c r="AL835" s="23"/>
      <c r="AU835" s="24"/>
      <c r="AV835" s="24"/>
    </row>
    <row r="836">
      <c r="AL836" s="23"/>
      <c r="AU836" s="24"/>
      <c r="AV836" s="24"/>
    </row>
    <row r="837">
      <c r="AL837" s="23"/>
      <c r="AU837" s="24"/>
      <c r="AV837" s="24"/>
    </row>
    <row r="838">
      <c r="AL838" s="23"/>
      <c r="AU838" s="24"/>
      <c r="AV838" s="24"/>
    </row>
    <row r="839">
      <c r="AL839" s="23"/>
      <c r="AU839" s="24"/>
      <c r="AV839" s="24"/>
    </row>
    <row r="840">
      <c r="AL840" s="23"/>
      <c r="AU840" s="24"/>
      <c r="AV840" s="24"/>
    </row>
    <row r="841">
      <c r="AL841" s="23"/>
      <c r="AU841" s="24"/>
      <c r="AV841" s="24"/>
    </row>
    <row r="842">
      <c r="AL842" s="23"/>
      <c r="AU842" s="24"/>
      <c r="AV842" s="24"/>
    </row>
    <row r="843">
      <c r="AL843" s="23"/>
      <c r="AU843" s="24"/>
      <c r="AV843" s="24"/>
    </row>
    <row r="844">
      <c r="AL844" s="23"/>
      <c r="AU844" s="24"/>
      <c r="AV844" s="24"/>
    </row>
    <row r="845">
      <c r="AL845" s="23"/>
      <c r="AU845" s="24"/>
      <c r="AV845" s="24"/>
    </row>
    <row r="846">
      <c r="AL846" s="23"/>
      <c r="AU846" s="24"/>
      <c r="AV846" s="24"/>
    </row>
    <row r="847">
      <c r="AL847" s="23"/>
      <c r="AU847" s="24"/>
      <c r="AV847" s="24"/>
    </row>
    <row r="848">
      <c r="AL848" s="23"/>
      <c r="AU848" s="24"/>
      <c r="AV848" s="24"/>
    </row>
    <row r="849">
      <c r="AL849" s="23"/>
      <c r="AU849" s="24"/>
      <c r="AV849" s="24"/>
    </row>
    <row r="850">
      <c r="AL850" s="23"/>
      <c r="AU850" s="24"/>
      <c r="AV850" s="24"/>
    </row>
    <row r="851">
      <c r="AL851" s="23"/>
      <c r="AU851" s="24"/>
      <c r="AV851" s="24"/>
    </row>
    <row r="852">
      <c r="AL852" s="23"/>
      <c r="AU852" s="24"/>
      <c r="AV852" s="24"/>
    </row>
    <row r="853">
      <c r="AL853" s="23"/>
      <c r="AU853" s="24"/>
      <c r="AV853" s="24"/>
    </row>
    <row r="854">
      <c r="AL854" s="23"/>
      <c r="AU854" s="24"/>
      <c r="AV854" s="24"/>
    </row>
    <row r="855">
      <c r="AL855" s="23"/>
      <c r="AU855" s="24"/>
      <c r="AV855" s="24"/>
    </row>
    <row r="856">
      <c r="AL856" s="23"/>
      <c r="AU856" s="24"/>
      <c r="AV856" s="24"/>
    </row>
    <row r="857">
      <c r="AL857" s="23"/>
      <c r="AU857" s="24"/>
      <c r="AV857" s="24"/>
    </row>
    <row r="858">
      <c r="AL858" s="23"/>
      <c r="AU858" s="24"/>
      <c r="AV858" s="24"/>
    </row>
    <row r="859">
      <c r="AL859" s="23"/>
      <c r="AU859" s="24"/>
      <c r="AV859" s="24"/>
    </row>
    <row r="860">
      <c r="AL860" s="23"/>
      <c r="AU860" s="24"/>
      <c r="AV860" s="24"/>
    </row>
    <row r="861">
      <c r="AL861" s="23"/>
      <c r="AU861" s="24"/>
      <c r="AV861" s="24"/>
    </row>
    <row r="862">
      <c r="AL862" s="23"/>
      <c r="AU862" s="24"/>
      <c r="AV862" s="24"/>
    </row>
    <row r="863">
      <c r="AL863" s="23"/>
      <c r="AU863" s="24"/>
      <c r="AV863" s="24"/>
    </row>
    <row r="864">
      <c r="AL864" s="23"/>
      <c r="AU864" s="24"/>
      <c r="AV864" s="24"/>
    </row>
    <row r="865">
      <c r="AL865" s="23"/>
      <c r="AU865" s="24"/>
      <c r="AV865" s="24"/>
    </row>
    <row r="866">
      <c r="AL866" s="23"/>
      <c r="AU866" s="24"/>
      <c r="AV866" s="24"/>
    </row>
    <row r="867">
      <c r="AL867" s="23"/>
      <c r="AU867" s="24"/>
      <c r="AV867" s="24"/>
    </row>
    <row r="868">
      <c r="AL868" s="23"/>
      <c r="AU868" s="24"/>
      <c r="AV868" s="24"/>
    </row>
    <row r="869">
      <c r="AL869" s="23"/>
      <c r="AU869" s="24"/>
      <c r="AV869" s="24"/>
    </row>
    <row r="870">
      <c r="AL870" s="23"/>
      <c r="AU870" s="24"/>
      <c r="AV870" s="24"/>
    </row>
    <row r="871">
      <c r="AL871" s="23"/>
      <c r="AU871" s="24"/>
      <c r="AV871" s="24"/>
    </row>
    <row r="872">
      <c r="AL872" s="23"/>
      <c r="AU872" s="24"/>
      <c r="AV872" s="24"/>
    </row>
    <row r="873">
      <c r="AL873" s="23"/>
      <c r="AU873" s="24"/>
      <c r="AV873" s="24"/>
    </row>
    <row r="874">
      <c r="AL874" s="23"/>
      <c r="AU874" s="24"/>
      <c r="AV874" s="24"/>
    </row>
    <row r="875">
      <c r="AL875" s="23"/>
      <c r="AU875" s="24"/>
      <c r="AV875" s="24"/>
    </row>
    <row r="876">
      <c r="AL876" s="23"/>
      <c r="AU876" s="24"/>
      <c r="AV876" s="24"/>
    </row>
    <row r="877">
      <c r="AL877" s="23"/>
      <c r="AU877" s="24"/>
      <c r="AV877" s="24"/>
    </row>
    <row r="878">
      <c r="AL878" s="23"/>
      <c r="AU878" s="24"/>
      <c r="AV878" s="24"/>
    </row>
    <row r="879">
      <c r="AL879" s="23"/>
      <c r="AU879" s="24"/>
      <c r="AV879" s="24"/>
    </row>
    <row r="880">
      <c r="AL880" s="23"/>
      <c r="AU880" s="24"/>
      <c r="AV880" s="24"/>
    </row>
    <row r="881">
      <c r="AL881" s="23"/>
      <c r="AU881" s="24"/>
      <c r="AV881" s="24"/>
    </row>
    <row r="882">
      <c r="AL882" s="23"/>
      <c r="AU882" s="24"/>
      <c r="AV882" s="24"/>
    </row>
    <row r="883">
      <c r="AL883" s="23"/>
      <c r="AU883" s="24"/>
      <c r="AV883" s="24"/>
    </row>
    <row r="884">
      <c r="AL884" s="23"/>
      <c r="AU884" s="24"/>
      <c r="AV884" s="24"/>
    </row>
    <row r="885">
      <c r="AL885" s="23"/>
      <c r="AU885" s="24"/>
      <c r="AV885" s="24"/>
    </row>
    <row r="886">
      <c r="AL886" s="23"/>
      <c r="AU886" s="24"/>
      <c r="AV886" s="24"/>
    </row>
    <row r="887">
      <c r="AL887" s="23"/>
      <c r="AU887" s="24"/>
      <c r="AV887" s="24"/>
    </row>
    <row r="888">
      <c r="AL888" s="23"/>
      <c r="AU888" s="24"/>
      <c r="AV888" s="24"/>
    </row>
    <row r="889">
      <c r="AL889" s="23"/>
      <c r="AU889" s="24"/>
      <c r="AV889" s="24"/>
    </row>
    <row r="890">
      <c r="AL890" s="23"/>
      <c r="AU890" s="24"/>
      <c r="AV890" s="24"/>
    </row>
    <row r="891">
      <c r="AL891" s="23"/>
      <c r="AU891" s="24"/>
      <c r="AV891" s="24"/>
    </row>
    <row r="892">
      <c r="AL892" s="23"/>
      <c r="AU892" s="24"/>
      <c r="AV892" s="24"/>
    </row>
    <row r="893">
      <c r="AL893" s="23"/>
      <c r="AU893" s="24"/>
      <c r="AV893" s="24"/>
    </row>
    <row r="894">
      <c r="AL894" s="23"/>
      <c r="AU894" s="24"/>
      <c r="AV894" s="24"/>
    </row>
    <row r="895">
      <c r="AL895" s="23"/>
      <c r="AU895" s="24"/>
      <c r="AV895" s="24"/>
    </row>
    <row r="896">
      <c r="AL896" s="23"/>
      <c r="AU896" s="24"/>
      <c r="AV896" s="24"/>
    </row>
    <row r="897">
      <c r="AL897" s="23"/>
      <c r="AU897" s="24"/>
      <c r="AV897" s="24"/>
    </row>
    <row r="898">
      <c r="AL898" s="23"/>
      <c r="AU898" s="24"/>
      <c r="AV898" s="24"/>
    </row>
    <row r="899">
      <c r="AL899" s="23"/>
      <c r="AU899" s="24"/>
      <c r="AV899" s="24"/>
    </row>
    <row r="900">
      <c r="AL900" s="23"/>
      <c r="AU900" s="24"/>
      <c r="AV900" s="24"/>
    </row>
    <row r="901">
      <c r="AL901" s="23"/>
      <c r="AU901" s="24"/>
      <c r="AV901" s="24"/>
    </row>
    <row r="902">
      <c r="AL902" s="23"/>
      <c r="AU902" s="24"/>
      <c r="AV902" s="24"/>
    </row>
    <row r="903">
      <c r="AL903" s="23"/>
      <c r="AU903" s="24"/>
      <c r="AV903" s="24"/>
    </row>
    <row r="904">
      <c r="AL904" s="23"/>
      <c r="AU904" s="24"/>
      <c r="AV904" s="24"/>
    </row>
    <row r="905">
      <c r="AL905" s="23"/>
      <c r="AU905" s="24"/>
      <c r="AV905" s="24"/>
    </row>
    <row r="906">
      <c r="AL906" s="23"/>
      <c r="AU906" s="24"/>
      <c r="AV906" s="24"/>
    </row>
    <row r="907">
      <c r="AL907" s="23"/>
      <c r="AU907" s="24"/>
      <c r="AV907" s="24"/>
    </row>
    <row r="908">
      <c r="AL908" s="23"/>
      <c r="AU908" s="24"/>
      <c r="AV908" s="24"/>
    </row>
    <row r="909">
      <c r="AL909" s="23"/>
      <c r="AU909" s="24"/>
      <c r="AV909" s="24"/>
    </row>
    <row r="910">
      <c r="AL910" s="23"/>
      <c r="AU910" s="24"/>
      <c r="AV910" s="24"/>
    </row>
    <row r="911">
      <c r="AL911" s="23"/>
      <c r="AU911" s="24"/>
      <c r="AV911" s="24"/>
    </row>
    <row r="912">
      <c r="AL912" s="23"/>
      <c r="AU912" s="24"/>
      <c r="AV912" s="24"/>
    </row>
    <row r="913">
      <c r="AL913" s="23"/>
      <c r="AU913" s="24"/>
      <c r="AV913" s="24"/>
    </row>
    <row r="914">
      <c r="AL914" s="23"/>
      <c r="AU914" s="24"/>
      <c r="AV914" s="24"/>
    </row>
    <row r="915">
      <c r="AL915" s="23"/>
      <c r="AU915" s="24"/>
      <c r="AV915" s="24"/>
    </row>
    <row r="916">
      <c r="AL916" s="23"/>
      <c r="AU916" s="24"/>
      <c r="AV916" s="24"/>
    </row>
    <row r="917">
      <c r="AL917" s="23"/>
      <c r="AU917" s="24"/>
      <c r="AV917" s="24"/>
    </row>
    <row r="918">
      <c r="AL918" s="23"/>
      <c r="AU918" s="24"/>
      <c r="AV918" s="24"/>
    </row>
    <row r="919">
      <c r="AL919" s="23"/>
      <c r="AU919" s="24"/>
      <c r="AV919" s="24"/>
    </row>
    <row r="920">
      <c r="AL920" s="23"/>
      <c r="AU920" s="24"/>
      <c r="AV920" s="24"/>
    </row>
    <row r="921">
      <c r="AL921" s="23"/>
      <c r="AU921" s="24"/>
      <c r="AV921" s="24"/>
    </row>
    <row r="922">
      <c r="AL922" s="23"/>
      <c r="AU922" s="24"/>
      <c r="AV922" s="24"/>
    </row>
    <row r="923">
      <c r="AL923" s="23"/>
      <c r="AU923" s="24"/>
      <c r="AV923" s="24"/>
    </row>
    <row r="924">
      <c r="AL924" s="23"/>
      <c r="AU924" s="24"/>
      <c r="AV924" s="24"/>
    </row>
    <row r="925">
      <c r="AL925" s="23"/>
      <c r="AU925" s="24"/>
      <c r="AV925" s="24"/>
    </row>
    <row r="926">
      <c r="AL926" s="23"/>
      <c r="AU926" s="24"/>
      <c r="AV926" s="24"/>
    </row>
    <row r="927">
      <c r="AL927" s="23"/>
      <c r="AU927" s="24"/>
      <c r="AV927" s="24"/>
    </row>
    <row r="928">
      <c r="AL928" s="23"/>
      <c r="AU928" s="24"/>
      <c r="AV928" s="24"/>
    </row>
    <row r="929">
      <c r="AL929" s="23"/>
      <c r="AU929" s="24"/>
      <c r="AV929" s="24"/>
    </row>
    <row r="930">
      <c r="AL930" s="23"/>
      <c r="AU930" s="24"/>
      <c r="AV930" s="24"/>
    </row>
    <row r="931">
      <c r="AL931" s="23"/>
      <c r="AU931" s="24"/>
      <c r="AV931" s="24"/>
    </row>
    <row r="932">
      <c r="AL932" s="23"/>
      <c r="AU932" s="24"/>
      <c r="AV932" s="24"/>
    </row>
    <row r="933">
      <c r="AL933" s="23"/>
      <c r="AU933" s="24"/>
      <c r="AV933" s="24"/>
    </row>
    <row r="934">
      <c r="AL934" s="23"/>
      <c r="AU934" s="24"/>
      <c r="AV934" s="24"/>
    </row>
    <row r="935">
      <c r="AL935" s="23"/>
      <c r="AU935" s="24"/>
      <c r="AV935" s="24"/>
    </row>
    <row r="936">
      <c r="AL936" s="23"/>
      <c r="AU936" s="24"/>
      <c r="AV936" s="24"/>
    </row>
    <row r="937">
      <c r="AL937" s="23"/>
      <c r="AU937" s="24"/>
      <c r="AV937" s="24"/>
    </row>
    <row r="938">
      <c r="AL938" s="23"/>
      <c r="AU938" s="24"/>
      <c r="AV938" s="24"/>
    </row>
    <row r="939">
      <c r="AL939" s="23"/>
      <c r="AU939" s="24"/>
      <c r="AV939" s="24"/>
    </row>
    <row r="940">
      <c r="AL940" s="23"/>
      <c r="AU940" s="24"/>
      <c r="AV940" s="24"/>
    </row>
    <row r="941">
      <c r="AL941" s="23"/>
      <c r="AU941" s="24"/>
      <c r="AV941" s="24"/>
    </row>
    <row r="942">
      <c r="AL942" s="23"/>
      <c r="AU942" s="24"/>
      <c r="AV942" s="24"/>
    </row>
    <row r="943">
      <c r="AL943" s="23"/>
      <c r="AU943" s="24"/>
      <c r="AV943" s="24"/>
    </row>
    <row r="944">
      <c r="AL944" s="23"/>
      <c r="AU944" s="24"/>
      <c r="AV944" s="24"/>
    </row>
    <row r="945">
      <c r="AL945" s="23"/>
      <c r="AU945" s="24"/>
      <c r="AV945" s="24"/>
    </row>
    <row r="946">
      <c r="AL946" s="23"/>
      <c r="AU946" s="24"/>
      <c r="AV946" s="24"/>
    </row>
    <row r="947">
      <c r="AL947" s="23"/>
      <c r="AU947" s="24"/>
      <c r="AV947" s="24"/>
    </row>
    <row r="948">
      <c r="AL948" s="23"/>
      <c r="AU948" s="24"/>
      <c r="AV948" s="24"/>
    </row>
    <row r="949">
      <c r="AL949" s="23"/>
      <c r="AU949" s="24"/>
      <c r="AV949" s="24"/>
    </row>
    <row r="950">
      <c r="AL950" s="23"/>
      <c r="AU950" s="24"/>
      <c r="AV950" s="24"/>
    </row>
    <row r="951">
      <c r="AL951" s="23"/>
      <c r="AU951" s="24"/>
      <c r="AV951" s="24"/>
    </row>
    <row r="952">
      <c r="AL952" s="23"/>
      <c r="AU952" s="24"/>
      <c r="AV952" s="24"/>
    </row>
    <row r="953">
      <c r="AL953" s="23"/>
      <c r="AU953" s="24"/>
      <c r="AV953" s="24"/>
    </row>
    <row r="954">
      <c r="AL954" s="23"/>
      <c r="AU954" s="24"/>
      <c r="AV954" s="24"/>
    </row>
    <row r="955">
      <c r="AL955" s="23"/>
      <c r="AU955" s="24"/>
      <c r="AV955" s="24"/>
    </row>
    <row r="956">
      <c r="AL956" s="23"/>
      <c r="AU956" s="24"/>
      <c r="AV956" s="24"/>
    </row>
    <row r="957">
      <c r="AL957" s="23"/>
      <c r="AU957" s="24"/>
      <c r="AV957" s="24"/>
    </row>
    <row r="958">
      <c r="AL958" s="23"/>
      <c r="AU958" s="24"/>
      <c r="AV958" s="24"/>
    </row>
    <row r="959">
      <c r="AL959" s="23"/>
      <c r="AU959" s="24"/>
      <c r="AV959" s="24"/>
    </row>
    <row r="960">
      <c r="AL960" s="23"/>
      <c r="AU960" s="24"/>
      <c r="AV960" s="24"/>
    </row>
    <row r="961">
      <c r="AL961" s="23"/>
      <c r="AU961" s="24"/>
      <c r="AV961" s="24"/>
    </row>
    <row r="962">
      <c r="AL962" s="23"/>
      <c r="AU962" s="24"/>
      <c r="AV962" s="24"/>
    </row>
    <row r="963">
      <c r="AL963" s="23"/>
      <c r="AU963" s="24"/>
      <c r="AV963" s="24"/>
    </row>
    <row r="964">
      <c r="AL964" s="23"/>
      <c r="AU964" s="24"/>
      <c r="AV964" s="24"/>
    </row>
    <row r="965">
      <c r="AL965" s="23"/>
      <c r="AU965" s="24"/>
      <c r="AV965" s="24"/>
    </row>
    <row r="966">
      <c r="AL966" s="23"/>
      <c r="AU966" s="24"/>
      <c r="AV966" s="24"/>
    </row>
    <row r="967">
      <c r="AL967" s="23"/>
      <c r="AU967" s="24"/>
      <c r="AV967" s="24"/>
    </row>
    <row r="968">
      <c r="AL968" s="23"/>
      <c r="AU968" s="24"/>
      <c r="AV968" s="24"/>
    </row>
    <row r="969">
      <c r="AL969" s="23"/>
      <c r="AU969" s="24"/>
      <c r="AV969" s="24"/>
    </row>
    <row r="970">
      <c r="AL970" s="23"/>
      <c r="AU970" s="24"/>
      <c r="AV970" s="24"/>
    </row>
    <row r="971">
      <c r="AL971" s="23"/>
      <c r="AU971" s="24"/>
      <c r="AV971" s="24"/>
    </row>
    <row r="972">
      <c r="AL972" s="23"/>
      <c r="AU972" s="24"/>
      <c r="AV972" s="24"/>
    </row>
    <row r="973">
      <c r="AL973" s="23"/>
      <c r="AU973" s="24"/>
      <c r="AV973" s="24"/>
    </row>
    <row r="974">
      <c r="AL974" s="23"/>
      <c r="AU974" s="24"/>
      <c r="AV974" s="24"/>
    </row>
    <row r="975">
      <c r="AL975" s="23"/>
      <c r="AU975" s="24"/>
      <c r="AV975" s="24"/>
    </row>
    <row r="976">
      <c r="AL976" s="23"/>
      <c r="AU976" s="24"/>
      <c r="AV976" s="24"/>
    </row>
    <row r="977">
      <c r="AL977" s="23"/>
      <c r="AU977" s="24"/>
      <c r="AV977" s="24"/>
    </row>
    <row r="978">
      <c r="AL978" s="23"/>
      <c r="AU978" s="24"/>
      <c r="AV978" s="24"/>
    </row>
    <row r="979">
      <c r="AL979" s="23"/>
      <c r="AU979" s="24"/>
      <c r="AV979" s="24"/>
    </row>
    <row r="980">
      <c r="AL980" s="23"/>
      <c r="AU980" s="24"/>
      <c r="AV980" s="24"/>
    </row>
    <row r="981">
      <c r="AL981" s="23"/>
      <c r="AU981" s="24"/>
      <c r="AV981" s="24"/>
    </row>
    <row r="982">
      <c r="AL982" s="23"/>
      <c r="AU982" s="24"/>
      <c r="AV982" s="24"/>
    </row>
    <row r="983">
      <c r="AL983" s="23"/>
      <c r="AU983" s="24"/>
      <c r="AV983" s="24"/>
    </row>
    <row r="984">
      <c r="AL984" s="23"/>
      <c r="AU984" s="24"/>
      <c r="AV984" s="24"/>
    </row>
    <row r="985">
      <c r="AL985" s="23"/>
      <c r="AU985" s="24"/>
      <c r="AV985" s="24"/>
    </row>
    <row r="986">
      <c r="AL986" s="23"/>
      <c r="AU986" s="24"/>
      <c r="AV986" s="24"/>
    </row>
    <row r="987">
      <c r="AL987" s="23"/>
      <c r="AU987" s="24"/>
      <c r="AV987" s="24"/>
    </row>
    <row r="988">
      <c r="AL988" s="23"/>
      <c r="AU988" s="24"/>
      <c r="AV988" s="24"/>
    </row>
    <row r="989">
      <c r="AL989" s="23"/>
      <c r="AU989" s="24"/>
      <c r="AV989" s="24"/>
    </row>
    <row r="990">
      <c r="AL990" s="23"/>
      <c r="AU990" s="24"/>
      <c r="AV990" s="24"/>
    </row>
    <row r="991">
      <c r="AL991" s="23"/>
      <c r="AU991" s="24"/>
      <c r="AV991" s="24"/>
    </row>
    <row r="992">
      <c r="AL992" s="23"/>
      <c r="AU992" s="24"/>
      <c r="AV992" s="24"/>
    </row>
    <row r="993">
      <c r="AL993" s="23"/>
      <c r="AU993" s="24"/>
      <c r="AV993" s="24"/>
    </row>
    <row r="994">
      <c r="AL994" s="23"/>
      <c r="AU994" s="24"/>
      <c r="AV994" s="24"/>
    </row>
    <row r="995">
      <c r="AL995" s="23"/>
      <c r="AU995" s="24"/>
      <c r="AV995" s="24"/>
    </row>
    <row r="996">
      <c r="AL996" s="23"/>
      <c r="AU996" s="24"/>
      <c r="AV996" s="24"/>
    </row>
    <row r="997">
      <c r="AL997" s="23"/>
      <c r="AU997" s="24"/>
      <c r="AV997" s="24"/>
    </row>
    <row r="998">
      <c r="AL998" s="23"/>
      <c r="AU998" s="24"/>
      <c r="AV998" s="24"/>
    </row>
    <row r="999">
      <c r="AL999" s="23"/>
      <c r="AU999" s="24"/>
      <c r="AV999" s="24"/>
    </row>
    <row r="1000">
      <c r="AL1000" s="23"/>
      <c r="AU1000" s="24"/>
      <c r="AV1000" s="24"/>
    </row>
  </sheetData>
  <conditionalFormatting sqref="C4:P8 S7:AC11 AF7:AM11 AO7:AQ11 AS7:BE11 AN10:AN11 AR10:AR11 AD11:AE11">
    <cfRule type="colorScale" priority="1">
      <colorScale>
        <cfvo type="min"/>
        <cfvo type="max"/>
        <color rgb="FF57BB8A"/>
        <color rgb="FFFFFFFF"/>
      </colorScale>
    </cfRule>
  </conditionalFormatting>
  <drawing r:id="rId8"/>
  <extLst>
    <ext uri="{3A4CF648-6AED-40f4-86FF-DC5316D8AED3}">
      <x14:slicerList>
        <x14:slicer r:id="rId9"/>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3</v>
      </c>
      <c r="B1" s="4" t="s">
        <v>4</v>
      </c>
      <c r="C1" s="4" t="s">
        <v>5</v>
      </c>
      <c r="D1" s="4" t="s">
        <v>6</v>
      </c>
      <c r="E1" s="4" t="s">
        <v>7</v>
      </c>
      <c r="F1" s="4" t="s">
        <v>8</v>
      </c>
      <c r="G1" s="4" t="s">
        <v>9</v>
      </c>
      <c r="H1" s="4" t="s">
        <v>10</v>
      </c>
      <c r="I1" s="5" t="s">
        <v>11</v>
      </c>
      <c r="J1" s="6" t="s">
        <v>13</v>
      </c>
      <c r="K1" s="4" t="s">
        <v>16</v>
      </c>
      <c r="L1" s="4" t="s">
        <v>17</v>
      </c>
      <c r="M1" s="4" t="s">
        <v>18</v>
      </c>
      <c r="N1" s="4" t="s">
        <v>0</v>
      </c>
      <c r="O1" s="4" t="s">
        <v>19</v>
      </c>
      <c r="P1" s="8" t="s">
        <v>20</v>
      </c>
    </row>
    <row r="2">
      <c r="A2" s="11">
        <v>3.8</v>
      </c>
      <c r="B2" s="13">
        <v>56.0</v>
      </c>
      <c r="C2" s="13" t="s">
        <v>21</v>
      </c>
      <c r="D2" s="13" t="s">
        <v>22</v>
      </c>
      <c r="E2" s="13" t="s">
        <v>23</v>
      </c>
      <c r="F2" s="13" t="s">
        <v>24</v>
      </c>
      <c r="G2" s="13" t="s">
        <v>25</v>
      </c>
      <c r="H2" s="13" t="s">
        <v>26</v>
      </c>
      <c r="I2" s="16" t="s">
        <v>27</v>
      </c>
      <c r="J2" s="17">
        <v>1.0</v>
      </c>
      <c r="K2" s="13">
        <v>19.6282</v>
      </c>
      <c r="L2" s="13">
        <v>20.0</v>
      </c>
      <c r="M2" s="13">
        <v>73.55</v>
      </c>
      <c r="N2" s="13">
        <v>88075.0</v>
      </c>
      <c r="O2" s="13" t="b">
        <v>0</v>
      </c>
      <c r="P2" s="18">
        <v>42114.0</v>
      </c>
    </row>
    <row r="3">
      <c r="A3" s="11">
        <v>1.76</v>
      </c>
      <c r="B3" s="13">
        <v>56.0</v>
      </c>
      <c r="C3" s="13" t="s">
        <v>21</v>
      </c>
      <c r="D3" s="13" t="s">
        <v>22</v>
      </c>
      <c r="E3" s="13" t="s">
        <v>23</v>
      </c>
      <c r="F3" s="13" t="s">
        <v>29</v>
      </c>
      <c r="G3" s="13" t="s">
        <v>30</v>
      </c>
      <c r="H3" s="13" t="s">
        <v>26</v>
      </c>
      <c r="I3" s="16" t="s">
        <v>27</v>
      </c>
      <c r="J3" s="17">
        <v>1.0</v>
      </c>
      <c r="K3" s="13">
        <v>-1.6524</v>
      </c>
      <c r="L3" s="13">
        <v>17.0</v>
      </c>
      <c r="M3" s="13">
        <v>29.57</v>
      </c>
      <c r="N3" s="13">
        <v>88075.0</v>
      </c>
      <c r="O3" s="13" t="b">
        <v>0</v>
      </c>
      <c r="P3" s="18">
        <v>42114.0</v>
      </c>
    </row>
    <row r="4">
      <c r="A4" s="11">
        <v>122.99</v>
      </c>
      <c r="B4" s="13">
        <v>68.0</v>
      </c>
      <c r="C4" s="13" t="s">
        <v>36</v>
      </c>
      <c r="D4" s="13" t="s">
        <v>32</v>
      </c>
      <c r="E4" s="13" t="s">
        <v>37</v>
      </c>
      <c r="F4" s="13" t="s">
        <v>38</v>
      </c>
      <c r="G4" s="13" t="s">
        <v>39</v>
      </c>
      <c r="H4" s="13" t="s">
        <v>26</v>
      </c>
      <c r="I4" s="16" t="s">
        <v>27</v>
      </c>
      <c r="J4" s="17">
        <v>1.0</v>
      </c>
      <c r="K4" s="13">
        <v>-2426.55</v>
      </c>
      <c r="L4" s="13">
        <v>49.0</v>
      </c>
      <c r="M4" s="13">
        <v>5718.85</v>
      </c>
      <c r="N4" s="13">
        <v>55713.0</v>
      </c>
      <c r="O4" s="13" t="b">
        <v>0</v>
      </c>
      <c r="P4" s="18">
        <v>42037.0</v>
      </c>
    </row>
    <row r="5">
      <c r="A5" s="11">
        <v>122.99</v>
      </c>
      <c r="B5" s="13">
        <v>70.0</v>
      </c>
      <c r="C5" s="13" t="s">
        <v>40</v>
      </c>
      <c r="D5" s="13" t="s">
        <v>32</v>
      </c>
      <c r="E5" s="13" t="s">
        <v>37</v>
      </c>
      <c r="F5" s="13" t="s">
        <v>38</v>
      </c>
      <c r="G5" s="13" t="s">
        <v>39</v>
      </c>
      <c r="H5" s="13" t="s">
        <v>26</v>
      </c>
      <c r="I5" s="16" t="s">
        <v>27</v>
      </c>
      <c r="J5" s="17">
        <v>1.0</v>
      </c>
      <c r="K5" s="13">
        <v>-2426.55</v>
      </c>
      <c r="L5" s="13">
        <v>12.0</v>
      </c>
      <c r="M5" s="13">
        <v>1400.53</v>
      </c>
      <c r="N5" s="13">
        <v>87947.0</v>
      </c>
      <c r="O5" s="13" t="b">
        <v>0</v>
      </c>
      <c r="P5" s="18">
        <v>42037.0</v>
      </c>
    </row>
    <row r="6">
      <c r="A6" s="11">
        <v>8.09</v>
      </c>
      <c r="B6" s="13">
        <v>84.0</v>
      </c>
      <c r="C6" s="13" t="s">
        <v>41</v>
      </c>
      <c r="D6" s="13" t="s">
        <v>22</v>
      </c>
      <c r="E6" s="13" t="s">
        <v>37</v>
      </c>
      <c r="F6" s="13" t="s">
        <v>42</v>
      </c>
      <c r="G6" s="13" t="s">
        <v>43</v>
      </c>
      <c r="H6" s="13" t="s">
        <v>26</v>
      </c>
      <c r="I6" s="16" t="s">
        <v>27</v>
      </c>
      <c r="J6" s="17">
        <v>1.0</v>
      </c>
      <c r="K6" s="13">
        <v>-144.56</v>
      </c>
      <c r="L6" s="13">
        <v>11.0</v>
      </c>
      <c r="M6" s="13">
        <v>90.98</v>
      </c>
      <c r="N6" s="13">
        <v>87364.0</v>
      </c>
      <c r="O6" s="13" t="b">
        <v>0</v>
      </c>
      <c r="P6" s="18">
        <v>42037.0</v>
      </c>
    </row>
    <row r="7">
      <c r="A7" s="11">
        <v>896.99</v>
      </c>
      <c r="B7" s="13">
        <v>84.0</v>
      </c>
      <c r="C7" s="13" t="s">
        <v>41</v>
      </c>
      <c r="D7" s="13" t="s">
        <v>32</v>
      </c>
      <c r="E7" s="13" t="s">
        <v>23</v>
      </c>
      <c r="F7" s="13" t="s">
        <v>24</v>
      </c>
      <c r="G7" s="13" t="s">
        <v>44</v>
      </c>
      <c r="H7" s="13" t="s">
        <v>26</v>
      </c>
      <c r="I7" s="16" t="s">
        <v>27</v>
      </c>
      <c r="J7" s="17">
        <v>1.0</v>
      </c>
      <c r="K7" s="13">
        <v>7402.32</v>
      </c>
      <c r="L7" s="13">
        <v>13.0</v>
      </c>
      <c r="M7" s="13">
        <v>10728.0</v>
      </c>
      <c r="N7" s="13">
        <v>87366.0</v>
      </c>
      <c r="O7" s="13" t="b">
        <v>0</v>
      </c>
      <c r="P7" s="18">
        <v>42093.0</v>
      </c>
    </row>
    <row r="8">
      <c r="A8" s="11">
        <v>19.98</v>
      </c>
      <c r="B8" s="13">
        <v>101.0</v>
      </c>
      <c r="C8" s="13" t="s">
        <v>45</v>
      </c>
      <c r="D8" s="13" t="s">
        <v>22</v>
      </c>
      <c r="E8" s="13" t="s">
        <v>46</v>
      </c>
      <c r="F8" s="13" t="s">
        <v>47</v>
      </c>
      <c r="G8" s="13" t="s">
        <v>48</v>
      </c>
      <c r="H8" s="13" t="s">
        <v>26</v>
      </c>
      <c r="I8" s="16" t="s">
        <v>27</v>
      </c>
      <c r="J8" s="17">
        <v>1.0</v>
      </c>
      <c r="K8" s="13">
        <v>-16.2</v>
      </c>
      <c r="L8" s="13">
        <v>16.0</v>
      </c>
      <c r="M8" s="13">
        <v>303.59</v>
      </c>
      <c r="N8" s="13">
        <v>88205.0</v>
      </c>
      <c r="O8" s="13" t="b">
        <v>0</v>
      </c>
      <c r="P8" s="18">
        <v>42177.0</v>
      </c>
    </row>
    <row r="9">
      <c r="A9" s="11">
        <v>300.98</v>
      </c>
      <c r="B9" s="13">
        <v>102.0</v>
      </c>
      <c r="C9" s="13" t="s">
        <v>54</v>
      </c>
      <c r="D9" s="13" t="s">
        <v>22</v>
      </c>
      <c r="E9" s="13" t="s">
        <v>37</v>
      </c>
      <c r="F9" s="13" t="s">
        <v>55</v>
      </c>
      <c r="G9" s="13" t="s">
        <v>56</v>
      </c>
      <c r="H9" s="13" t="s">
        <v>26</v>
      </c>
      <c r="I9" s="16" t="s">
        <v>27</v>
      </c>
      <c r="J9" s="17">
        <v>1.0</v>
      </c>
      <c r="K9" s="13">
        <v>2023.75</v>
      </c>
      <c r="L9" s="13">
        <v>31.0</v>
      </c>
      <c r="M9" s="13">
        <v>9459.94</v>
      </c>
      <c r="N9" s="13">
        <v>42599.0</v>
      </c>
      <c r="O9" s="13" t="b">
        <v>0</v>
      </c>
      <c r="P9" s="18">
        <v>42100.0</v>
      </c>
    </row>
    <row r="10">
      <c r="A10" s="11">
        <v>19.98</v>
      </c>
      <c r="B10" s="13">
        <v>102.0</v>
      </c>
      <c r="C10" s="13" t="s">
        <v>54</v>
      </c>
      <c r="D10" s="13" t="s">
        <v>22</v>
      </c>
      <c r="E10" s="13" t="s">
        <v>46</v>
      </c>
      <c r="F10" s="13" t="s">
        <v>47</v>
      </c>
      <c r="G10" s="13" t="s">
        <v>48</v>
      </c>
      <c r="H10" s="13" t="s">
        <v>26</v>
      </c>
      <c r="I10" s="16" t="s">
        <v>27</v>
      </c>
      <c r="J10" s="17">
        <v>1.0</v>
      </c>
      <c r="K10" s="13">
        <v>-20.25</v>
      </c>
      <c r="L10" s="13">
        <v>65.0</v>
      </c>
      <c r="M10" s="13">
        <v>1233.32</v>
      </c>
      <c r="N10" s="13">
        <v>3397.0</v>
      </c>
      <c r="O10" s="13" t="b">
        <v>0</v>
      </c>
      <c r="P10" s="18">
        <v>42177.0</v>
      </c>
    </row>
    <row r="11">
      <c r="A11" s="11">
        <v>2.88</v>
      </c>
      <c r="B11" s="13">
        <v>102.0</v>
      </c>
      <c r="C11" s="13" t="s">
        <v>54</v>
      </c>
      <c r="D11" s="13" t="s">
        <v>22</v>
      </c>
      <c r="E11" s="13" t="s">
        <v>23</v>
      </c>
      <c r="F11" s="13" t="s">
        <v>24</v>
      </c>
      <c r="G11" s="13" t="s">
        <v>62</v>
      </c>
      <c r="H11" s="13" t="s">
        <v>26</v>
      </c>
      <c r="I11" s="16" t="s">
        <v>27</v>
      </c>
      <c r="J11" s="17">
        <v>1.0</v>
      </c>
      <c r="K11" s="13">
        <v>-3.381</v>
      </c>
      <c r="L11" s="13">
        <v>17.0</v>
      </c>
      <c r="M11" s="13">
        <v>47.31</v>
      </c>
      <c r="N11" s="13">
        <v>3397.0</v>
      </c>
      <c r="O11" s="13" t="b">
        <v>0</v>
      </c>
      <c r="P11" s="18">
        <v>42177.0</v>
      </c>
    </row>
    <row r="12">
      <c r="A12" s="11">
        <v>300.98</v>
      </c>
      <c r="B12" s="13">
        <v>107.0</v>
      </c>
      <c r="C12" s="13" t="s">
        <v>64</v>
      </c>
      <c r="D12" s="13" t="s">
        <v>22</v>
      </c>
      <c r="E12" s="13" t="s">
        <v>37</v>
      </c>
      <c r="F12" s="13" t="s">
        <v>55</v>
      </c>
      <c r="G12" s="13" t="s">
        <v>56</v>
      </c>
      <c r="H12" s="13" t="s">
        <v>26</v>
      </c>
      <c r="I12" s="16" t="s">
        <v>27</v>
      </c>
      <c r="J12" s="17">
        <v>1.0</v>
      </c>
      <c r="K12" s="13">
        <v>1684.4763</v>
      </c>
      <c r="L12" s="13">
        <v>8.0</v>
      </c>
      <c r="M12" s="13">
        <v>2441.27</v>
      </c>
      <c r="N12" s="13">
        <v>88204.0</v>
      </c>
      <c r="O12" s="13" t="b">
        <v>0</v>
      </c>
      <c r="P12" s="18">
        <v>42100.0</v>
      </c>
    </row>
    <row r="13">
      <c r="A13" s="11">
        <v>2.88</v>
      </c>
      <c r="B13" s="13">
        <v>109.0</v>
      </c>
      <c r="C13" s="13" t="s">
        <v>69</v>
      </c>
      <c r="D13" s="13" t="s">
        <v>22</v>
      </c>
      <c r="E13" s="13" t="s">
        <v>23</v>
      </c>
      <c r="F13" s="13" t="s">
        <v>24</v>
      </c>
      <c r="G13" s="13" t="s">
        <v>62</v>
      </c>
      <c r="H13" s="13" t="s">
        <v>26</v>
      </c>
      <c r="I13" s="16" t="s">
        <v>27</v>
      </c>
      <c r="J13" s="17">
        <v>1.0</v>
      </c>
      <c r="K13" s="13">
        <v>-2.7048</v>
      </c>
      <c r="L13" s="13">
        <v>4.0</v>
      </c>
      <c r="M13" s="13">
        <v>11.13</v>
      </c>
      <c r="N13" s="13">
        <v>88205.0</v>
      </c>
      <c r="O13" s="13" t="b">
        <v>0</v>
      </c>
      <c r="P13" s="18">
        <v>42177.0</v>
      </c>
    </row>
    <row r="14">
      <c r="A14" s="11">
        <v>154.13</v>
      </c>
      <c r="B14" s="13">
        <v>145.0</v>
      </c>
      <c r="C14" s="13" t="s">
        <v>71</v>
      </c>
      <c r="D14" s="13" t="s">
        <v>51</v>
      </c>
      <c r="E14" s="13" t="s">
        <v>37</v>
      </c>
      <c r="F14" s="13" t="s">
        <v>73</v>
      </c>
      <c r="G14" s="13" t="s">
        <v>74</v>
      </c>
      <c r="H14" s="13" t="s">
        <v>26</v>
      </c>
      <c r="I14" s="16" t="s">
        <v>27</v>
      </c>
      <c r="J14" s="17">
        <v>1.0</v>
      </c>
      <c r="K14" s="13">
        <v>-634.7341</v>
      </c>
      <c r="L14" s="13">
        <v>3.0</v>
      </c>
      <c r="M14" s="13">
        <v>453.62</v>
      </c>
      <c r="N14" s="13">
        <v>91089.0</v>
      </c>
      <c r="O14" s="13" t="b">
        <v>0</v>
      </c>
      <c r="P14" s="18">
        <v>42079.0</v>
      </c>
    </row>
    <row r="15">
      <c r="A15" s="11">
        <v>1.88</v>
      </c>
      <c r="B15" s="13">
        <v>171.0</v>
      </c>
      <c r="C15" s="13" t="s">
        <v>75</v>
      </c>
      <c r="D15" s="13" t="s">
        <v>32</v>
      </c>
      <c r="E15" s="13" t="s">
        <v>23</v>
      </c>
      <c r="F15" s="13" t="s">
        <v>24</v>
      </c>
      <c r="G15" s="13" t="s">
        <v>78</v>
      </c>
      <c r="H15" s="13" t="s">
        <v>26</v>
      </c>
      <c r="I15" s="16" t="s">
        <v>27</v>
      </c>
      <c r="J15" s="17">
        <v>1.0</v>
      </c>
      <c r="K15" s="13">
        <v>-2.9095</v>
      </c>
      <c r="L15" s="13">
        <v>1.0</v>
      </c>
      <c r="M15" s="13">
        <v>3.42</v>
      </c>
      <c r="N15" s="13">
        <v>87464.0</v>
      </c>
      <c r="O15" s="13" t="b">
        <v>0</v>
      </c>
      <c r="P15" s="18">
        <v>42107.0</v>
      </c>
    </row>
    <row r="16">
      <c r="A16" s="11">
        <v>3.26</v>
      </c>
      <c r="B16" s="13">
        <v>344.0</v>
      </c>
      <c r="C16" s="13" t="s">
        <v>79</v>
      </c>
      <c r="D16" s="13" t="s">
        <v>32</v>
      </c>
      <c r="E16" s="13" t="s">
        <v>23</v>
      </c>
      <c r="F16" s="13" t="s">
        <v>29</v>
      </c>
      <c r="G16" s="13" t="s">
        <v>80</v>
      </c>
      <c r="H16" s="13" t="s">
        <v>26</v>
      </c>
      <c r="I16" s="16" t="s">
        <v>27</v>
      </c>
      <c r="J16" s="17">
        <v>1.0</v>
      </c>
      <c r="K16" s="13">
        <v>0.702</v>
      </c>
      <c r="L16" s="13">
        <v>5.0</v>
      </c>
      <c r="M16" s="13">
        <v>18.49</v>
      </c>
      <c r="N16" s="13">
        <v>88152.0</v>
      </c>
      <c r="O16" s="13" t="b">
        <v>0</v>
      </c>
      <c r="P16" s="18">
        <v>42128.0</v>
      </c>
    </row>
    <row r="17">
      <c r="A17" s="11">
        <v>154.13</v>
      </c>
      <c r="B17" s="13">
        <v>397.0</v>
      </c>
      <c r="C17" s="13" t="s">
        <v>83</v>
      </c>
      <c r="D17" s="13" t="s">
        <v>32</v>
      </c>
      <c r="E17" s="13" t="s">
        <v>37</v>
      </c>
      <c r="F17" s="13" t="s">
        <v>73</v>
      </c>
      <c r="G17" s="13" t="s">
        <v>74</v>
      </c>
      <c r="H17" s="13" t="s">
        <v>26</v>
      </c>
      <c r="I17" s="16" t="s">
        <v>27</v>
      </c>
      <c r="J17" s="17">
        <v>1.0</v>
      </c>
      <c r="K17" s="13">
        <v>-372.485971</v>
      </c>
      <c r="L17" s="13">
        <v>8.0</v>
      </c>
      <c r="M17" s="13">
        <v>1216.32</v>
      </c>
      <c r="N17" s="13">
        <v>89319.0</v>
      </c>
      <c r="O17" s="13" t="b">
        <v>0</v>
      </c>
      <c r="P17" s="18">
        <v>42037.0</v>
      </c>
    </row>
    <row r="18">
      <c r="A18" s="11">
        <v>125.99</v>
      </c>
      <c r="B18" s="13">
        <v>437.0</v>
      </c>
      <c r="C18" s="13" t="s">
        <v>84</v>
      </c>
      <c r="D18" s="13" t="s">
        <v>66</v>
      </c>
      <c r="E18" s="13" t="s">
        <v>46</v>
      </c>
      <c r="F18" s="13" t="s">
        <v>85</v>
      </c>
      <c r="G18" s="13" t="s">
        <v>86</v>
      </c>
      <c r="H18" s="13" t="s">
        <v>26</v>
      </c>
      <c r="I18" s="16" t="s">
        <v>27</v>
      </c>
      <c r="J18" s="17">
        <v>1.0</v>
      </c>
      <c r="K18" s="13">
        <v>427.1184</v>
      </c>
      <c r="L18" s="13">
        <v>9.0</v>
      </c>
      <c r="M18" s="13">
        <v>952.26</v>
      </c>
      <c r="N18" s="13">
        <v>90695.0</v>
      </c>
      <c r="O18" s="13" t="b">
        <v>0</v>
      </c>
      <c r="P18" s="18">
        <v>42177.0</v>
      </c>
    </row>
    <row r="19">
      <c r="A19" s="11">
        <v>3.36</v>
      </c>
      <c r="B19" s="13">
        <v>487.0</v>
      </c>
      <c r="C19" s="13" t="s">
        <v>90</v>
      </c>
      <c r="D19" s="13" t="s">
        <v>32</v>
      </c>
      <c r="E19" s="13" t="s">
        <v>23</v>
      </c>
      <c r="F19" s="13" t="s">
        <v>24</v>
      </c>
      <c r="G19" s="13" t="s">
        <v>91</v>
      </c>
      <c r="H19" s="13" t="s">
        <v>26</v>
      </c>
      <c r="I19" s="16" t="s">
        <v>27</v>
      </c>
      <c r="J19" s="17">
        <v>1.0</v>
      </c>
      <c r="K19" s="13">
        <v>-67.0565</v>
      </c>
      <c r="L19" s="13">
        <v>5.0</v>
      </c>
      <c r="M19" s="13">
        <v>20.87</v>
      </c>
      <c r="N19" s="13">
        <v>91063.0</v>
      </c>
      <c r="O19" s="13" t="b">
        <v>0</v>
      </c>
      <c r="P19" s="18">
        <v>42142.0</v>
      </c>
    </row>
    <row r="20">
      <c r="A20" s="11">
        <v>12.28</v>
      </c>
      <c r="B20" s="13">
        <v>488.0</v>
      </c>
      <c r="C20" s="13" t="s">
        <v>92</v>
      </c>
      <c r="D20" s="13" t="s">
        <v>32</v>
      </c>
      <c r="E20" s="13" t="s">
        <v>23</v>
      </c>
      <c r="F20" s="13" t="s">
        <v>93</v>
      </c>
      <c r="G20" s="13" t="s">
        <v>94</v>
      </c>
      <c r="H20" s="13" t="s">
        <v>26</v>
      </c>
      <c r="I20" s="16" t="s">
        <v>27</v>
      </c>
      <c r="J20" s="17">
        <v>1.0</v>
      </c>
      <c r="K20" s="13">
        <v>-7.94</v>
      </c>
      <c r="L20" s="13">
        <v>2.0</v>
      </c>
      <c r="M20" s="13">
        <v>25.7</v>
      </c>
      <c r="N20" s="13">
        <v>91063.0</v>
      </c>
      <c r="O20" s="13" t="b">
        <v>0</v>
      </c>
      <c r="P20" s="18">
        <v>42142.0</v>
      </c>
    </row>
    <row r="21">
      <c r="A21" s="11">
        <v>20.99</v>
      </c>
      <c r="B21" s="13">
        <v>489.0</v>
      </c>
      <c r="C21" s="13" t="s">
        <v>96</v>
      </c>
      <c r="D21" s="13" t="s">
        <v>32</v>
      </c>
      <c r="E21" s="13" t="s">
        <v>46</v>
      </c>
      <c r="F21" s="13" t="s">
        <v>85</v>
      </c>
      <c r="G21" s="13" t="s">
        <v>97</v>
      </c>
      <c r="H21" s="13" t="s">
        <v>26</v>
      </c>
      <c r="I21" s="16" t="s">
        <v>27</v>
      </c>
      <c r="J21" s="17">
        <v>1.0</v>
      </c>
      <c r="K21" s="13">
        <v>122.292</v>
      </c>
      <c r="L21" s="13">
        <v>14.0</v>
      </c>
      <c r="M21" s="13">
        <v>229.57</v>
      </c>
      <c r="N21" s="13">
        <v>91063.0</v>
      </c>
      <c r="O21" s="13" t="b">
        <v>0</v>
      </c>
      <c r="P21" s="18">
        <v>42142.0</v>
      </c>
    </row>
    <row r="22">
      <c r="A22" s="11">
        <v>18.97</v>
      </c>
      <c r="B22" s="13">
        <v>657.0</v>
      </c>
      <c r="C22" s="13" t="s">
        <v>98</v>
      </c>
      <c r="D22" s="13" t="s">
        <v>22</v>
      </c>
      <c r="E22" s="13" t="s">
        <v>23</v>
      </c>
      <c r="F22" s="13" t="s">
        <v>93</v>
      </c>
      <c r="G22" s="13" t="s">
        <v>99</v>
      </c>
      <c r="H22" s="13" t="s">
        <v>26</v>
      </c>
      <c r="I22" s="16" t="s">
        <v>27</v>
      </c>
      <c r="J22" s="17">
        <v>1.0</v>
      </c>
      <c r="K22" s="13">
        <v>-24.2048</v>
      </c>
      <c r="L22" s="13">
        <v>1.0</v>
      </c>
      <c r="M22" s="13">
        <v>19.73</v>
      </c>
      <c r="N22" s="13">
        <v>91212.0</v>
      </c>
      <c r="O22" s="13" t="b">
        <v>0</v>
      </c>
      <c r="P22" s="18">
        <v>42023.0</v>
      </c>
    </row>
    <row r="23">
      <c r="A23" s="11">
        <v>119.99</v>
      </c>
      <c r="B23" s="13">
        <v>659.0</v>
      </c>
      <c r="C23" s="13" t="s">
        <v>102</v>
      </c>
      <c r="D23" s="13" t="s">
        <v>22</v>
      </c>
      <c r="E23" s="13" t="s">
        <v>46</v>
      </c>
      <c r="F23" s="13" t="s">
        <v>103</v>
      </c>
      <c r="G23" s="13" t="s">
        <v>104</v>
      </c>
      <c r="H23" s="13" t="s">
        <v>26</v>
      </c>
      <c r="I23" s="16" t="s">
        <v>27</v>
      </c>
      <c r="J23" s="17">
        <v>1.0</v>
      </c>
      <c r="K23" s="13">
        <v>-126.05778</v>
      </c>
      <c r="L23" s="13">
        <v>5.0</v>
      </c>
      <c r="M23" s="13">
        <v>615.54</v>
      </c>
      <c r="N23" s="13">
        <v>91212.0</v>
      </c>
      <c r="O23" s="13" t="b">
        <v>0</v>
      </c>
      <c r="P23" s="18">
        <v>42023.0</v>
      </c>
    </row>
    <row r="24">
      <c r="A24" s="11">
        <v>350.98</v>
      </c>
      <c r="B24" s="13">
        <v>736.0</v>
      </c>
      <c r="C24" s="13" t="s">
        <v>105</v>
      </c>
      <c r="D24" s="13" t="s">
        <v>22</v>
      </c>
      <c r="E24" s="13" t="s">
        <v>37</v>
      </c>
      <c r="F24" s="13" t="s">
        <v>38</v>
      </c>
      <c r="G24" s="13" t="s">
        <v>106</v>
      </c>
      <c r="H24" s="13" t="s">
        <v>26</v>
      </c>
      <c r="I24" s="16" t="s">
        <v>27</v>
      </c>
      <c r="J24" s="17">
        <v>1.0</v>
      </c>
      <c r="K24" s="13">
        <v>797.856</v>
      </c>
      <c r="L24" s="13">
        <v>6.0</v>
      </c>
      <c r="M24" s="13">
        <v>2016.32</v>
      </c>
      <c r="N24" s="13">
        <v>90361.0</v>
      </c>
      <c r="O24" s="13" t="b">
        <v>0</v>
      </c>
      <c r="P24" s="18">
        <v>42170.0</v>
      </c>
    </row>
    <row r="25">
      <c r="A25" s="11">
        <v>70.98</v>
      </c>
      <c r="B25" s="13">
        <v>738.0</v>
      </c>
      <c r="C25" s="13" t="s">
        <v>108</v>
      </c>
      <c r="D25" s="13" t="s">
        <v>22</v>
      </c>
      <c r="E25" s="13" t="s">
        <v>37</v>
      </c>
      <c r="F25" s="13" t="s">
        <v>55</v>
      </c>
      <c r="G25" s="13" t="s">
        <v>109</v>
      </c>
      <c r="H25" s="13" t="s">
        <v>26</v>
      </c>
      <c r="I25" s="16" t="s">
        <v>27</v>
      </c>
      <c r="J25" s="17">
        <v>1.0</v>
      </c>
      <c r="K25" s="13">
        <v>-178.216</v>
      </c>
      <c r="L25" s="13">
        <v>4.0</v>
      </c>
      <c r="M25" s="13">
        <v>313.63</v>
      </c>
      <c r="N25" s="13">
        <v>90361.0</v>
      </c>
      <c r="O25" s="13" t="b">
        <v>0</v>
      </c>
      <c r="P25" s="18">
        <v>42170.0</v>
      </c>
    </row>
    <row r="26">
      <c r="A26" s="11">
        <v>27.48</v>
      </c>
      <c r="B26" s="13">
        <v>741.0</v>
      </c>
      <c r="C26" s="13" t="s">
        <v>110</v>
      </c>
      <c r="D26" s="13" t="s">
        <v>22</v>
      </c>
      <c r="E26" s="13" t="s">
        <v>46</v>
      </c>
      <c r="F26" s="13" t="s">
        <v>47</v>
      </c>
      <c r="G26" s="13" t="s">
        <v>111</v>
      </c>
      <c r="H26" s="13" t="s">
        <v>26</v>
      </c>
      <c r="I26" s="16" t="s">
        <v>27</v>
      </c>
      <c r="J26" s="17">
        <v>1.0</v>
      </c>
      <c r="K26" s="13">
        <v>-26.656</v>
      </c>
      <c r="L26" s="13">
        <v>15.0</v>
      </c>
      <c r="M26" s="13">
        <v>397.17</v>
      </c>
      <c r="N26" s="13">
        <v>90361.0</v>
      </c>
      <c r="O26" s="13" t="b">
        <v>0</v>
      </c>
      <c r="P26" s="18">
        <v>42170.0</v>
      </c>
    </row>
    <row r="27">
      <c r="A27" s="11">
        <v>1.14</v>
      </c>
      <c r="B27" s="13">
        <v>894.0</v>
      </c>
      <c r="C27" s="13" t="s">
        <v>112</v>
      </c>
      <c r="D27" s="13" t="s">
        <v>32</v>
      </c>
      <c r="E27" s="13" t="s">
        <v>23</v>
      </c>
      <c r="F27" s="13" t="s">
        <v>81</v>
      </c>
      <c r="G27" s="13" t="s">
        <v>114</v>
      </c>
      <c r="H27" s="13" t="s">
        <v>26</v>
      </c>
      <c r="I27" s="16" t="s">
        <v>27</v>
      </c>
      <c r="J27" s="17">
        <v>1.0</v>
      </c>
      <c r="K27" s="13">
        <v>-0.49</v>
      </c>
      <c r="L27" s="13">
        <v>38.0</v>
      </c>
      <c r="M27" s="13">
        <v>44.85</v>
      </c>
      <c r="N27" s="13">
        <v>38529.0</v>
      </c>
      <c r="O27" s="13" t="b">
        <v>0</v>
      </c>
      <c r="P27" s="18">
        <v>42037.0</v>
      </c>
    </row>
    <row r="28">
      <c r="A28" s="11">
        <v>90.97</v>
      </c>
      <c r="B28" s="13">
        <v>898.0</v>
      </c>
      <c r="C28" s="13" t="s">
        <v>116</v>
      </c>
      <c r="D28" s="13" t="s">
        <v>66</v>
      </c>
      <c r="E28" s="13" t="s">
        <v>46</v>
      </c>
      <c r="F28" s="13" t="s">
        <v>103</v>
      </c>
      <c r="G28" s="13" t="s">
        <v>117</v>
      </c>
      <c r="H28" s="13" t="s">
        <v>26</v>
      </c>
      <c r="I28" s="16" t="s">
        <v>27</v>
      </c>
      <c r="J28" s="17">
        <v>1.0</v>
      </c>
      <c r="K28" s="13">
        <v>-173.0952</v>
      </c>
      <c r="L28" s="13">
        <v>6.0</v>
      </c>
      <c r="M28" s="13">
        <v>573.31</v>
      </c>
      <c r="N28" s="13">
        <v>33635.0</v>
      </c>
      <c r="O28" s="13" t="b">
        <v>0</v>
      </c>
      <c r="P28" s="18">
        <v>42016.0</v>
      </c>
    </row>
    <row r="29">
      <c r="A29" s="11">
        <v>20.34</v>
      </c>
      <c r="B29" s="13">
        <v>898.0</v>
      </c>
      <c r="C29" s="13" t="s">
        <v>116</v>
      </c>
      <c r="D29" s="13" t="s">
        <v>66</v>
      </c>
      <c r="E29" s="13" t="s">
        <v>23</v>
      </c>
      <c r="F29" s="13" t="s">
        <v>120</v>
      </c>
      <c r="G29" s="13" t="s">
        <v>121</v>
      </c>
      <c r="H29" s="13" t="s">
        <v>26</v>
      </c>
      <c r="I29" s="16" t="s">
        <v>27</v>
      </c>
      <c r="J29" s="17">
        <v>1.0</v>
      </c>
      <c r="K29" s="13">
        <v>-96.16</v>
      </c>
      <c r="L29" s="13">
        <v>5.0</v>
      </c>
      <c r="M29" s="13">
        <v>140.23</v>
      </c>
      <c r="N29" s="13">
        <v>33635.0</v>
      </c>
      <c r="O29" s="13" t="b">
        <v>0</v>
      </c>
      <c r="P29" s="18">
        <v>42016.0</v>
      </c>
    </row>
    <row r="30">
      <c r="A30" s="11">
        <v>90.97</v>
      </c>
      <c r="B30" s="13">
        <v>899.0</v>
      </c>
      <c r="C30" s="13" t="s">
        <v>122</v>
      </c>
      <c r="D30" s="13" t="s">
        <v>66</v>
      </c>
      <c r="E30" s="13" t="s">
        <v>46</v>
      </c>
      <c r="F30" s="13" t="s">
        <v>103</v>
      </c>
      <c r="G30" s="13" t="s">
        <v>117</v>
      </c>
      <c r="H30" s="13" t="s">
        <v>26</v>
      </c>
      <c r="I30" s="16" t="s">
        <v>27</v>
      </c>
      <c r="J30" s="17">
        <v>1.0</v>
      </c>
      <c r="K30" s="13">
        <v>-173.0952</v>
      </c>
      <c r="L30" s="13">
        <v>2.0</v>
      </c>
      <c r="M30" s="13">
        <v>191.1</v>
      </c>
      <c r="N30" s="13">
        <v>86263.0</v>
      </c>
      <c r="O30" s="13" t="b">
        <v>0</v>
      </c>
      <c r="P30" s="18">
        <v>42016.0</v>
      </c>
    </row>
    <row r="31">
      <c r="A31" s="11">
        <v>20.34</v>
      </c>
      <c r="B31" s="13">
        <v>899.0</v>
      </c>
      <c r="C31" s="13" t="s">
        <v>122</v>
      </c>
      <c r="D31" s="13" t="s">
        <v>66</v>
      </c>
      <c r="E31" s="13" t="s">
        <v>23</v>
      </c>
      <c r="F31" s="13" t="s">
        <v>120</v>
      </c>
      <c r="G31" s="13" t="s">
        <v>121</v>
      </c>
      <c r="H31" s="13" t="s">
        <v>26</v>
      </c>
      <c r="I31" s="16" t="s">
        <v>27</v>
      </c>
      <c r="J31" s="17">
        <v>1.0</v>
      </c>
      <c r="K31" s="13">
        <v>-96.16</v>
      </c>
      <c r="L31" s="13">
        <v>1.0</v>
      </c>
      <c r="M31" s="13">
        <v>28.05</v>
      </c>
      <c r="N31" s="13">
        <v>86263.0</v>
      </c>
      <c r="O31" s="13" t="b">
        <v>0</v>
      </c>
      <c r="P31" s="18">
        <v>42016.0</v>
      </c>
    </row>
    <row r="32">
      <c r="A32" s="11">
        <v>2.18</v>
      </c>
      <c r="B32" s="13">
        <v>925.0</v>
      </c>
      <c r="C32" s="13" t="s">
        <v>124</v>
      </c>
      <c r="D32" s="13" t="s">
        <v>66</v>
      </c>
      <c r="E32" s="13" t="s">
        <v>23</v>
      </c>
      <c r="F32" s="13" t="s">
        <v>81</v>
      </c>
      <c r="G32" s="13" t="s">
        <v>125</v>
      </c>
      <c r="H32" s="13" t="s">
        <v>26</v>
      </c>
      <c r="I32" s="16" t="s">
        <v>27</v>
      </c>
      <c r="J32" s="17">
        <v>1.0</v>
      </c>
      <c r="K32" s="13">
        <v>-7.04</v>
      </c>
      <c r="L32" s="13">
        <v>7.0</v>
      </c>
      <c r="M32" s="13">
        <v>15.73</v>
      </c>
      <c r="N32" s="13">
        <v>87134.0</v>
      </c>
      <c r="O32" s="13" t="b">
        <v>0</v>
      </c>
      <c r="P32" s="18">
        <v>42100.0</v>
      </c>
    </row>
    <row r="33">
      <c r="A33" s="11">
        <v>170.98</v>
      </c>
      <c r="B33" s="13">
        <v>929.0</v>
      </c>
      <c r="C33" s="13" t="s">
        <v>127</v>
      </c>
      <c r="D33" s="13" t="s">
        <v>66</v>
      </c>
      <c r="E33" s="13" t="s">
        <v>37</v>
      </c>
      <c r="F33" s="13" t="s">
        <v>55</v>
      </c>
      <c r="G33" s="13" t="s">
        <v>128</v>
      </c>
      <c r="H33" s="13" t="s">
        <v>26</v>
      </c>
      <c r="I33" s="16" t="s">
        <v>27</v>
      </c>
      <c r="J33" s="17">
        <v>1.0</v>
      </c>
      <c r="K33" s="13">
        <v>538.52</v>
      </c>
      <c r="L33" s="13">
        <v>10.0</v>
      </c>
      <c r="M33" s="13">
        <v>1719.07</v>
      </c>
      <c r="N33" s="13">
        <v>87134.0</v>
      </c>
      <c r="O33" s="13" t="b">
        <v>0</v>
      </c>
      <c r="P33" s="18">
        <v>42100.0</v>
      </c>
    </row>
    <row r="34">
      <c r="A34" s="11">
        <v>3.15</v>
      </c>
      <c r="B34" s="13">
        <v>1008.0</v>
      </c>
      <c r="C34" s="13" t="s">
        <v>129</v>
      </c>
      <c r="D34" s="13" t="s">
        <v>51</v>
      </c>
      <c r="E34" s="13" t="s">
        <v>23</v>
      </c>
      <c r="F34" s="13" t="s">
        <v>130</v>
      </c>
      <c r="G34" s="13" t="s">
        <v>131</v>
      </c>
      <c r="H34" s="13" t="s">
        <v>26</v>
      </c>
      <c r="I34" s="16" t="s">
        <v>27</v>
      </c>
      <c r="J34" s="17">
        <v>1.0</v>
      </c>
      <c r="K34" s="13">
        <v>17.5053</v>
      </c>
      <c r="L34" s="13">
        <v>8.0</v>
      </c>
      <c r="M34" s="13">
        <v>25.37</v>
      </c>
      <c r="N34" s="13">
        <v>88371.0</v>
      </c>
      <c r="O34" s="13" t="b">
        <v>0</v>
      </c>
      <c r="P34" s="18">
        <v>42149.0</v>
      </c>
    </row>
    <row r="35">
      <c r="A35" s="11">
        <v>7.64</v>
      </c>
      <c r="B35" s="13">
        <v>1085.0</v>
      </c>
      <c r="C35" s="13" t="s">
        <v>132</v>
      </c>
      <c r="D35" s="13" t="s">
        <v>51</v>
      </c>
      <c r="E35" s="13" t="s">
        <v>23</v>
      </c>
      <c r="F35" s="13" t="s">
        <v>93</v>
      </c>
      <c r="G35" s="13" t="s">
        <v>133</v>
      </c>
      <c r="H35" s="13" t="s">
        <v>26</v>
      </c>
      <c r="I35" s="16" t="s">
        <v>27</v>
      </c>
      <c r="J35" s="17">
        <v>1.0</v>
      </c>
      <c r="K35" s="13">
        <v>-40.2752</v>
      </c>
      <c r="L35" s="13">
        <v>6.0</v>
      </c>
      <c r="M35" s="13">
        <v>47.18</v>
      </c>
      <c r="N35" s="13">
        <v>86122.0</v>
      </c>
      <c r="O35" s="13" t="b">
        <v>0</v>
      </c>
      <c r="P35" s="18">
        <v>42009.0</v>
      </c>
    </row>
    <row r="36">
      <c r="A36" s="11">
        <v>8.6</v>
      </c>
      <c r="B36" s="13">
        <v>1129.0</v>
      </c>
      <c r="C36" s="13" t="s">
        <v>134</v>
      </c>
      <c r="D36" s="13" t="s">
        <v>51</v>
      </c>
      <c r="E36" s="13" t="s">
        <v>23</v>
      </c>
      <c r="F36" s="13" t="s">
        <v>24</v>
      </c>
      <c r="G36" s="13" t="s">
        <v>135</v>
      </c>
      <c r="H36" s="13" t="s">
        <v>26</v>
      </c>
      <c r="I36" s="16" t="s">
        <v>27</v>
      </c>
      <c r="J36" s="17">
        <v>1.0</v>
      </c>
      <c r="K36" s="13">
        <v>-63.8135</v>
      </c>
      <c r="L36" s="13">
        <v>37.0</v>
      </c>
      <c r="M36" s="13">
        <v>311.66</v>
      </c>
      <c r="N36" s="13">
        <v>32037.0</v>
      </c>
      <c r="O36" s="13" t="b">
        <v>0</v>
      </c>
      <c r="P36" s="18">
        <v>42051.0</v>
      </c>
    </row>
    <row r="37">
      <c r="A37" s="11">
        <v>699.99</v>
      </c>
      <c r="B37" s="13">
        <v>1129.0</v>
      </c>
      <c r="C37" s="13" t="s">
        <v>134</v>
      </c>
      <c r="D37" s="13" t="s">
        <v>51</v>
      </c>
      <c r="E37" s="13" t="s">
        <v>46</v>
      </c>
      <c r="F37" s="13" t="s">
        <v>138</v>
      </c>
      <c r="G37" s="13" t="s">
        <v>139</v>
      </c>
      <c r="H37" s="13" t="s">
        <v>26</v>
      </c>
      <c r="I37" s="16" t="s">
        <v>27</v>
      </c>
      <c r="J37" s="17">
        <v>1.0</v>
      </c>
      <c r="K37" s="13">
        <v>325.29</v>
      </c>
      <c r="L37" s="13">
        <v>15.0</v>
      </c>
      <c r="M37" s="13">
        <v>9862.51</v>
      </c>
      <c r="N37" s="13">
        <v>32037.0</v>
      </c>
      <c r="O37" s="13" t="b">
        <v>0</v>
      </c>
      <c r="P37" s="18">
        <v>42051.0</v>
      </c>
    </row>
    <row r="38">
      <c r="A38" s="11">
        <v>4.98</v>
      </c>
      <c r="B38" s="13">
        <v>1129.0</v>
      </c>
      <c r="C38" s="13" t="s">
        <v>134</v>
      </c>
      <c r="D38" s="13" t="s">
        <v>51</v>
      </c>
      <c r="E38" s="13" t="s">
        <v>23</v>
      </c>
      <c r="F38" s="13" t="s">
        <v>93</v>
      </c>
      <c r="G38" s="13" t="s">
        <v>140</v>
      </c>
      <c r="H38" s="13" t="s">
        <v>26</v>
      </c>
      <c r="I38" s="16" t="s">
        <v>27</v>
      </c>
      <c r="J38" s="17">
        <v>1.0</v>
      </c>
      <c r="K38" s="13">
        <v>-46.92</v>
      </c>
      <c r="L38" s="13">
        <v>19.0</v>
      </c>
      <c r="M38" s="13">
        <v>105.5</v>
      </c>
      <c r="N38" s="13">
        <v>57794.0</v>
      </c>
      <c r="O38" s="13" t="b">
        <v>0</v>
      </c>
      <c r="P38" s="18">
        <v>42030.0</v>
      </c>
    </row>
    <row r="39">
      <c r="A39" s="11">
        <v>7.1</v>
      </c>
      <c r="B39" s="13">
        <v>1228.0</v>
      </c>
      <c r="C39" s="13" t="s">
        <v>142</v>
      </c>
      <c r="D39" s="13" t="s">
        <v>66</v>
      </c>
      <c r="E39" s="13" t="s">
        <v>23</v>
      </c>
      <c r="F39" s="13" t="s">
        <v>24</v>
      </c>
      <c r="G39" s="13" t="s">
        <v>143</v>
      </c>
      <c r="H39" s="13" t="s">
        <v>26</v>
      </c>
      <c r="I39" s="16" t="s">
        <v>27</v>
      </c>
      <c r="J39" s="17">
        <v>1.0</v>
      </c>
      <c r="K39" s="13">
        <v>-60.145</v>
      </c>
      <c r="L39" s="13">
        <v>28.0</v>
      </c>
      <c r="M39" s="13">
        <v>208.83</v>
      </c>
      <c r="N39" s="13">
        <v>55874.0</v>
      </c>
      <c r="O39" s="13" t="b">
        <v>1</v>
      </c>
      <c r="P39" s="18">
        <v>42051.0</v>
      </c>
    </row>
    <row r="40">
      <c r="A40" s="11">
        <v>4.98</v>
      </c>
      <c r="B40" s="13">
        <v>1228.0</v>
      </c>
      <c r="C40" s="13" t="s">
        <v>142</v>
      </c>
      <c r="D40" s="13" t="s">
        <v>66</v>
      </c>
      <c r="E40" s="13" t="s">
        <v>46</v>
      </c>
      <c r="F40" s="13" t="s">
        <v>47</v>
      </c>
      <c r="G40" s="13" t="s">
        <v>144</v>
      </c>
      <c r="H40" s="13" t="s">
        <v>26</v>
      </c>
      <c r="I40" s="16" t="s">
        <v>27</v>
      </c>
      <c r="J40" s="17">
        <v>1.0</v>
      </c>
      <c r="K40" s="13">
        <v>-111.72</v>
      </c>
      <c r="L40" s="13">
        <v>41.0</v>
      </c>
      <c r="M40" s="13">
        <v>228.3</v>
      </c>
      <c r="N40" s="13">
        <v>55874.0</v>
      </c>
      <c r="O40" s="13" t="b">
        <v>1</v>
      </c>
      <c r="P40" s="18">
        <v>42051.0</v>
      </c>
    </row>
    <row r="41">
      <c r="A41" s="11">
        <v>5.68</v>
      </c>
      <c r="B41" s="13">
        <v>1228.0</v>
      </c>
      <c r="C41" s="13" t="s">
        <v>142</v>
      </c>
      <c r="D41" s="13" t="s">
        <v>66</v>
      </c>
      <c r="E41" s="13" t="s">
        <v>23</v>
      </c>
      <c r="F41" s="13" t="s">
        <v>88</v>
      </c>
      <c r="G41" s="13" t="s">
        <v>145</v>
      </c>
      <c r="H41" s="13" t="s">
        <v>26</v>
      </c>
      <c r="I41" s="16" t="s">
        <v>27</v>
      </c>
      <c r="J41" s="17">
        <v>1.0</v>
      </c>
      <c r="K41" s="13">
        <v>33.01</v>
      </c>
      <c r="L41" s="13">
        <v>24.0</v>
      </c>
      <c r="M41" s="13">
        <v>129.53</v>
      </c>
      <c r="N41" s="13">
        <v>55874.0</v>
      </c>
      <c r="O41" s="13" t="b">
        <v>1</v>
      </c>
      <c r="P41" s="18">
        <v>42051.0</v>
      </c>
    </row>
    <row r="42">
      <c r="A42" s="11">
        <v>16.48</v>
      </c>
      <c r="B42" s="13">
        <v>1413.0</v>
      </c>
      <c r="C42" s="13" t="s">
        <v>147</v>
      </c>
      <c r="D42" s="13" t="s">
        <v>32</v>
      </c>
      <c r="E42" s="13" t="s">
        <v>46</v>
      </c>
      <c r="F42" s="13" t="s">
        <v>47</v>
      </c>
      <c r="G42" s="13" t="s">
        <v>148</v>
      </c>
      <c r="H42" s="13" t="s">
        <v>26</v>
      </c>
      <c r="I42" s="16" t="s">
        <v>27</v>
      </c>
      <c r="J42" s="17">
        <v>1.0</v>
      </c>
      <c r="K42" s="13">
        <v>69.61</v>
      </c>
      <c r="L42" s="13">
        <v>27.0</v>
      </c>
      <c r="M42" s="13">
        <v>484.56</v>
      </c>
      <c r="N42" s="13">
        <v>45539.0</v>
      </c>
      <c r="O42" s="13" t="b">
        <v>0</v>
      </c>
      <c r="P42" s="18">
        <v>42037.0</v>
      </c>
    </row>
    <row r="43">
      <c r="A43" s="11">
        <v>20.27</v>
      </c>
      <c r="B43" s="13">
        <v>1472.0</v>
      </c>
      <c r="C43" s="13" t="s">
        <v>150</v>
      </c>
      <c r="D43" s="13" t="s">
        <v>51</v>
      </c>
      <c r="E43" s="13" t="s">
        <v>23</v>
      </c>
      <c r="F43" s="13" t="s">
        <v>151</v>
      </c>
      <c r="G43" s="13" t="s">
        <v>152</v>
      </c>
      <c r="H43" s="13" t="s">
        <v>26</v>
      </c>
      <c r="I43" s="16" t="s">
        <v>27</v>
      </c>
      <c r="J43" s="17">
        <v>1.0</v>
      </c>
      <c r="K43" s="13">
        <v>309.254</v>
      </c>
      <c r="L43" s="13">
        <v>30.0</v>
      </c>
      <c r="M43" s="13">
        <v>621.56</v>
      </c>
      <c r="N43" s="13">
        <v>87079.0</v>
      </c>
      <c r="O43" s="13" t="b">
        <v>0</v>
      </c>
      <c r="P43" s="18">
        <v>42149.0</v>
      </c>
    </row>
    <row r="44">
      <c r="A44" s="11">
        <v>11.58</v>
      </c>
      <c r="B44" s="13">
        <v>1580.0</v>
      </c>
      <c r="C44" s="13" t="s">
        <v>153</v>
      </c>
      <c r="D44" s="13" t="s">
        <v>32</v>
      </c>
      <c r="E44" s="13" t="s">
        <v>23</v>
      </c>
      <c r="F44" s="13" t="s">
        <v>88</v>
      </c>
      <c r="G44" s="13" t="s">
        <v>154</v>
      </c>
      <c r="H44" s="13" t="s">
        <v>26</v>
      </c>
      <c r="I44" s="16" t="s">
        <v>27</v>
      </c>
      <c r="J44" s="17">
        <v>1.0</v>
      </c>
      <c r="K44" s="13">
        <v>-8.398</v>
      </c>
      <c r="L44" s="13">
        <v>1.0</v>
      </c>
      <c r="M44" s="13">
        <v>14.53</v>
      </c>
      <c r="N44" s="13">
        <v>90934.0</v>
      </c>
      <c r="O44" s="13" t="b">
        <v>0</v>
      </c>
      <c r="P44" s="18">
        <v>42051.0</v>
      </c>
    </row>
    <row r="45">
      <c r="A45" s="11">
        <v>500.98</v>
      </c>
      <c r="B45" s="13">
        <v>1595.0</v>
      </c>
      <c r="C45" s="13" t="s">
        <v>156</v>
      </c>
      <c r="D45" s="13" t="s">
        <v>32</v>
      </c>
      <c r="E45" s="13" t="s">
        <v>37</v>
      </c>
      <c r="F45" s="13" t="s">
        <v>38</v>
      </c>
      <c r="G45" s="13" t="s">
        <v>52</v>
      </c>
      <c r="H45" s="13" t="s">
        <v>26</v>
      </c>
      <c r="I45" s="16" t="s">
        <v>27</v>
      </c>
      <c r="J45" s="17">
        <v>1.0</v>
      </c>
      <c r="K45" s="13">
        <v>5078.538</v>
      </c>
      <c r="L45" s="13">
        <v>14.0</v>
      </c>
      <c r="M45" s="13">
        <v>7360.2</v>
      </c>
      <c r="N45" s="13">
        <v>90796.0</v>
      </c>
      <c r="O45" s="13" t="b">
        <v>0</v>
      </c>
      <c r="P45" s="18">
        <v>42135.0</v>
      </c>
    </row>
    <row r="46">
      <c r="A46" s="11">
        <v>9.77</v>
      </c>
      <c r="B46" s="13">
        <v>1595.0</v>
      </c>
      <c r="C46" s="13" t="s">
        <v>156</v>
      </c>
      <c r="D46" s="13" t="s">
        <v>32</v>
      </c>
      <c r="E46" s="13" t="s">
        <v>37</v>
      </c>
      <c r="F46" s="13" t="s">
        <v>42</v>
      </c>
      <c r="G46" s="13" t="s">
        <v>158</v>
      </c>
      <c r="H46" s="13" t="s">
        <v>26</v>
      </c>
      <c r="I46" s="16" t="s">
        <v>27</v>
      </c>
      <c r="J46" s="17">
        <v>1.0</v>
      </c>
      <c r="K46" s="13">
        <v>23.276</v>
      </c>
      <c r="L46" s="13">
        <v>9.0</v>
      </c>
      <c r="M46" s="13">
        <v>89.06</v>
      </c>
      <c r="N46" s="13">
        <v>90796.0</v>
      </c>
      <c r="O46" s="13" t="b">
        <v>0</v>
      </c>
      <c r="P46" s="18">
        <v>42135.0</v>
      </c>
    </row>
    <row r="47">
      <c r="A47" s="11">
        <v>3.28</v>
      </c>
      <c r="B47" s="13">
        <v>1595.0</v>
      </c>
      <c r="C47" s="13" t="s">
        <v>156</v>
      </c>
      <c r="D47" s="13" t="s">
        <v>32</v>
      </c>
      <c r="E47" s="13" t="s">
        <v>23</v>
      </c>
      <c r="F47" s="13" t="s">
        <v>29</v>
      </c>
      <c r="G47" s="13" t="s">
        <v>159</v>
      </c>
      <c r="H47" s="13" t="s">
        <v>26</v>
      </c>
      <c r="I47" s="16" t="s">
        <v>27</v>
      </c>
      <c r="J47" s="17">
        <v>1.0</v>
      </c>
      <c r="K47" s="13">
        <v>17.754</v>
      </c>
      <c r="L47" s="13">
        <v>42.0</v>
      </c>
      <c r="M47" s="13">
        <v>134.97</v>
      </c>
      <c r="N47" s="13">
        <v>90796.0</v>
      </c>
      <c r="O47" s="13" t="b">
        <v>0</v>
      </c>
      <c r="P47" s="18">
        <v>42135.0</v>
      </c>
    </row>
    <row r="48">
      <c r="A48" s="11">
        <v>45.99</v>
      </c>
      <c r="B48" s="13">
        <v>1620.0</v>
      </c>
      <c r="C48" s="13" t="s">
        <v>161</v>
      </c>
      <c r="D48" s="13" t="s">
        <v>22</v>
      </c>
      <c r="E48" s="13" t="s">
        <v>46</v>
      </c>
      <c r="F48" s="13" t="s">
        <v>85</v>
      </c>
      <c r="G48" s="13" t="s">
        <v>162</v>
      </c>
      <c r="H48" s="13" t="s">
        <v>26</v>
      </c>
      <c r="I48" s="16" t="s">
        <v>27</v>
      </c>
      <c r="J48" s="17">
        <v>1.0</v>
      </c>
      <c r="K48" s="13">
        <v>3.96</v>
      </c>
      <c r="L48" s="13">
        <v>4.0</v>
      </c>
      <c r="M48" s="13">
        <v>163.01</v>
      </c>
      <c r="N48" s="13">
        <v>90248.0</v>
      </c>
      <c r="O48" s="13" t="b">
        <v>0</v>
      </c>
      <c r="P48" s="18">
        <v>42100.0</v>
      </c>
    </row>
    <row r="49">
      <c r="A49" s="11">
        <v>209.37</v>
      </c>
      <c r="B49" s="13">
        <v>1625.0</v>
      </c>
      <c r="C49" s="13" t="s">
        <v>163</v>
      </c>
      <c r="D49" s="13" t="s">
        <v>51</v>
      </c>
      <c r="E49" s="13" t="s">
        <v>37</v>
      </c>
      <c r="F49" s="13" t="s">
        <v>73</v>
      </c>
      <c r="G49" s="13" t="s">
        <v>164</v>
      </c>
      <c r="H49" s="13" t="s">
        <v>26</v>
      </c>
      <c r="I49" s="16" t="s">
        <v>27</v>
      </c>
      <c r="J49" s="17">
        <v>1.0</v>
      </c>
      <c r="K49" s="13">
        <v>-263.1119291</v>
      </c>
      <c r="L49" s="13">
        <v>11.0</v>
      </c>
      <c r="M49" s="13">
        <v>1959.88</v>
      </c>
      <c r="N49" s="13">
        <v>90601.0</v>
      </c>
      <c r="O49" s="13" t="b">
        <v>0</v>
      </c>
      <c r="P49" s="18">
        <v>42051.0</v>
      </c>
    </row>
    <row r="50">
      <c r="A50" s="11">
        <v>95.43</v>
      </c>
      <c r="B50" s="13">
        <v>1690.0</v>
      </c>
      <c r="C50" s="13" t="s">
        <v>166</v>
      </c>
      <c r="D50" s="13" t="s">
        <v>32</v>
      </c>
      <c r="E50" s="13" t="s">
        <v>23</v>
      </c>
      <c r="F50" s="13" t="s">
        <v>120</v>
      </c>
      <c r="G50" s="13" t="s">
        <v>167</v>
      </c>
      <c r="H50" s="13" t="s">
        <v>26</v>
      </c>
      <c r="I50" s="16" t="s">
        <v>27</v>
      </c>
      <c r="J50" s="17">
        <v>1.0</v>
      </c>
      <c r="K50" s="13">
        <v>-143.235</v>
      </c>
      <c r="L50" s="13">
        <v>22.0</v>
      </c>
      <c r="M50" s="13">
        <v>2053.6</v>
      </c>
      <c r="N50" s="13">
        <v>91078.0</v>
      </c>
      <c r="O50" s="13" t="b">
        <v>0</v>
      </c>
      <c r="P50" s="18">
        <v>42156.0</v>
      </c>
    </row>
    <row r="51">
      <c r="A51" s="11">
        <v>40.98</v>
      </c>
      <c r="B51" s="13">
        <v>1840.0</v>
      </c>
      <c r="C51" s="13" t="s">
        <v>168</v>
      </c>
      <c r="D51" s="13" t="s">
        <v>51</v>
      </c>
      <c r="E51" s="13" t="s">
        <v>23</v>
      </c>
      <c r="F51" s="13" t="s">
        <v>24</v>
      </c>
      <c r="G51" s="13" t="s">
        <v>169</v>
      </c>
      <c r="H51" s="13" t="s">
        <v>26</v>
      </c>
      <c r="I51" s="16" t="s">
        <v>27</v>
      </c>
      <c r="J51" s="17">
        <v>1.0</v>
      </c>
      <c r="K51" s="13">
        <v>369.2052</v>
      </c>
      <c r="L51" s="13">
        <v>13.0</v>
      </c>
      <c r="M51" s="13">
        <v>535.08</v>
      </c>
      <c r="N51" s="13">
        <v>86599.0</v>
      </c>
      <c r="O51" s="13" t="b">
        <v>0</v>
      </c>
      <c r="P51" s="18">
        <v>42093.0</v>
      </c>
    </row>
    <row r="52">
      <c r="A52" s="11">
        <v>5.98</v>
      </c>
      <c r="B52" s="13">
        <v>1860.0</v>
      </c>
      <c r="C52" s="13" t="s">
        <v>171</v>
      </c>
      <c r="D52" s="13" t="s">
        <v>51</v>
      </c>
      <c r="E52" s="13" t="s">
        <v>23</v>
      </c>
      <c r="F52" s="13" t="s">
        <v>24</v>
      </c>
      <c r="G52" s="13" t="s">
        <v>173</v>
      </c>
      <c r="H52" s="13" t="s">
        <v>26</v>
      </c>
      <c r="I52" s="16" t="s">
        <v>27</v>
      </c>
      <c r="J52" s="17">
        <v>1.0</v>
      </c>
      <c r="K52" s="13">
        <v>13.2294</v>
      </c>
      <c r="L52" s="13">
        <v>5.0</v>
      </c>
      <c r="M52" s="13">
        <v>28.01</v>
      </c>
      <c r="N52" s="13">
        <v>86846.0</v>
      </c>
      <c r="O52" s="13" t="b">
        <v>0</v>
      </c>
      <c r="P52" s="18">
        <v>42170.0</v>
      </c>
    </row>
    <row r="53">
      <c r="A53" s="11">
        <v>90.98</v>
      </c>
      <c r="B53" s="13">
        <v>1946.0</v>
      </c>
      <c r="C53" s="13" t="s">
        <v>174</v>
      </c>
      <c r="D53" s="13" t="s">
        <v>22</v>
      </c>
      <c r="E53" s="13" t="s">
        <v>37</v>
      </c>
      <c r="F53" s="13" t="s">
        <v>42</v>
      </c>
      <c r="G53" s="13" t="s">
        <v>175</v>
      </c>
      <c r="H53" s="13" t="s">
        <v>26</v>
      </c>
      <c r="I53" s="16" t="s">
        <v>27</v>
      </c>
      <c r="J53" s="17">
        <v>1.0</v>
      </c>
      <c r="K53" s="13">
        <v>-1920.9336</v>
      </c>
      <c r="L53" s="13">
        <v>12.0</v>
      </c>
      <c r="M53" s="13">
        <v>1058.36</v>
      </c>
      <c r="N53" s="13">
        <v>86331.0</v>
      </c>
      <c r="O53" s="13" t="b">
        <v>0</v>
      </c>
      <c r="P53" s="18">
        <v>42030.0</v>
      </c>
    </row>
    <row r="54">
      <c r="A54" s="11">
        <v>5.98</v>
      </c>
      <c r="B54" s="13">
        <v>1946.0</v>
      </c>
      <c r="C54" s="13" t="s">
        <v>174</v>
      </c>
      <c r="D54" s="13" t="s">
        <v>22</v>
      </c>
      <c r="E54" s="13" t="s">
        <v>23</v>
      </c>
      <c r="F54" s="13" t="s">
        <v>93</v>
      </c>
      <c r="G54" s="13" t="s">
        <v>176</v>
      </c>
      <c r="H54" s="13" t="s">
        <v>26</v>
      </c>
      <c r="I54" s="16" t="s">
        <v>27</v>
      </c>
      <c r="J54" s="17">
        <v>1.0</v>
      </c>
      <c r="K54" s="13">
        <v>-37.1752</v>
      </c>
      <c r="L54" s="13">
        <v>3.0</v>
      </c>
      <c r="M54" s="13">
        <v>18.31</v>
      </c>
      <c r="N54" s="13">
        <v>86331.0</v>
      </c>
      <c r="O54" s="13" t="b">
        <v>0</v>
      </c>
      <c r="P54" s="18">
        <v>42030.0</v>
      </c>
    </row>
    <row r="55">
      <c r="A55" s="11">
        <v>2.08</v>
      </c>
      <c r="B55" s="13">
        <v>2250.0</v>
      </c>
      <c r="C55" s="13" t="s">
        <v>179</v>
      </c>
      <c r="D55" s="13" t="s">
        <v>51</v>
      </c>
      <c r="E55" s="13" t="s">
        <v>37</v>
      </c>
      <c r="F55" s="13" t="s">
        <v>42</v>
      </c>
      <c r="G55" s="13" t="s">
        <v>180</v>
      </c>
      <c r="H55" s="13" t="s">
        <v>26</v>
      </c>
      <c r="I55" s="16" t="s">
        <v>27</v>
      </c>
      <c r="J55" s="17">
        <v>1.0</v>
      </c>
      <c r="K55" s="13">
        <v>-192.5532</v>
      </c>
      <c r="L55" s="13">
        <v>22.0</v>
      </c>
      <c r="M55" s="13">
        <v>51.41</v>
      </c>
      <c r="N55" s="13">
        <v>86699.0</v>
      </c>
      <c r="O55" s="13" t="b">
        <v>0</v>
      </c>
      <c r="P55" s="18">
        <v>42107.0</v>
      </c>
    </row>
    <row r="56">
      <c r="A56" s="11">
        <v>4.48</v>
      </c>
      <c r="B56" s="13">
        <v>2279.0</v>
      </c>
      <c r="C56" s="13" t="s">
        <v>181</v>
      </c>
      <c r="D56" s="13" t="s">
        <v>51</v>
      </c>
      <c r="E56" s="13" t="s">
        <v>23</v>
      </c>
      <c r="F56" s="13" t="s">
        <v>88</v>
      </c>
      <c r="G56" s="13" t="s">
        <v>182</v>
      </c>
      <c r="H56" s="13" t="s">
        <v>26</v>
      </c>
      <c r="I56" s="16" t="s">
        <v>27</v>
      </c>
      <c r="J56" s="17">
        <v>1.0</v>
      </c>
      <c r="K56" s="13">
        <v>10.32</v>
      </c>
      <c r="L56" s="13">
        <v>7.0</v>
      </c>
      <c r="M56" s="13">
        <v>35.93</v>
      </c>
      <c r="N56" s="13">
        <v>85949.0</v>
      </c>
      <c r="O56" s="13" t="b">
        <v>0</v>
      </c>
      <c r="P56" s="18">
        <v>42177.0</v>
      </c>
    </row>
    <row r="57">
      <c r="A57" s="11">
        <v>6.48</v>
      </c>
      <c r="B57" s="13">
        <v>2351.0</v>
      </c>
      <c r="C57" s="13" t="s">
        <v>183</v>
      </c>
      <c r="D57" s="13" t="s">
        <v>32</v>
      </c>
      <c r="E57" s="13" t="s">
        <v>23</v>
      </c>
      <c r="F57" s="13" t="s">
        <v>93</v>
      </c>
      <c r="G57" s="13" t="s">
        <v>185</v>
      </c>
      <c r="H57" s="13" t="s">
        <v>26</v>
      </c>
      <c r="I57" s="16" t="s">
        <v>27</v>
      </c>
      <c r="J57" s="17">
        <v>1.0</v>
      </c>
      <c r="K57" s="13">
        <v>-119.32</v>
      </c>
      <c r="L57" s="13">
        <v>13.0</v>
      </c>
      <c r="M57" s="13">
        <v>80.86</v>
      </c>
      <c r="N57" s="13">
        <v>86163.0</v>
      </c>
      <c r="O57" s="13" t="b">
        <v>0</v>
      </c>
      <c r="P57" s="18">
        <v>42093.0</v>
      </c>
    </row>
    <row r="58">
      <c r="A58" s="11">
        <v>4.77</v>
      </c>
      <c r="B58" s="13">
        <v>2391.0</v>
      </c>
      <c r="C58" s="13" t="s">
        <v>186</v>
      </c>
      <c r="D58" s="13" t="s">
        <v>32</v>
      </c>
      <c r="E58" s="13" t="s">
        <v>46</v>
      </c>
      <c r="F58" s="13" t="s">
        <v>47</v>
      </c>
      <c r="G58" s="13" t="s">
        <v>187</v>
      </c>
      <c r="H58" s="13" t="s">
        <v>26</v>
      </c>
      <c r="I58" s="16" t="s">
        <v>27</v>
      </c>
      <c r="J58" s="17">
        <v>1.0</v>
      </c>
      <c r="K58" s="13">
        <v>-45.64</v>
      </c>
      <c r="L58" s="13">
        <v>9.0</v>
      </c>
      <c r="M58" s="13">
        <v>42.46</v>
      </c>
      <c r="N58" s="13">
        <v>91122.0</v>
      </c>
      <c r="O58" s="13" t="b">
        <v>0</v>
      </c>
      <c r="P58" s="18">
        <v>42149.0</v>
      </c>
    </row>
    <row r="59">
      <c r="A59" s="11">
        <v>27.18</v>
      </c>
      <c r="B59" s="13">
        <v>2391.0</v>
      </c>
      <c r="C59" s="13" t="s">
        <v>186</v>
      </c>
      <c r="D59" s="13" t="s">
        <v>32</v>
      </c>
      <c r="E59" s="13" t="s">
        <v>23</v>
      </c>
      <c r="F59" s="13" t="s">
        <v>88</v>
      </c>
      <c r="G59" s="13" t="s">
        <v>188</v>
      </c>
      <c r="H59" s="13" t="s">
        <v>26</v>
      </c>
      <c r="I59" s="16" t="s">
        <v>27</v>
      </c>
      <c r="J59" s="17">
        <v>1.0</v>
      </c>
      <c r="K59" s="13">
        <v>204.49</v>
      </c>
      <c r="L59" s="13">
        <v>12.0</v>
      </c>
      <c r="M59" s="13">
        <v>314.06</v>
      </c>
      <c r="N59" s="13">
        <v>91122.0</v>
      </c>
      <c r="O59" s="13" t="b">
        <v>0</v>
      </c>
      <c r="P59" s="18">
        <v>42149.0</v>
      </c>
    </row>
    <row r="60">
      <c r="A60" s="11">
        <v>6.48</v>
      </c>
      <c r="B60" s="13">
        <v>2512.0</v>
      </c>
      <c r="C60" s="13" t="s">
        <v>190</v>
      </c>
      <c r="D60" s="13" t="s">
        <v>51</v>
      </c>
      <c r="E60" s="13" t="s">
        <v>23</v>
      </c>
      <c r="F60" s="13" t="s">
        <v>93</v>
      </c>
      <c r="G60" s="13" t="s">
        <v>192</v>
      </c>
      <c r="H60" s="13" t="s">
        <v>26</v>
      </c>
      <c r="I60" s="16" t="s">
        <v>27</v>
      </c>
      <c r="J60" s="17">
        <v>1.0</v>
      </c>
      <c r="K60" s="13">
        <v>-223.944</v>
      </c>
      <c r="L60" s="13">
        <v>19.0</v>
      </c>
      <c r="M60" s="13">
        <v>125.37</v>
      </c>
      <c r="N60" s="13">
        <v>87030.0</v>
      </c>
      <c r="O60" s="13" t="b">
        <v>0</v>
      </c>
      <c r="P60" s="18">
        <v>42170.0</v>
      </c>
    </row>
    <row r="61">
      <c r="A61" s="11">
        <v>4.84</v>
      </c>
      <c r="B61" s="13">
        <v>2618.0</v>
      </c>
      <c r="C61" s="13" t="s">
        <v>194</v>
      </c>
      <c r="D61" s="13" t="s">
        <v>32</v>
      </c>
      <c r="E61" s="13" t="s">
        <v>23</v>
      </c>
      <c r="F61" s="13" t="s">
        <v>29</v>
      </c>
      <c r="G61" s="13" t="s">
        <v>195</v>
      </c>
      <c r="H61" s="13" t="s">
        <v>26</v>
      </c>
      <c r="I61" s="16" t="s">
        <v>27</v>
      </c>
      <c r="J61" s="17">
        <v>1.0</v>
      </c>
      <c r="K61" s="13">
        <v>29.17</v>
      </c>
      <c r="L61" s="13">
        <v>20.0</v>
      </c>
      <c r="M61" s="13">
        <v>103.39</v>
      </c>
      <c r="N61" s="13">
        <v>34017.0</v>
      </c>
      <c r="O61" s="13" t="b">
        <v>0</v>
      </c>
      <c r="P61" s="18">
        <v>42086.0</v>
      </c>
    </row>
    <row r="62">
      <c r="A62" s="11">
        <v>14.98</v>
      </c>
      <c r="B62" s="13">
        <v>2618.0</v>
      </c>
      <c r="C62" s="13" t="s">
        <v>194</v>
      </c>
      <c r="D62" s="13" t="s">
        <v>32</v>
      </c>
      <c r="E62" s="13" t="s">
        <v>23</v>
      </c>
      <c r="F62" s="13" t="s">
        <v>120</v>
      </c>
      <c r="G62" s="13" t="s">
        <v>196</v>
      </c>
      <c r="H62" s="13" t="s">
        <v>26</v>
      </c>
      <c r="I62" s="16" t="s">
        <v>27</v>
      </c>
      <c r="J62" s="17">
        <v>1.0</v>
      </c>
      <c r="K62" s="13">
        <v>-48.97</v>
      </c>
      <c r="L62" s="13">
        <v>28.0</v>
      </c>
      <c r="M62" s="13">
        <v>435.39</v>
      </c>
      <c r="N62" s="13">
        <v>34017.0</v>
      </c>
      <c r="O62" s="13" t="b">
        <v>0</v>
      </c>
      <c r="P62" s="18">
        <v>42086.0</v>
      </c>
    </row>
    <row r="63">
      <c r="A63" s="11">
        <v>20.27</v>
      </c>
      <c r="B63" s="13">
        <v>2618.0</v>
      </c>
      <c r="C63" s="13" t="s">
        <v>194</v>
      </c>
      <c r="D63" s="13" t="s">
        <v>32</v>
      </c>
      <c r="E63" s="13" t="s">
        <v>23</v>
      </c>
      <c r="F63" s="13" t="s">
        <v>151</v>
      </c>
      <c r="G63" s="13" t="s">
        <v>152</v>
      </c>
      <c r="H63" s="13" t="s">
        <v>26</v>
      </c>
      <c r="I63" s="16" t="s">
        <v>27</v>
      </c>
      <c r="J63" s="17">
        <v>1.0</v>
      </c>
      <c r="K63" s="13">
        <v>84.05</v>
      </c>
      <c r="L63" s="13">
        <v>53.0</v>
      </c>
      <c r="M63" s="13">
        <v>1051.52</v>
      </c>
      <c r="N63" s="13">
        <v>53153.0</v>
      </c>
      <c r="O63" s="13" t="b">
        <v>0</v>
      </c>
      <c r="P63" s="18">
        <v>42086.0</v>
      </c>
    </row>
    <row r="64">
      <c r="A64" s="11">
        <v>35.99</v>
      </c>
      <c r="B64" s="13">
        <v>2650.0</v>
      </c>
      <c r="C64" s="13" t="s">
        <v>199</v>
      </c>
      <c r="D64" s="13" t="s">
        <v>32</v>
      </c>
      <c r="E64" s="13" t="s">
        <v>46</v>
      </c>
      <c r="F64" s="13" t="s">
        <v>85</v>
      </c>
      <c r="G64" s="13" t="s">
        <v>200</v>
      </c>
      <c r="H64" s="13" t="s">
        <v>26</v>
      </c>
      <c r="I64" s="16" t="s">
        <v>27</v>
      </c>
      <c r="J64" s="17">
        <v>1.0</v>
      </c>
      <c r="K64" s="13">
        <v>524.3172</v>
      </c>
      <c r="L64" s="13">
        <v>26.0</v>
      </c>
      <c r="M64" s="13">
        <v>759.88</v>
      </c>
      <c r="N64" s="13">
        <v>88815.0</v>
      </c>
      <c r="O64" s="13" t="b">
        <v>0</v>
      </c>
      <c r="P64" s="18">
        <v>42128.0</v>
      </c>
    </row>
    <row r="65">
      <c r="A65" s="11">
        <v>3.75</v>
      </c>
      <c r="B65" s="13">
        <v>2689.0</v>
      </c>
      <c r="C65" s="13" t="s">
        <v>201</v>
      </c>
      <c r="D65" s="13" t="s">
        <v>51</v>
      </c>
      <c r="E65" s="13" t="s">
        <v>23</v>
      </c>
      <c r="F65" s="13" t="s">
        <v>130</v>
      </c>
      <c r="G65" s="13" t="s">
        <v>202</v>
      </c>
      <c r="H65" s="13" t="s">
        <v>26</v>
      </c>
      <c r="I65" s="16" t="s">
        <v>27</v>
      </c>
      <c r="J65" s="17">
        <v>1.0</v>
      </c>
      <c r="K65" s="13">
        <v>51.2187</v>
      </c>
      <c r="L65" s="13">
        <v>21.0</v>
      </c>
      <c r="M65" s="13">
        <v>74.23</v>
      </c>
      <c r="N65" s="13">
        <v>90624.0</v>
      </c>
      <c r="O65" s="13" t="b">
        <v>0</v>
      </c>
      <c r="P65" s="18">
        <v>42128.0</v>
      </c>
    </row>
    <row r="66">
      <c r="A66" s="11">
        <v>30.98</v>
      </c>
      <c r="B66" s="13">
        <v>2693.0</v>
      </c>
      <c r="C66" s="13" t="s">
        <v>203</v>
      </c>
      <c r="D66" s="13" t="s">
        <v>51</v>
      </c>
      <c r="E66" s="13" t="s">
        <v>23</v>
      </c>
      <c r="F66" s="13" t="s">
        <v>93</v>
      </c>
      <c r="G66" s="13" t="s">
        <v>205</v>
      </c>
      <c r="H66" s="13" t="s">
        <v>26</v>
      </c>
      <c r="I66" s="16" t="s">
        <v>27</v>
      </c>
      <c r="J66" s="17">
        <v>1.0</v>
      </c>
      <c r="K66" s="13">
        <v>380.468</v>
      </c>
      <c r="L66" s="13">
        <v>20.0</v>
      </c>
      <c r="M66" s="13">
        <v>627.19</v>
      </c>
      <c r="N66" s="13">
        <v>90624.0</v>
      </c>
      <c r="O66" s="13" t="b">
        <v>0</v>
      </c>
      <c r="P66" s="18">
        <v>42128.0</v>
      </c>
    </row>
    <row r="67">
      <c r="A67" s="11">
        <v>15.31</v>
      </c>
      <c r="B67" s="13">
        <v>2737.0</v>
      </c>
      <c r="C67" s="13" t="s">
        <v>206</v>
      </c>
      <c r="D67" s="13" t="s">
        <v>66</v>
      </c>
      <c r="E67" s="13" t="s">
        <v>23</v>
      </c>
      <c r="F67" s="13" t="s">
        <v>120</v>
      </c>
      <c r="G67" s="13" t="s">
        <v>207</v>
      </c>
      <c r="H67" s="13" t="s">
        <v>26</v>
      </c>
      <c r="I67" s="16" t="s">
        <v>27</v>
      </c>
      <c r="J67" s="17">
        <v>1.0</v>
      </c>
      <c r="K67" s="13">
        <v>-57.56</v>
      </c>
      <c r="L67" s="13">
        <v>12.0</v>
      </c>
      <c r="M67" s="13">
        <v>194.08</v>
      </c>
      <c r="N67" s="13">
        <v>89019.0</v>
      </c>
      <c r="O67" s="13" t="b">
        <v>0</v>
      </c>
      <c r="P67" s="18">
        <v>42156.0</v>
      </c>
    </row>
    <row r="68">
      <c r="A68" s="11">
        <v>33.98</v>
      </c>
      <c r="B68" s="13">
        <v>2738.0</v>
      </c>
      <c r="C68" s="13" t="s">
        <v>208</v>
      </c>
      <c r="D68" s="13" t="s">
        <v>66</v>
      </c>
      <c r="E68" s="13" t="s">
        <v>46</v>
      </c>
      <c r="F68" s="13" t="s">
        <v>47</v>
      </c>
      <c r="G68" s="13" t="s">
        <v>209</v>
      </c>
      <c r="H68" s="13" t="s">
        <v>26</v>
      </c>
      <c r="I68" s="16" t="s">
        <v>27</v>
      </c>
      <c r="J68" s="17">
        <v>1.0</v>
      </c>
      <c r="K68" s="13">
        <v>164.0613</v>
      </c>
      <c r="L68" s="13">
        <v>7.0</v>
      </c>
      <c r="M68" s="13">
        <v>237.77</v>
      </c>
      <c r="N68" s="13">
        <v>89017.0</v>
      </c>
      <c r="O68" s="13" t="b">
        <v>0</v>
      </c>
      <c r="P68" s="18">
        <v>42107.0</v>
      </c>
    </row>
    <row r="69">
      <c r="A69" s="11">
        <v>350.98</v>
      </c>
      <c r="B69" s="13">
        <v>2776.0</v>
      </c>
      <c r="C69" s="13" t="s">
        <v>210</v>
      </c>
      <c r="D69" s="13" t="s">
        <v>22</v>
      </c>
      <c r="E69" s="13" t="s">
        <v>37</v>
      </c>
      <c r="F69" s="13" t="s">
        <v>38</v>
      </c>
      <c r="G69" s="13" t="s">
        <v>106</v>
      </c>
      <c r="H69" s="13" t="s">
        <v>26</v>
      </c>
      <c r="I69" s="16" t="s">
        <v>27</v>
      </c>
      <c r="J69" s="17">
        <v>1.0</v>
      </c>
      <c r="K69" s="13">
        <v>2692.4421</v>
      </c>
      <c r="L69" s="13">
        <v>11.0</v>
      </c>
      <c r="M69" s="13">
        <v>3902.09</v>
      </c>
      <c r="N69" s="13">
        <v>91228.0</v>
      </c>
      <c r="O69" s="13" t="b">
        <v>0</v>
      </c>
      <c r="P69" s="18">
        <v>42016.0</v>
      </c>
    </row>
    <row r="70">
      <c r="A70" s="11">
        <v>1.68</v>
      </c>
      <c r="B70" s="13">
        <v>2776.0</v>
      </c>
      <c r="C70" s="13" t="s">
        <v>210</v>
      </c>
      <c r="D70" s="13" t="s">
        <v>22</v>
      </c>
      <c r="E70" s="13" t="s">
        <v>23</v>
      </c>
      <c r="F70" s="13" t="s">
        <v>29</v>
      </c>
      <c r="G70" s="13" t="s">
        <v>211</v>
      </c>
      <c r="H70" s="13" t="s">
        <v>26</v>
      </c>
      <c r="I70" s="16" t="s">
        <v>27</v>
      </c>
      <c r="J70" s="17">
        <v>1.0</v>
      </c>
      <c r="K70" s="13">
        <v>2.0672</v>
      </c>
      <c r="L70" s="13">
        <v>8.0</v>
      </c>
      <c r="M70" s="13">
        <v>14.18</v>
      </c>
      <c r="N70" s="13">
        <v>91228.0</v>
      </c>
      <c r="O70" s="13" t="b">
        <v>0</v>
      </c>
      <c r="P70" s="18">
        <v>42016.0</v>
      </c>
    </row>
    <row r="71">
      <c r="A71" s="11">
        <v>4.71</v>
      </c>
      <c r="B71" s="13">
        <v>2817.0</v>
      </c>
      <c r="C71" s="13" t="s">
        <v>212</v>
      </c>
      <c r="D71" s="13" t="s">
        <v>32</v>
      </c>
      <c r="E71" s="13" t="s">
        <v>23</v>
      </c>
      <c r="F71" s="13" t="s">
        <v>81</v>
      </c>
      <c r="G71" s="13" t="s">
        <v>213</v>
      </c>
      <c r="H71" s="13" t="s">
        <v>26</v>
      </c>
      <c r="I71" s="16" t="s">
        <v>27</v>
      </c>
      <c r="J71" s="17">
        <v>1.0</v>
      </c>
      <c r="K71" s="13">
        <v>-2.376</v>
      </c>
      <c r="L71" s="13">
        <v>2.0</v>
      </c>
      <c r="M71" s="13">
        <v>12.16</v>
      </c>
      <c r="N71" s="13">
        <v>89743.0</v>
      </c>
      <c r="O71" s="13" t="b">
        <v>0</v>
      </c>
      <c r="P71" s="18">
        <v>42156.0</v>
      </c>
    </row>
    <row r="72">
      <c r="A72" s="11">
        <v>55.99</v>
      </c>
      <c r="B72" s="13">
        <v>2817.0</v>
      </c>
      <c r="C72" s="13" t="s">
        <v>212</v>
      </c>
      <c r="D72" s="13" t="s">
        <v>32</v>
      </c>
      <c r="E72" s="13" t="s">
        <v>46</v>
      </c>
      <c r="F72" s="13" t="s">
        <v>85</v>
      </c>
      <c r="G72" s="13" t="s">
        <v>214</v>
      </c>
      <c r="H72" s="13" t="s">
        <v>26</v>
      </c>
      <c r="I72" s="16" t="s">
        <v>27</v>
      </c>
      <c r="J72" s="17">
        <v>1.0</v>
      </c>
      <c r="K72" s="13">
        <v>-18.3216</v>
      </c>
      <c r="L72" s="13">
        <v>3.0</v>
      </c>
      <c r="M72" s="13">
        <v>147.56</v>
      </c>
      <c r="N72" s="13">
        <v>89743.0</v>
      </c>
      <c r="O72" s="13" t="b">
        <v>0</v>
      </c>
      <c r="P72" s="18">
        <v>42156.0</v>
      </c>
    </row>
    <row r="73">
      <c r="A73" s="11">
        <v>8.33</v>
      </c>
      <c r="B73" s="13">
        <v>2877.0</v>
      </c>
      <c r="C73" s="13" t="s">
        <v>216</v>
      </c>
      <c r="D73" s="13" t="s">
        <v>22</v>
      </c>
      <c r="E73" s="13" t="s">
        <v>46</v>
      </c>
      <c r="F73" s="13" t="s">
        <v>47</v>
      </c>
      <c r="G73" s="13" t="s">
        <v>218</v>
      </c>
      <c r="H73" s="13" t="s">
        <v>26</v>
      </c>
      <c r="I73" s="16" t="s">
        <v>27</v>
      </c>
      <c r="J73" s="17">
        <v>1.0</v>
      </c>
      <c r="K73" s="13">
        <v>74.1819</v>
      </c>
      <c r="L73" s="13">
        <v>12.0</v>
      </c>
      <c r="M73" s="13">
        <v>107.51</v>
      </c>
      <c r="N73" s="13">
        <v>91492.0</v>
      </c>
      <c r="O73" s="13" t="b">
        <v>0</v>
      </c>
      <c r="P73" s="18">
        <v>42065.0</v>
      </c>
    </row>
    <row r="74">
      <c r="A74" s="11">
        <v>3.8</v>
      </c>
      <c r="B74" s="13">
        <v>2935.0</v>
      </c>
      <c r="C74" s="13" t="s">
        <v>219</v>
      </c>
      <c r="D74" s="13" t="s">
        <v>66</v>
      </c>
      <c r="E74" s="13" t="s">
        <v>23</v>
      </c>
      <c r="F74" s="13" t="s">
        <v>24</v>
      </c>
      <c r="G74" s="13" t="s">
        <v>25</v>
      </c>
      <c r="H74" s="13" t="s">
        <v>26</v>
      </c>
      <c r="I74" s="16" t="s">
        <v>27</v>
      </c>
      <c r="J74" s="17">
        <v>1.0</v>
      </c>
      <c r="K74" s="13">
        <v>7.31</v>
      </c>
      <c r="L74" s="13">
        <v>5.0</v>
      </c>
      <c r="M74" s="13">
        <v>20.46</v>
      </c>
      <c r="N74" s="13">
        <v>87617.0</v>
      </c>
      <c r="O74" s="13" t="b">
        <v>0</v>
      </c>
      <c r="P74" s="18">
        <v>42135.0</v>
      </c>
    </row>
    <row r="75">
      <c r="A75" s="11">
        <v>7.98</v>
      </c>
      <c r="B75" s="13">
        <v>2963.0</v>
      </c>
      <c r="C75" s="13" t="s">
        <v>220</v>
      </c>
      <c r="D75" s="13" t="s">
        <v>22</v>
      </c>
      <c r="E75" s="13" t="s">
        <v>23</v>
      </c>
      <c r="F75" s="13" t="s">
        <v>120</v>
      </c>
      <c r="G75" s="13" t="s">
        <v>221</v>
      </c>
      <c r="H75" s="13" t="s">
        <v>26</v>
      </c>
      <c r="I75" s="16" t="s">
        <v>27</v>
      </c>
      <c r="J75" s="17">
        <v>1.0</v>
      </c>
      <c r="K75" s="13">
        <v>-34.592</v>
      </c>
      <c r="L75" s="13">
        <v>4.0</v>
      </c>
      <c r="M75" s="13">
        <v>34.91</v>
      </c>
      <c r="N75" s="13">
        <v>88612.0</v>
      </c>
      <c r="O75" s="13" t="b">
        <v>0</v>
      </c>
      <c r="P75" s="18">
        <v>42177.0</v>
      </c>
    </row>
    <row r="76">
      <c r="A76" s="11">
        <v>355.98</v>
      </c>
      <c r="B76" s="13">
        <v>3067.0</v>
      </c>
      <c r="C76" s="13" t="s">
        <v>223</v>
      </c>
      <c r="D76" s="13" t="s">
        <v>22</v>
      </c>
      <c r="E76" s="13" t="s">
        <v>37</v>
      </c>
      <c r="F76" s="13" t="s">
        <v>38</v>
      </c>
      <c r="G76" s="13" t="s">
        <v>224</v>
      </c>
      <c r="H76" s="13" t="s">
        <v>26</v>
      </c>
      <c r="I76" s="16" t="s">
        <v>27</v>
      </c>
      <c r="J76" s="17">
        <v>1.0</v>
      </c>
      <c r="K76" s="13">
        <v>1660.92</v>
      </c>
      <c r="L76" s="13">
        <v>14.0</v>
      </c>
      <c r="M76" s="13">
        <v>5086.08</v>
      </c>
      <c r="N76" s="13">
        <v>91376.0</v>
      </c>
      <c r="O76" s="13" t="b">
        <v>0</v>
      </c>
      <c r="P76" s="18">
        <v>42065.0</v>
      </c>
    </row>
    <row r="77">
      <c r="A77" s="11">
        <v>207.48</v>
      </c>
      <c r="B77" s="13">
        <v>3095.0</v>
      </c>
      <c r="C77" s="13" t="s">
        <v>225</v>
      </c>
      <c r="D77" s="13" t="s">
        <v>22</v>
      </c>
      <c r="E77" s="13" t="s">
        <v>23</v>
      </c>
      <c r="F77" s="13" t="s">
        <v>151</v>
      </c>
      <c r="G77" s="13" t="s">
        <v>227</v>
      </c>
      <c r="H77" s="13" t="s">
        <v>26</v>
      </c>
      <c r="I77" s="16" t="s">
        <v>27</v>
      </c>
      <c r="J77" s="17">
        <v>1.0</v>
      </c>
      <c r="K77" s="13">
        <v>683.9556</v>
      </c>
      <c r="L77" s="13">
        <v>5.0</v>
      </c>
      <c r="M77" s="13">
        <v>991.24</v>
      </c>
      <c r="N77" s="13">
        <v>86220.0</v>
      </c>
      <c r="O77" s="13" t="b">
        <v>0</v>
      </c>
      <c r="P77" s="18">
        <v>42023.0</v>
      </c>
    </row>
    <row r="78">
      <c r="A78" s="11">
        <v>304.99</v>
      </c>
      <c r="B78" s="13">
        <v>3137.0</v>
      </c>
      <c r="C78" s="13" t="s">
        <v>230</v>
      </c>
      <c r="D78" s="13" t="s">
        <v>32</v>
      </c>
      <c r="E78" s="13" t="s">
        <v>23</v>
      </c>
      <c r="F78" s="13" t="s">
        <v>24</v>
      </c>
      <c r="G78" s="13" t="s">
        <v>231</v>
      </c>
      <c r="H78" s="13" t="s">
        <v>26</v>
      </c>
      <c r="I78" s="16" t="s">
        <v>27</v>
      </c>
      <c r="J78" s="17">
        <v>1.0</v>
      </c>
      <c r="K78" s="13">
        <v>1623.9495</v>
      </c>
      <c r="L78" s="13">
        <v>8.0</v>
      </c>
      <c r="M78" s="13">
        <v>2353.55</v>
      </c>
      <c r="N78" s="13">
        <v>86795.0</v>
      </c>
      <c r="O78" s="13" t="b">
        <v>0</v>
      </c>
      <c r="P78" s="18">
        <v>42163.0</v>
      </c>
    </row>
    <row r="79">
      <c r="A79" s="11">
        <v>11.34</v>
      </c>
      <c r="B79" s="13">
        <v>3252.0</v>
      </c>
      <c r="C79" s="13" t="s">
        <v>232</v>
      </c>
      <c r="D79" s="13" t="s">
        <v>66</v>
      </c>
      <c r="E79" s="13" t="s">
        <v>23</v>
      </c>
      <c r="F79" s="13" t="s">
        <v>93</v>
      </c>
      <c r="G79" s="13" t="s">
        <v>233</v>
      </c>
      <c r="H79" s="13" t="s">
        <v>26</v>
      </c>
      <c r="I79" s="16" t="s">
        <v>27</v>
      </c>
      <c r="J79" s="17">
        <v>1.0</v>
      </c>
      <c r="K79" s="13">
        <v>-11.83</v>
      </c>
      <c r="L79" s="13">
        <v>1.0</v>
      </c>
      <c r="M79" s="13">
        <v>14.52</v>
      </c>
      <c r="N79" s="13">
        <v>87296.0</v>
      </c>
      <c r="O79" s="13" t="b">
        <v>0</v>
      </c>
      <c r="P79" s="18">
        <v>42093.0</v>
      </c>
    </row>
    <row r="80">
      <c r="A80" s="11">
        <v>16.74</v>
      </c>
      <c r="B80" s="13">
        <v>3307.0</v>
      </c>
      <c r="C80" s="13" t="s">
        <v>234</v>
      </c>
      <c r="D80" s="13" t="s">
        <v>66</v>
      </c>
      <c r="E80" s="13" t="s">
        <v>23</v>
      </c>
      <c r="F80" s="13" t="s">
        <v>120</v>
      </c>
      <c r="G80" s="13" t="s">
        <v>235</v>
      </c>
      <c r="H80" s="13" t="s">
        <v>26</v>
      </c>
      <c r="I80" s="16" t="s">
        <v>27</v>
      </c>
      <c r="J80" s="17">
        <v>1.0</v>
      </c>
      <c r="K80" s="13">
        <v>-114.2</v>
      </c>
      <c r="L80" s="13">
        <v>5.0</v>
      </c>
      <c r="M80" s="13">
        <v>80.58</v>
      </c>
      <c r="N80" s="13">
        <v>90462.0</v>
      </c>
      <c r="O80" s="13" t="b">
        <v>0</v>
      </c>
      <c r="P80" s="18">
        <v>42030.0</v>
      </c>
    </row>
    <row r="81">
      <c r="A81" s="11">
        <v>6.45</v>
      </c>
      <c r="B81" s="13">
        <v>3311.0</v>
      </c>
      <c r="C81" s="13" t="s">
        <v>236</v>
      </c>
      <c r="D81" s="13" t="s">
        <v>66</v>
      </c>
      <c r="E81" s="13" t="s">
        <v>23</v>
      </c>
      <c r="F81" s="13" t="s">
        <v>93</v>
      </c>
      <c r="G81" s="13" t="s">
        <v>237</v>
      </c>
      <c r="H81" s="13" t="s">
        <v>26</v>
      </c>
      <c r="I81" s="16" t="s">
        <v>27</v>
      </c>
      <c r="J81" s="17">
        <v>1.0</v>
      </c>
      <c r="K81" s="13">
        <v>39.4266</v>
      </c>
      <c r="L81" s="13">
        <v>9.0</v>
      </c>
      <c r="M81" s="13">
        <v>57.14</v>
      </c>
      <c r="N81" s="13">
        <v>90462.0</v>
      </c>
      <c r="O81" s="13" t="b">
        <v>0</v>
      </c>
      <c r="P81" s="18">
        <v>42030.0</v>
      </c>
    </row>
    <row r="82">
      <c r="A82" s="11">
        <v>122.99</v>
      </c>
      <c r="B82" s="13">
        <v>3314.0</v>
      </c>
      <c r="C82" s="13" t="s">
        <v>239</v>
      </c>
      <c r="D82" s="13" t="s">
        <v>66</v>
      </c>
      <c r="E82" s="13" t="s">
        <v>37</v>
      </c>
      <c r="F82" s="13" t="s">
        <v>38</v>
      </c>
      <c r="G82" s="13" t="s">
        <v>39</v>
      </c>
      <c r="H82" s="13" t="s">
        <v>26</v>
      </c>
      <c r="I82" s="16" t="s">
        <v>27</v>
      </c>
      <c r="J82" s="17">
        <v>1.0</v>
      </c>
      <c r="K82" s="13">
        <v>-722.23</v>
      </c>
      <c r="L82" s="13">
        <v>4.0</v>
      </c>
      <c r="M82" s="13">
        <v>498.31</v>
      </c>
      <c r="N82" s="13">
        <v>90462.0</v>
      </c>
      <c r="O82" s="13" t="b">
        <v>0</v>
      </c>
      <c r="P82" s="18">
        <v>42030.0</v>
      </c>
    </row>
    <row r="83">
      <c r="A83" s="11">
        <v>73.98</v>
      </c>
      <c r="B83" s="13">
        <v>3374.0</v>
      </c>
      <c r="C83" s="13" t="s">
        <v>241</v>
      </c>
      <c r="D83" s="13" t="s">
        <v>51</v>
      </c>
      <c r="E83" s="13" t="s">
        <v>46</v>
      </c>
      <c r="F83" s="13" t="s">
        <v>47</v>
      </c>
      <c r="G83" s="13" t="s">
        <v>242</v>
      </c>
      <c r="H83" s="13" t="s">
        <v>26</v>
      </c>
      <c r="I83" s="16" t="s">
        <v>27</v>
      </c>
      <c r="J83" s="17">
        <v>1.0</v>
      </c>
      <c r="K83" s="13">
        <v>-1.904</v>
      </c>
      <c r="L83" s="13">
        <v>8.0</v>
      </c>
      <c r="M83" s="13">
        <v>600.4</v>
      </c>
      <c r="N83" s="13">
        <v>87474.0</v>
      </c>
      <c r="O83" s="13" t="b">
        <v>0</v>
      </c>
      <c r="P83" s="18">
        <v>42184.0</v>
      </c>
    </row>
    <row r="84">
      <c r="A84" s="11">
        <v>5.98</v>
      </c>
      <c r="B84" s="13">
        <v>3374.0</v>
      </c>
      <c r="C84" s="13" t="s">
        <v>241</v>
      </c>
      <c r="D84" s="13" t="s">
        <v>51</v>
      </c>
      <c r="E84" s="13" t="s">
        <v>23</v>
      </c>
      <c r="F84" s="13" t="s">
        <v>93</v>
      </c>
      <c r="G84" s="13" t="s">
        <v>243</v>
      </c>
      <c r="H84" s="13" t="s">
        <v>26</v>
      </c>
      <c r="I84" s="16" t="s">
        <v>27</v>
      </c>
      <c r="J84" s="17">
        <v>1.0</v>
      </c>
      <c r="K84" s="13">
        <v>-37.048</v>
      </c>
      <c r="L84" s="13">
        <v>5.0</v>
      </c>
      <c r="M84" s="13">
        <v>34.25</v>
      </c>
      <c r="N84" s="13">
        <v>87474.0</v>
      </c>
      <c r="O84" s="13" t="b">
        <v>0</v>
      </c>
      <c r="P84" s="18">
        <v>42184.0</v>
      </c>
    </row>
    <row r="85">
      <c r="A85" s="11">
        <v>3.57</v>
      </c>
      <c r="B85" s="13">
        <v>3374.0</v>
      </c>
      <c r="C85" s="13" t="s">
        <v>241</v>
      </c>
      <c r="D85" s="13" t="s">
        <v>51</v>
      </c>
      <c r="E85" s="13" t="s">
        <v>23</v>
      </c>
      <c r="F85" s="13" t="s">
        <v>29</v>
      </c>
      <c r="G85" s="13" t="s">
        <v>245</v>
      </c>
      <c r="H85" s="13" t="s">
        <v>26</v>
      </c>
      <c r="I85" s="16" t="s">
        <v>27</v>
      </c>
      <c r="J85" s="17">
        <v>1.0</v>
      </c>
      <c r="K85" s="13">
        <v>-56.888</v>
      </c>
      <c r="L85" s="13">
        <v>9.0</v>
      </c>
      <c r="M85" s="13">
        <v>31.45</v>
      </c>
      <c r="N85" s="13">
        <v>87474.0</v>
      </c>
      <c r="O85" s="13" t="b">
        <v>0</v>
      </c>
      <c r="P85" s="18">
        <v>42184.0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3.88"/>
    <col customWidth="1" min="4" max="4" width="4.38"/>
    <col customWidth="1" min="13" max="13" width="3.63"/>
    <col customWidth="1" min="14" max="14" width="2.38"/>
    <col customWidth="1" min="19" max="19" width="13.13"/>
    <col customWidth="1" min="20" max="22" width="14.75"/>
    <col customWidth="1" min="23" max="23" width="3.13"/>
    <col customWidth="1" min="24" max="27" width="14.75"/>
    <col customWidth="1" min="28" max="28" width="147.38"/>
    <col customWidth="1" min="29" max="76" width="14.75"/>
    <col customWidth="1" min="77" max="77" width="29.13"/>
    <col customWidth="1" min="78" max="88" width="14.75"/>
  </cols>
  <sheetData>
    <row r="1">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9"/>
      <c r="BW1" s="28"/>
      <c r="BX1" s="28"/>
      <c r="BY1" s="28"/>
      <c r="BZ1" s="28"/>
      <c r="CA1" s="28"/>
      <c r="CB1" s="28"/>
      <c r="CC1" s="28"/>
      <c r="CD1" s="28"/>
      <c r="CE1" s="28"/>
      <c r="CF1" s="28"/>
      <c r="CG1" s="28"/>
      <c r="CH1" s="28"/>
      <c r="CI1" s="28"/>
      <c r="CJ1" s="28"/>
    </row>
    <row r="2">
      <c r="A2" s="28"/>
      <c r="B2" s="28"/>
      <c r="C2" s="28"/>
      <c r="D2" s="28"/>
      <c r="E2" s="28"/>
      <c r="F2" s="28"/>
      <c r="G2" s="30"/>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9"/>
      <c r="BW2" s="28"/>
      <c r="BX2" s="28"/>
      <c r="BY2" s="28"/>
      <c r="BZ2" s="28"/>
      <c r="CA2" s="28"/>
      <c r="CB2" s="28"/>
      <c r="CC2" s="28"/>
      <c r="CD2" s="28"/>
      <c r="CE2" s="28"/>
      <c r="CF2" s="28"/>
      <c r="CG2" s="28"/>
      <c r="CH2" s="28"/>
      <c r="CI2" s="28"/>
      <c r="CJ2" s="28"/>
    </row>
    <row r="3">
      <c r="A3" s="28"/>
      <c r="B3" s="28"/>
      <c r="C3" s="28"/>
      <c r="D3" s="28"/>
      <c r="E3" s="28"/>
      <c r="F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9"/>
      <c r="BW3" s="28"/>
      <c r="BX3" s="28"/>
      <c r="BY3" s="28"/>
      <c r="BZ3" s="28"/>
      <c r="CA3" s="28"/>
      <c r="CB3" s="28"/>
      <c r="CC3" s="28"/>
      <c r="CD3" s="28"/>
      <c r="CE3" s="28"/>
      <c r="CF3" s="28"/>
      <c r="CG3" s="28"/>
      <c r="CH3" s="28"/>
      <c r="CI3" s="28"/>
      <c r="CJ3" s="28"/>
    </row>
    <row r="4">
      <c r="A4" s="28"/>
      <c r="B4" s="28"/>
      <c r="C4" s="28"/>
      <c r="D4" s="28"/>
      <c r="E4" s="28"/>
      <c r="F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9"/>
      <c r="BW4" s="28"/>
      <c r="BX4" s="28"/>
      <c r="BY4" s="28"/>
      <c r="BZ4" s="28"/>
      <c r="CA4" s="28"/>
      <c r="CB4" s="28"/>
      <c r="CC4" s="28"/>
      <c r="CD4" s="28"/>
      <c r="CE4" s="28"/>
      <c r="CF4" s="28"/>
      <c r="CG4" s="28"/>
      <c r="CH4" s="28"/>
      <c r="CI4" s="28"/>
      <c r="CJ4" s="28"/>
    </row>
    <row r="5">
      <c r="A5" s="28"/>
      <c r="B5" s="28"/>
      <c r="C5" s="28"/>
      <c r="D5" s="28"/>
      <c r="E5" s="28"/>
      <c r="F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9"/>
      <c r="BW5" s="28"/>
      <c r="BX5" s="28"/>
      <c r="BY5" s="28"/>
      <c r="BZ5" s="28"/>
      <c r="CA5" s="28"/>
      <c r="CB5" s="28"/>
      <c r="CC5" s="28"/>
      <c r="CD5" s="28"/>
      <c r="CE5" s="28"/>
      <c r="CF5" s="28"/>
      <c r="CG5" s="28"/>
      <c r="CH5" s="28"/>
      <c r="CI5" s="28"/>
      <c r="CJ5" s="28"/>
    </row>
    <row r="6">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9"/>
      <c r="BW6" s="28"/>
      <c r="BX6" s="28"/>
      <c r="BY6" s="28"/>
      <c r="BZ6" s="28"/>
      <c r="CA6" s="28"/>
      <c r="CB6" s="28"/>
      <c r="CC6" s="28"/>
      <c r="CD6" s="28"/>
      <c r="CE6" s="28"/>
      <c r="CF6" s="28"/>
      <c r="CG6" s="28"/>
      <c r="CH6" s="28"/>
      <c r="CI6" s="28"/>
      <c r="CJ6" s="28"/>
    </row>
    <row r="7">
      <c r="A7" s="28"/>
      <c r="B7" s="28"/>
      <c r="C7" s="28"/>
      <c r="D7" s="30"/>
      <c r="E7" s="30"/>
      <c r="F7" s="30"/>
      <c r="G7" s="30"/>
      <c r="H7" s="30"/>
      <c r="I7" s="30"/>
      <c r="J7" s="30"/>
      <c r="K7" s="30"/>
      <c r="L7" s="30"/>
      <c r="M7" s="30"/>
      <c r="N7" s="28"/>
      <c r="O7" s="30"/>
      <c r="P7" s="30"/>
      <c r="Q7" s="30"/>
      <c r="R7" s="30"/>
      <c r="S7" s="30"/>
      <c r="T7" s="30"/>
      <c r="U7" s="30"/>
      <c r="V7" s="30"/>
      <c r="W7" s="28"/>
      <c r="X7" s="30"/>
      <c r="Y7" s="30"/>
      <c r="Z7" s="30"/>
      <c r="AA7" s="30"/>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9"/>
      <c r="BW7" s="28"/>
      <c r="BX7" s="28"/>
      <c r="BY7" s="28"/>
      <c r="BZ7" s="28"/>
      <c r="CA7" s="28"/>
      <c r="CB7" s="28"/>
      <c r="CC7" s="28"/>
      <c r="CD7" s="28"/>
      <c r="CE7" s="28"/>
      <c r="CF7" s="28"/>
      <c r="CG7" s="28"/>
      <c r="CH7" s="28"/>
      <c r="CI7" s="28"/>
      <c r="CJ7" s="28"/>
    </row>
    <row r="8">
      <c r="A8" s="28"/>
      <c r="B8" s="28"/>
      <c r="C8" s="28"/>
      <c r="D8" s="30"/>
      <c r="E8" s="30"/>
      <c r="F8" s="31"/>
      <c r="G8" s="31"/>
      <c r="H8" s="31"/>
      <c r="I8" s="31"/>
      <c r="J8" s="31"/>
      <c r="K8" s="31"/>
      <c r="L8" s="31"/>
      <c r="M8" s="30"/>
      <c r="N8" s="28"/>
      <c r="O8" s="30"/>
      <c r="P8" s="30"/>
      <c r="Q8" s="30"/>
      <c r="R8" s="30"/>
      <c r="S8" s="30"/>
      <c r="T8" s="30"/>
      <c r="U8" s="30"/>
      <c r="V8" s="30"/>
      <c r="W8" s="28"/>
      <c r="X8" s="30"/>
      <c r="Y8" s="30"/>
      <c r="Z8" s="30"/>
      <c r="AA8" s="30"/>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9"/>
      <c r="BW8" s="28"/>
      <c r="BX8" s="28"/>
      <c r="BY8" s="28"/>
      <c r="BZ8" s="28"/>
      <c r="CA8" s="28"/>
      <c r="CB8" s="28"/>
      <c r="CC8" s="28"/>
      <c r="CD8" s="28"/>
      <c r="CE8" s="28"/>
      <c r="CF8" s="28"/>
      <c r="CG8" s="28"/>
      <c r="CH8" s="28"/>
      <c r="CI8" s="28"/>
      <c r="CJ8" s="28"/>
    </row>
    <row r="9">
      <c r="A9" s="28"/>
      <c r="B9" s="28"/>
      <c r="C9" s="28"/>
      <c r="D9" s="30"/>
      <c r="E9" s="32"/>
      <c r="F9" s="33" t="str">
        <f t="shared" ref="F9:G9" si="1">AE19</f>
        <v>Monday</v>
      </c>
      <c r="G9" s="33" t="str">
        <f t="shared" si="1"/>
        <v/>
      </c>
      <c r="H9" s="33" t="str">
        <f t="shared" ref="H9:H10" si="3">AH19</f>
        <v/>
      </c>
      <c r="I9" s="33" t="str">
        <f t="shared" ref="I9:I10" si="4">AJ19</f>
        <v/>
      </c>
      <c r="J9" s="33" t="str">
        <f>AL19</f>
        <v/>
      </c>
      <c r="K9" s="33" t="str">
        <f t="shared" ref="K9:K10" si="5">AN19</f>
        <v/>
      </c>
      <c r="L9" s="33" t="str">
        <f t="shared" ref="L9:L10" si="6">AP19</f>
        <v/>
      </c>
      <c r="M9" s="30"/>
      <c r="N9" s="28"/>
      <c r="O9" s="30"/>
      <c r="P9" s="30"/>
      <c r="Q9" s="30"/>
      <c r="R9" s="30"/>
      <c r="S9" s="30"/>
      <c r="T9" s="30"/>
      <c r="U9" s="30"/>
      <c r="V9" s="30"/>
      <c r="W9" s="28"/>
      <c r="X9" s="30"/>
      <c r="Y9" s="30"/>
      <c r="Z9" s="30"/>
      <c r="AA9" s="30"/>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9"/>
      <c r="BW9" s="28"/>
      <c r="BX9" s="28"/>
      <c r="BY9" s="28"/>
      <c r="BZ9" s="28"/>
      <c r="CA9" s="28"/>
      <c r="CB9" s="28"/>
      <c r="CC9" s="28"/>
      <c r="CD9" s="28"/>
      <c r="CE9" s="28"/>
      <c r="CF9" s="28"/>
      <c r="CG9" s="28"/>
      <c r="CH9" s="28"/>
      <c r="CI9" s="28"/>
      <c r="CJ9" s="28"/>
    </row>
    <row r="10">
      <c r="A10" s="28"/>
      <c r="B10" s="28"/>
      <c r="C10" s="28"/>
      <c r="D10" s="30"/>
      <c r="E10" s="32" t="str">
        <f t="shared" ref="E10:G10" si="2">AD20</f>
        <v>Krakow</v>
      </c>
      <c r="F10" s="34">
        <f t="shared" si="2"/>
        <v>53</v>
      </c>
      <c r="G10" s="34">
        <f t="shared" si="2"/>
        <v>53</v>
      </c>
      <c r="H10" s="34">
        <f t="shared" si="3"/>
        <v>48</v>
      </c>
      <c r="I10" s="34">
        <f t="shared" si="4"/>
        <v>57</v>
      </c>
      <c r="J10" s="34">
        <f>AK20</f>
        <v>65</v>
      </c>
      <c r="K10" s="34">
        <f t="shared" si="5"/>
        <v>65</v>
      </c>
      <c r="L10" s="34">
        <f t="shared" si="6"/>
        <v>58</v>
      </c>
      <c r="M10" s="30"/>
      <c r="N10" s="28"/>
      <c r="O10" s="30"/>
      <c r="P10" s="30"/>
      <c r="Q10" s="30"/>
      <c r="R10" s="30"/>
      <c r="S10" s="30"/>
      <c r="T10" s="30"/>
      <c r="U10" s="30"/>
      <c r="V10" s="30"/>
      <c r="W10" s="28"/>
      <c r="X10" s="30"/>
      <c r="Y10" s="30"/>
      <c r="Z10" s="30"/>
      <c r="AA10" s="30"/>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9"/>
      <c r="BW10" s="28"/>
      <c r="BX10" s="28"/>
      <c r="BY10" s="28"/>
      <c r="BZ10" s="28"/>
      <c r="CA10" s="28"/>
      <c r="CB10" s="28"/>
      <c r="CC10" s="28"/>
      <c r="CD10" s="28"/>
      <c r="CE10" s="28"/>
      <c r="CF10" s="28"/>
      <c r="CG10" s="28"/>
      <c r="CH10" s="28"/>
      <c r="CI10" s="28"/>
      <c r="CJ10" s="28"/>
    </row>
    <row r="11">
      <c r="A11" s="28"/>
      <c r="B11" s="28"/>
      <c r="C11" s="28"/>
      <c r="D11" s="30"/>
      <c r="E11" s="32" t="str">
        <f t="shared" ref="E11:F11" si="7">AD21</f>
        <v>Lodz</v>
      </c>
      <c r="F11" s="34">
        <f t="shared" si="7"/>
        <v>58</v>
      </c>
      <c r="G11" s="34">
        <v>45.0</v>
      </c>
      <c r="H11" s="34">
        <v>47.0</v>
      </c>
      <c r="I11" s="34">
        <v>39.0</v>
      </c>
      <c r="J11" s="34">
        <v>39.0</v>
      </c>
      <c r="K11" s="34">
        <v>56.0</v>
      </c>
      <c r="L11" s="34">
        <v>39.0</v>
      </c>
      <c r="M11" s="30"/>
      <c r="N11" s="28"/>
      <c r="O11" s="30"/>
      <c r="P11" s="30"/>
      <c r="Q11" s="30"/>
      <c r="R11" s="30"/>
      <c r="S11" s="30"/>
      <c r="T11" s="30"/>
      <c r="U11" s="30"/>
      <c r="V11" s="30"/>
      <c r="W11" s="28"/>
      <c r="X11" s="30"/>
      <c r="Y11" s="30"/>
      <c r="Z11" s="30"/>
      <c r="AA11" s="30"/>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9"/>
      <c r="BW11" s="28"/>
      <c r="BX11" s="28"/>
      <c r="BY11" s="28"/>
      <c r="BZ11" s="28"/>
      <c r="CA11" s="28"/>
      <c r="CB11" s="28"/>
      <c r="CC11" s="28"/>
      <c r="CD11" s="28"/>
      <c r="CE11" s="28"/>
      <c r="CF11" s="28"/>
      <c r="CG11" s="28"/>
      <c r="CH11" s="28"/>
      <c r="CI11" s="28"/>
      <c r="CJ11" s="28"/>
    </row>
    <row r="12">
      <c r="A12" s="28"/>
      <c r="B12" s="28"/>
      <c r="C12" s="28"/>
      <c r="D12" s="30"/>
      <c r="E12" s="32" t="str">
        <f t="shared" ref="E12:F12" si="8">AD22</f>
        <v>Warsaw</v>
      </c>
      <c r="F12" s="34">
        <f t="shared" si="8"/>
        <v>43</v>
      </c>
      <c r="G12" s="34">
        <v>38.0</v>
      </c>
      <c r="H12" s="34">
        <v>56.0</v>
      </c>
      <c r="I12" s="34">
        <v>57.0</v>
      </c>
      <c r="J12" s="34">
        <v>44.0</v>
      </c>
      <c r="K12" s="34">
        <v>60.0</v>
      </c>
      <c r="L12" s="34">
        <v>38.0</v>
      </c>
      <c r="M12" s="30"/>
      <c r="N12" s="28"/>
      <c r="O12" s="30"/>
      <c r="P12" s="30"/>
      <c r="Q12" s="30"/>
      <c r="R12" s="30"/>
      <c r="S12" s="30"/>
      <c r="T12" s="30"/>
      <c r="U12" s="30"/>
      <c r="V12" s="30"/>
      <c r="W12" s="28"/>
      <c r="X12" s="30"/>
      <c r="Y12" s="30"/>
      <c r="Z12" s="30"/>
      <c r="AA12" s="30"/>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9"/>
      <c r="BW12" s="28"/>
      <c r="BX12" s="28"/>
      <c r="BY12" s="28"/>
      <c r="BZ12" s="28"/>
      <c r="CA12" s="28"/>
      <c r="CB12" s="28"/>
      <c r="CC12" s="28"/>
      <c r="CD12" s="28"/>
      <c r="CE12" s="28"/>
      <c r="CF12" s="28"/>
      <c r="CG12" s="28"/>
      <c r="CH12" s="28"/>
      <c r="CI12" s="28"/>
      <c r="CJ12" s="28"/>
    </row>
    <row r="13">
      <c r="A13" s="28"/>
      <c r="B13" s="28"/>
      <c r="C13" s="28"/>
      <c r="D13" s="30"/>
      <c r="E13" s="32" t="str">
        <f t="shared" ref="E13:F13" si="9">AD23</f>
        <v>Wroclaw</v>
      </c>
      <c r="F13" s="34">
        <f t="shared" si="9"/>
        <v>44</v>
      </c>
      <c r="G13" s="34">
        <v>44.0</v>
      </c>
      <c r="H13" s="34">
        <v>40.0</v>
      </c>
      <c r="I13" s="34">
        <v>62.0</v>
      </c>
      <c r="J13" s="34">
        <v>46.0</v>
      </c>
      <c r="K13" s="34">
        <v>50.0</v>
      </c>
      <c r="L13" s="35">
        <v>40.0</v>
      </c>
      <c r="M13" s="30"/>
      <c r="N13" s="28"/>
      <c r="O13" s="30"/>
      <c r="P13" s="30"/>
      <c r="Q13" s="30"/>
      <c r="R13" s="30"/>
      <c r="S13" s="30"/>
      <c r="T13" s="30"/>
      <c r="U13" s="30"/>
      <c r="V13" s="30"/>
      <c r="W13" s="28"/>
      <c r="X13" s="30"/>
      <c r="Y13" s="30"/>
      <c r="Z13" s="30"/>
      <c r="AA13" s="30"/>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9"/>
      <c r="BW13" s="28"/>
      <c r="BX13" s="28"/>
      <c r="BY13" s="28"/>
      <c r="BZ13" s="28"/>
      <c r="CA13" s="28"/>
      <c r="CB13" s="28"/>
      <c r="CC13" s="28"/>
      <c r="CD13" s="28"/>
      <c r="CE13" s="28"/>
      <c r="CF13" s="28"/>
      <c r="CG13" s="28"/>
      <c r="CH13" s="28"/>
      <c r="CI13" s="28"/>
      <c r="CJ13" s="28"/>
    </row>
    <row r="14">
      <c r="A14" s="28"/>
      <c r="B14" s="28"/>
      <c r="C14" s="28"/>
      <c r="D14" s="30"/>
      <c r="E14" s="30"/>
      <c r="F14" s="30"/>
      <c r="G14" s="30"/>
      <c r="H14" s="30"/>
      <c r="I14" s="30"/>
      <c r="J14" s="30"/>
      <c r="K14" s="30"/>
      <c r="L14" s="30"/>
      <c r="M14" s="30"/>
      <c r="N14" s="28"/>
      <c r="O14" s="30"/>
      <c r="P14" s="30"/>
      <c r="Q14" s="30"/>
      <c r="R14" s="30"/>
      <c r="S14" s="30"/>
      <c r="T14" s="30"/>
      <c r="U14" s="30"/>
      <c r="V14" s="30"/>
      <c r="W14" s="28"/>
      <c r="X14" s="30"/>
      <c r="Y14" s="30"/>
      <c r="Z14" s="30"/>
      <c r="AA14" s="30"/>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9"/>
      <c r="BW14" s="28"/>
      <c r="BX14" s="28"/>
      <c r="BY14" s="28"/>
      <c r="BZ14" s="28"/>
      <c r="CA14" s="28"/>
      <c r="CB14" s="28"/>
      <c r="CC14" s="28"/>
      <c r="CD14" s="28"/>
      <c r="CE14" s="28"/>
      <c r="CF14" s="28"/>
      <c r="CG14" s="28"/>
      <c r="CH14" s="28"/>
      <c r="CI14" s="28"/>
      <c r="CJ14" s="28"/>
    </row>
    <row r="15">
      <c r="A15" s="28"/>
      <c r="B15" s="28"/>
      <c r="C15" s="28"/>
      <c r="D15" s="30"/>
      <c r="E15" s="30"/>
      <c r="F15" s="30"/>
      <c r="G15" s="30"/>
      <c r="H15" s="30"/>
      <c r="I15" s="30"/>
      <c r="J15" s="30"/>
      <c r="K15" s="30"/>
      <c r="L15" s="30"/>
      <c r="M15" s="30"/>
      <c r="N15" s="28"/>
      <c r="O15" s="30"/>
      <c r="P15" s="30"/>
      <c r="Q15" s="30"/>
      <c r="R15" s="30"/>
      <c r="S15" s="30"/>
      <c r="T15" s="30"/>
      <c r="U15" s="30"/>
      <c r="V15" s="30"/>
      <c r="W15" s="28"/>
      <c r="X15" s="30"/>
      <c r="Y15" s="30"/>
      <c r="Z15" s="30"/>
      <c r="AA15" s="30"/>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9"/>
      <c r="BW15" s="28"/>
      <c r="BX15" s="28"/>
      <c r="BY15" s="28"/>
      <c r="BZ15" s="28"/>
      <c r="CA15" s="28"/>
      <c r="CB15" s="28"/>
      <c r="CC15" s="28"/>
      <c r="CD15" s="28"/>
      <c r="CE15" s="28"/>
      <c r="CF15" s="28"/>
      <c r="CG15" s="28"/>
      <c r="CH15" s="28"/>
      <c r="CI15" s="28"/>
      <c r="CJ15" s="28"/>
    </row>
    <row r="16">
      <c r="A16" s="28"/>
      <c r="B16" s="28"/>
      <c r="C16" s="28"/>
      <c r="D16" s="28"/>
      <c r="E16" s="28"/>
      <c r="F16" s="28"/>
      <c r="G16" s="28"/>
      <c r="H16" s="28"/>
      <c r="I16" s="28"/>
      <c r="J16" s="28"/>
      <c r="K16" s="28"/>
      <c r="L16" s="28"/>
      <c r="M16" s="28"/>
      <c r="N16" s="28"/>
      <c r="O16" s="30"/>
      <c r="P16" s="30"/>
      <c r="Q16" s="30"/>
      <c r="R16" s="30"/>
      <c r="S16" s="30"/>
      <c r="T16" s="30"/>
      <c r="U16" s="30"/>
      <c r="V16" s="30"/>
      <c r="W16" s="28"/>
      <c r="X16" s="30"/>
      <c r="Y16" s="30"/>
      <c r="Z16" s="30"/>
      <c r="AA16" s="30"/>
      <c r="AB16" s="28"/>
      <c r="BM16" s="23"/>
      <c r="BV16" s="23"/>
      <c r="BW16" s="24"/>
    </row>
    <row r="17">
      <c r="A17" s="28"/>
      <c r="B17" s="28"/>
      <c r="C17" s="28"/>
      <c r="D17" s="30"/>
      <c r="E17" s="30"/>
      <c r="F17" s="30"/>
      <c r="G17" s="30"/>
      <c r="H17" s="30"/>
      <c r="I17" s="30"/>
      <c r="J17" s="30"/>
      <c r="K17" s="30"/>
      <c r="L17" s="30"/>
      <c r="M17" s="30"/>
      <c r="N17" s="28"/>
      <c r="O17" s="30"/>
      <c r="P17" s="30"/>
      <c r="Q17" s="30"/>
      <c r="R17" s="30"/>
      <c r="S17" s="30"/>
      <c r="T17" s="30"/>
      <c r="U17" s="30"/>
      <c r="V17" s="30"/>
      <c r="W17" s="28"/>
      <c r="X17" s="30"/>
      <c r="Y17" s="30"/>
      <c r="Z17" s="30"/>
      <c r="AA17" s="30"/>
      <c r="AB17" s="28"/>
      <c r="AD17" s="25" t="s">
        <v>415</v>
      </c>
      <c r="AE17" s="26" t="s">
        <v>13</v>
      </c>
      <c r="AF17" s="27" t="s">
        <v>11</v>
      </c>
      <c r="AG17" s="25"/>
      <c r="AH17" s="25"/>
      <c r="AI17" s="25"/>
      <c r="AJ17" s="25"/>
      <c r="AK17" s="25"/>
      <c r="AL17" s="25"/>
      <c r="AM17" s="25"/>
      <c r="AN17" s="25"/>
      <c r="AO17" s="25"/>
      <c r="AP17" s="25"/>
      <c r="AQ17" s="25"/>
      <c r="AR17" s="25"/>
      <c r="BM17" s="23"/>
      <c r="BV17" s="23"/>
      <c r="BW17" s="24"/>
    </row>
    <row r="18">
      <c r="A18" s="28"/>
      <c r="B18" s="28"/>
      <c r="C18" s="28"/>
      <c r="D18" s="30"/>
      <c r="E18" s="30"/>
      <c r="F18" s="30"/>
      <c r="G18" s="30"/>
      <c r="H18" s="30"/>
      <c r="I18" s="30"/>
      <c r="J18" s="30"/>
      <c r="K18" s="30"/>
      <c r="L18" s="30"/>
      <c r="M18" s="30"/>
      <c r="N18" s="28"/>
      <c r="O18" s="30"/>
      <c r="P18" s="30"/>
      <c r="Q18" s="30"/>
      <c r="R18" s="30"/>
      <c r="S18" s="30"/>
      <c r="T18" s="30"/>
      <c r="U18" s="30"/>
      <c r="V18" s="30"/>
      <c r="W18" s="28"/>
      <c r="X18" s="30"/>
      <c r="Y18" s="30"/>
      <c r="Z18" s="36">
        <f>SUM(BW:BW)</f>
        <v>224077.6118</v>
      </c>
      <c r="AB18" s="28"/>
      <c r="AD18" s="25"/>
      <c r="AE18" s="26">
        <v>1.0</v>
      </c>
      <c r="AF18" s="25" t="s">
        <v>418</v>
      </c>
      <c r="AG18" s="26">
        <v>2.0</v>
      </c>
      <c r="AH18" s="25" t="s">
        <v>419</v>
      </c>
      <c r="AI18" s="26">
        <v>3.0</v>
      </c>
      <c r="AJ18" s="25" t="s">
        <v>420</v>
      </c>
      <c r="AK18" s="26">
        <v>4.0</v>
      </c>
      <c r="AL18" s="25" t="s">
        <v>421</v>
      </c>
      <c r="AM18" s="26">
        <v>5.0</v>
      </c>
      <c r="AN18" s="25" t="s">
        <v>422</v>
      </c>
      <c r="AO18" s="26">
        <v>6.0</v>
      </c>
      <c r="AP18" s="25" t="s">
        <v>423</v>
      </c>
      <c r="AQ18" s="26">
        <v>7.0</v>
      </c>
      <c r="AR18" s="25" t="s">
        <v>424</v>
      </c>
      <c r="BM18" s="23"/>
      <c r="BV18" s="23"/>
      <c r="BW18" s="24"/>
    </row>
    <row r="19">
      <c r="A19" s="28"/>
      <c r="B19" s="28"/>
      <c r="C19" s="28"/>
      <c r="D19" s="30"/>
      <c r="E19" s="30"/>
      <c r="F19" s="30"/>
      <c r="G19" s="30"/>
      <c r="H19" s="30"/>
      <c r="I19" s="30"/>
      <c r="J19" s="30"/>
      <c r="K19" s="30"/>
      <c r="L19" s="30"/>
      <c r="M19" s="30"/>
      <c r="N19" s="28"/>
      <c r="O19" s="30"/>
      <c r="P19" s="30"/>
      <c r="Q19" s="30"/>
      <c r="R19" s="30"/>
      <c r="S19" s="30"/>
      <c r="T19" s="30"/>
      <c r="U19" s="30"/>
      <c r="V19" s="30"/>
      <c r="W19" s="28"/>
      <c r="X19" s="30"/>
      <c r="Y19" s="30"/>
      <c r="AB19" s="28"/>
      <c r="AD19" s="25" t="s">
        <v>10</v>
      </c>
      <c r="AE19" s="27" t="s">
        <v>27</v>
      </c>
      <c r="AF19" s="25"/>
      <c r="AG19" s="27" t="s">
        <v>57</v>
      </c>
      <c r="AH19" s="25"/>
      <c r="AI19" s="27" t="s">
        <v>35</v>
      </c>
      <c r="AJ19" s="25"/>
      <c r="AK19" s="27" t="s">
        <v>70</v>
      </c>
      <c r="AL19" s="25"/>
      <c r="AM19" s="27" t="s">
        <v>76</v>
      </c>
      <c r="AN19" s="25"/>
      <c r="AO19" s="27" t="s">
        <v>53</v>
      </c>
      <c r="AP19" s="25"/>
      <c r="AQ19" s="27" t="s">
        <v>61</v>
      </c>
      <c r="AR19" s="25"/>
      <c r="BM19" s="23"/>
      <c r="BV19" s="23"/>
      <c r="BW19" s="24"/>
    </row>
    <row r="20">
      <c r="A20" s="28"/>
      <c r="B20" s="28"/>
      <c r="C20" s="37"/>
      <c r="D20" s="30"/>
      <c r="E20" s="30"/>
      <c r="F20" s="30"/>
      <c r="G20" s="30"/>
      <c r="H20" s="30"/>
      <c r="I20" s="30"/>
      <c r="J20" s="30"/>
      <c r="K20" s="30"/>
      <c r="L20" s="30"/>
      <c r="M20" s="30"/>
      <c r="N20" s="28"/>
      <c r="O20" s="30"/>
      <c r="P20" s="30"/>
      <c r="Q20" s="30"/>
      <c r="R20" s="30"/>
      <c r="S20" s="30"/>
      <c r="T20" s="30"/>
      <c r="U20" s="30"/>
      <c r="V20" s="30"/>
      <c r="W20" s="28"/>
      <c r="X20" s="30"/>
      <c r="Y20" s="30"/>
      <c r="AB20" s="28"/>
      <c r="AD20" s="25" t="s">
        <v>68</v>
      </c>
      <c r="AE20" s="25">
        <v>53.0</v>
      </c>
      <c r="AF20" s="25">
        <v>53.0</v>
      </c>
      <c r="AG20" s="25">
        <v>48.0</v>
      </c>
      <c r="AH20" s="25">
        <v>48.0</v>
      </c>
      <c r="AI20" s="25">
        <v>57.0</v>
      </c>
      <c r="AJ20" s="25">
        <v>57.0</v>
      </c>
      <c r="AK20" s="25">
        <v>65.0</v>
      </c>
      <c r="AL20" s="25">
        <v>65.0</v>
      </c>
      <c r="AM20" s="25">
        <v>65.0</v>
      </c>
      <c r="AN20" s="25">
        <v>65.0</v>
      </c>
      <c r="AO20" s="25">
        <v>58.0</v>
      </c>
      <c r="AP20" s="25">
        <v>58.0</v>
      </c>
      <c r="AQ20" s="25">
        <v>54.0</v>
      </c>
      <c r="AR20" s="25">
        <v>54.0</v>
      </c>
      <c r="BH20" s="25" t="s">
        <v>19</v>
      </c>
      <c r="BI20" s="25" t="s">
        <v>415</v>
      </c>
      <c r="BJ20" s="25" t="s">
        <v>415</v>
      </c>
      <c r="BP20" s="38" t="s">
        <v>695</v>
      </c>
      <c r="BQ20" s="38" t="s">
        <v>697</v>
      </c>
      <c r="BR20" s="38" t="s">
        <v>699</v>
      </c>
      <c r="BS20" s="38" t="s">
        <v>701</v>
      </c>
      <c r="BT20" s="38"/>
      <c r="BX20" s="38"/>
    </row>
    <row r="21">
      <c r="A21" s="28"/>
      <c r="B21" s="28"/>
      <c r="C21" s="28"/>
      <c r="D21" s="30"/>
      <c r="E21" s="30"/>
      <c r="F21" s="30"/>
      <c r="G21" s="30"/>
      <c r="H21" s="30"/>
      <c r="I21" s="30"/>
      <c r="J21" s="30"/>
      <c r="K21" s="30"/>
      <c r="L21" s="30"/>
      <c r="M21" s="30"/>
      <c r="N21" s="28"/>
      <c r="O21" s="30"/>
      <c r="P21" s="30"/>
      <c r="Q21" s="30"/>
      <c r="R21" s="30"/>
      <c r="S21" s="30"/>
      <c r="T21" s="30"/>
      <c r="U21" s="30"/>
      <c r="V21" s="30"/>
      <c r="W21" s="28"/>
      <c r="X21" s="30"/>
      <c r="Y21" s="30"/>
      <c r="AB21" s="28"/>
      <c r="AD21" s="25" t="s">
        <v>26</v>
      </c>
      <c r="AE21" s="25">
        <v>58.0</v>
      </c>
      <c r="AF21" s="25">
        <v>58.0</v>
      </c>
      <c r="AG21" s="25">
        <v>45.0</v>
      </c>
      <c r="AH21" s="25">
        <v>45.0</v>
      </c>
      <c r="AI21" s="25">
        <v>47.0</v>
      </c>
      <c r="AJ21" s="25">
        <v>47.0</v>
      </c>
      <c r="AK21" s="25">
        <v>39.0</v>
      </c>
      <c r="AL21" s="25">
        <v>39.0</v>
      </c>
      <c r="AM21" s="25">
        <v>39.0</v>
      </c>
      <c r="AN21" s="25">
        <v>39.0</v>
      </c>
      <c r="AO21" s="25">
        <v>56.0</v>
      </c>
      <c r="AP21" s="25">
        <v>56.0</v>
      </c>
      <c r="AQ21" s="25">
        <v>39.0</v>
      </c>
      <c r="AR21" s="25">
        <v>39.0</v>
      </c>
      <c r="BE21" s="25" t="str">
        <f t="shared" ref="BE21:BF21" si="10">BB21</f>
        <v>Paper</v>
      </c>
      <c r="BF21" s="25">
        <f t="shared" si="10"/>
        <v>284</v>
      </c>
      <c r="BH21" s="25" t="b">
        <v>0</v>
      </c>
      <c r="BI21" s="25">
        <v>1354.0</v>
      </c>
      <c r="BJ21" s="40">
        <v>0.991941391941392</v>
      </c>
      <c r="BO21" s="25" t="str">
        <f t="shared" ref="BO21:BO24" si="12">BL21</f>
        <v>Krakow</v>
      </c>
      <c r="BP21" s="41">
        <v>2.5</v>
      </c>
      <c r="BQ21" s="41">
        <v>1.5</v>
      </c>
      <c r="BR21" s="41">
        <v>1.0</v>
      </c>
      <c r="BS21" s="23">
        <f t="shared" ref="BS21:BS24" si="13">BM21</f>
        <v>77365.47267</v>
      </c>
    </row>
    <row r="22">
      <c r="A22" s="28"/>
      <c r="B22" s="28"/>
      <c r="C22" s="28"/>
      <c r="D22" s="30"/>
      <c r="E22" s="30"/>
      <c r="F22" s="30"/>
      <c r="G22" s="30"/>
      <c r="H22" s="30"/>
      <c r="I22" s="30"/>
      <c r="J22" s="30"/>
      <c r="K22" s="30"/>
      <c r="L22" s="30"/>
      <c r="M22" s="30"/>
      <c r="N22" s="28"/>
      <c r="O22" s="30"/>
      <c r="P22" s="30"/>
      <c r="Q22" s="30"/>
      <c r="R22" s="30"/>
      <c r="S22" s="30"/>
      <c r="T22" s="30"/>
      <c r="U22" s="30"/>
      <c r="V22" s="30"/>
      <c r="W22" s="28"/>
      <c r="X22" s="30"/>
      <c r="Y22" s="30"/>
      <c r="AB22" s="28"/>
      <c r="AD22" s="25" t="s">
        <v>34</v>
      </c>
      <c r="AE22" s="25">
        <v>43.0</v>
      </c>
      <c r="AF22" s="25">
        <v>43.0</v>
      </c>
      <c r="AG22" s="25">
        <v>38.0</v>
      </c>
      <c r="AH22" s="25">
        <v>38.0</v>
      </c>
      <c r="AI22" s="25">
        <v>56.0</v>
      </c>
      <c r="AJ22" s="25">
        <v>56.0</v>
      </c>
      <c r="AK22" s="25">
        <v>57.0</v>
      </c>
      <c r="AL22" s="25">
        <v>57.0</v>
      </c>
      <c r="AM22" s="25">
        <v>44.0</v>
      </c>
      <c r="AN22" s="25">
        <v>44.0</v>
      </c>
      <c r="AO22" s="25">
        <v>60.0</v>
      </c>
      <c r="AP22" s="25">
        <v>60.0</v>
      </c>
      <c r="AQ22" s="25">
        <v>38.0</v>
      </c>
      <c r="AR22" s="25">
        <v>38.0</v>
      </c>
      <c r="BE22" s="25" t="str">
        <f t="shared" ref="BE22:BF22" si="11">BB22</f>
        <v>Binders and Binder Accessories</v>
      </c>
      <c r="BF22" s="25">
        <f t="shared" si="11"/>
        <v>200</v>
      </c>
      <c r="BH22" s="25" t="b">
        <v>1</v>
      </c>
      <c r="BI22" s="25">
        <v>11.0</v>
      </c>
      <c r="BJ22" s="40">
        <v>0.00805860805860806</v>
      </c>
      <c r="BO22" s="25" t="str">
        <f t="shared" si="12"/>
        <v>Lodz</v>
      </c>
      <c r="BP22" s="42">
        <v>1.5</v>
      </c>
      <c r="BQ22" s="42">
        <v>4.8</v>
      </c>
      <c r="BR22" s="42">
        <v>2.0</v>
      </c>
      <c r="BS22" s="23">
        <f t="shared" si="13"/>
        <v>85291.40345</v>
      </c>
    </row>
    <row r="23">
      <c r="A23" s="28"/>
      <c r="B23" s="28"/>
      <c r="C23" s="28"/>
      <c r="D23" s="30"/>
      <c r="E23" s="30"/>
      <c r="F23" s="30"/>
      <c r="G23" s="30"/>
      <c r="H23" s="30"/>
      <c r="I23" s="30"/>
      <c r="J23" s="30"/>
      <c r="K23" s="30"/>
      <c r="L23" s="30"/>
      <c r="M23" s="30"/>
      <c r="N23" s="28"/>
      <c r="O23" s="30"/>
      <c r="P23" s="30"/>
      <c r="Q23" s="30"/>
      <c r="R23" s="30"/>
      <c r="S23" s="30"/>
      <c r="T23" s="30"/>
      <c r="U23" s="30"/>
      <c r="V23" s="30"/>
      <c r="W23" s="28"/>
      <c r="X23" s="30"/>
      <c r="Y23" s="30"/>
      <c r="AB23" s="28"/>
      <c r="AD23" s="25" t="s">
        <v>229</v>
      </c>
      <c r="AE23" s="25">
        <v>44.0</v>
      </c>
      <c r="AF23" s="25">
        <v>44.0</v>
      </c>
      <c r="AG23" s="25">
        <v>44.0</v>
      </c>
      <c r="AH23" s="25">
        <v>44.0</v>
      </c>
      <c r="AI23" s="25">
        <v>40.0</v>
      </c>
      <c r="AJ23" s="25">
        <v>40.0</v>
      </c>
      <c r="AK23" s="25">
        <v>62.0</v>
      </c>
      <c r="AL23" s="25">
        <v>62.0</v>
      </c>
      <c r="AM23" s="25">
        <v>46.0</v>
      </c>
      <c r="AN23" s="25">
        <v>46.0</v>
      </c>
      <c r="AO23" s="25">
        <v>50.0</v>
      </c>
      <c r="AP23" s="25">
        <v>50.0</v>
      </c>
      <c r="AQ23" s="25">
        <v>40.0</v>
      </c>
      <c r="AR23" s="25">
        <v>40.0</v>
      </c>
      <c r="BE23" s="25" t="str">
        <f t="shared" ref="BE23:BF23" si="14">BB23</f>
        <v>Telephones and Communication</v>
      </c>
      <c r="BF23" s="25">
        <f t="shared" si="14"/>
        <v>194</v>
      </c>
      <c r="BH23" s="25" t="s">
        <v>805</v>
      </c>
      <c r="BI23" s="25">
        <v>1365.0</v>
      </c>
      <c r="BJ23" s="40">
        <v>1.0</v>
      </c>
      <c r="BO23" s="25" t="str">
        <f t="shared" si="12"/>
        <v>Warsaw</v>
      </c>
      <c r="BP23" s="42">
        <v>3.0</v>
      </c>
      <c r="BQ23" s="42">
        <v>5.8</v>
      </c>
      <c r="BR23" s="42">
        <v>3.0</v>
      </c>
      <c r="BS23" s="23">
        <f t="shared" si="13"/>
        <v>75844.7901</v>
      </c>
    </row>
    <row r="24">
      <c r="A24" s="28"/>
      <c r="B24" s="28"/>
      <c r="C24" s="28"/>
      <c r="D24" s="30"/>
      <c r="E24" s="30"/>
      <c r="F24" s="30"/>
      <c r="G24" s="44"/>
      <c r="H24" s="30"/>
      <c r="I24" s="30"/>
      <c r="J24" s="30"/>
      <c r="K24" s="30"/>
      <c r="L24" s="30"/>
      <c r="M24" s="30"/>
      <c r="N24" s="28"/>
      <c r="O24" s="30"/>
      <c r="P24" s="30"/>
      <c r="Q24" s="30"/>
      <c r="R24" s="30"/>
      <c r="S24" s="30"/>
      <c r="T24" s="30"/>
      <c r="U24" s="30"/>
      <c r="V24" s="30"/>
      <c r="W24" s="28"/>
      <c r="X24" s="30"/>
      <c r="Y24" s="30"/>
      <c r="AB24" s="28"/>
      <c r="BE24" s="25" t="str">
        <f t="shared" ref="BE24:BF24" si="15">BB24</f>
        <v>Office Furnishings</v>
      </c>
      <c r="BF24" s="25">
        <f t="shared" si="15"/>
        <v>185</v>
      </c>
      <c r="BO24" s="25" t="str">
        <f t="shared" si="12"/>
        <v>Wroclaw</v>
      </c>
      <c r="BP24" s="42">
        <v>-1.5</v>
      </c>
      <c r="BQ24" s="42">
        <v>3.0</v>
      </c>
      <c r="BR24" s="42">
        <v>4.0</v>
      </c>
      <c r="BS24" s="23">
        <f t="shared" si="13"/>
        <v>-14424.05438</v>
      </c>
    </row>
    <row r="25">
      <c r="A25" s="28"/>
      <c r="B25" s="28"/>
      <c r="C25" s="28"/>
      <c r="D25" s="30"/>
      <c r="E25" s="30"/>
      <c r="F25" s="30"/>
      <c r="G25" s="30"/>
      <c r="H25" s="30"/>
      <c r="I25" s="30"/>
      <c r="J25" s="30"/>
      <c r="K25" s="30"/>
      <c r="L25" s="30"/>
      <c r="M25" s="30"/>
      <c r="N25" s="28"/>
      <c r="O25" s="30"/>
      <c r="P25" s="30"/>
      <c r="Q25" s="30"/>
      <c r="R25" s="30"/>
      <c r="S25" s="30"/>
      <c r="T25" s="30"/>
      <c r="U25" s="30"/>
      <c r="V25" s="30"/>
      <c r="W25" s="28"/>
      <c r="X25" s="30"/>
      <c r="Y25" s="30"/>
      <c r="AB25" s="28"/>
      <c r="BE25" s="25" t="str">
        <f t="shared" ref="BE25:BF25" si="16">BB25</f>
        <v>Computer Peripherals</v>
      </c>
      <c r="BF25" s="25">
        <f t="shared" si="16"/>
        <v>174</v>
      </c>
      <c r="BP25" s="42">
        <v>10.0</v>
      </c>
      <c r="BQ25" s="42">
        <v>10.0</v>
      </c>
      <c r="BR25" s="43"/>
    </row>
    <row r="26">
      <c r="A26" s="28"/>
      <c r="B26" s="28"/>
      <c r="C26" s="28"/>
      <c r="D26" s="30"/>
      <c r="E26" s="30"/>
      <c r="F26" s="30"/>
      <c r="G26" s="30"/>
      <c r="H26" s="30"/>
      <c r="I26" s="30"/>
      <c r="J26" s="30"/>
      <c r="K26" s="30"/>
      <c r="L26" s="30"/>
      <c r="M26" s="30"/>
      <c r="N26" s="28"/>
      <c r="O26" s="30"/>
      <c r="P26" s="30"/>
      <c r="Q26" s="30"/>
      <c r="R26" s="30"/>
      <c r="S26" s="30"/>
      <c r="T26" s="30"/>
      <c r="U26" s="30"/>
      <c r="V26" s="30"/>
      <c r="W26" s="28"/>
      <c r="X26" s="30"/>
      <c r="Y26" s="30"/>
      <c r="Z26" s="45">
        <f>SUM(BV:BV)</f>
        <v>1924337.88</v>
      </c>
      <c r="AB26" s="28"/>
      <c r="BM26" s="23"/>
      <c r="BP26" s="42">
        <v>-5.0</v>
      </c>
      <c r="BQ26" s="43"/>
      <c r="BR26" s="43"/>
    </row>
    <row r="27">
      <c r="A27" s="28"/>
      <c r="B27" s="28"/>
      <c r="C27" s="28"/>
      <c r="D27" s="30"/>
      <c r="E27" s="30"/>
      <c r="F27" s="30"/>
      <c r="G27" s="30"/>
      <c r="H27" s="30"/>
      <c r="I27" s="30"/>
      <c r="J27" s="30"/>
      <c r="K27" s="30"/>
      <c r="L27" s="30"/>
      <c r="M27" s="30"/>
      <c r="N27" s="28"/>
      <c r="O27" s="30"/>
      <c r="P27" s="30"/>
      <c r="Q27" s="30"/>
      <c r="R27" s="30"/>
      <c r="S27" s="30"/>
      <c r="T27" s="30"/>
      <c r="U27" s="30"/>
      <c r="V27" s="30"/>
      <c r="W27" s="28"/>
      <c r="X27" s="30"/>
      <c r="Y27" s="30"/>
      <c r="AB27" s="28"/>
      <c r="BM27" s="23"/>
    </row>
    <row r="28">
      <c r="A28" s="28"/>
      <c r="B28" s="28"/>
      <c r="C28" s="28"/>
      <c r="D28" s="30"/>
      <c r="E28" s="30"/>
      <c r="F28" s="30"/>
      <c r="G28" s="30"/>
      <c r="H28" s="30"/>
      <c r="I28" s="30"/>
      <c r="J28" s="30"/>
      <c r="K28" s="30"/>
      <c r="L28" s="30"/>
      <c r="M28" s="30"/>
      <c r="N28" s="28"/>
      <c r="O28" s="30"/>
      <c r="P28" s="30"/>
      <c r="Q28" s="30"/>
      <c r="R28" s="30"/>
      <c r="S28" s="30"/>
      <c r="T28" s="30"/>
      <c r="U28" s="30"/>
      <c r="V28" s="30"/>
      <c r="W28" s="28"/>
      <c r="X28" s="30"/>
      <c r="Y28" s="30"/>
      <c r="AB28" s="28"/>
      <c r="BM28" s="23"/>
    </row>
    <row r="29">
      <c r="A29" s="28"/>
      <c r="B29" s="28"/>
      <c r="C29" s="28"/>
      <c r="D29" s="30"/>
      <c r="E29" s="30"/>
      <c r="F29" s="30"/>
      <c r="G29" s="30"/>
      <c r="H29" s="30"/>
      <c r="I29" s="30"/>
      <c r="J29" s="30"/>
      <c r="K29" s="30"/>
      <c r="L29" s="30"/>
      <c r="M29" s="30"/>
      <c r="N29" s="28"/>
      <c r="O29" s="30"/>
      <c r="P29" s="30"/>
      <c r="Q29" s="30"/>
      <c r="R29" s="30"/>
      <c r="S29" s="30"/>
      <c r="T29" s="30"/>
      <c r="U29" s="30"/>
      <c r="V29" s="30"/>
      <c r="W29" s="28"/>
      <c r="X29" s="30"/>
      <c r="Y29" s="30"/>
      <c r="AB29" s="28"/>
      <c r="BM29" s="23"/>
    </row>
    <row r="30">
      <c r="A30" s="28"/>
      <c r="B30" s="28"/>
      <c r="C30" s="28"/>
      <c r="D30" s="30"/>
      <c r="E30" s="30"/>
      <c r="F30" s="30"/>
      <c r="G30" s="30"/>
      <c r="H30" s="30"/>
      <c r="I30" s="30"/>
      <c r="J30" s="30"/>
      <c r="K30" s="30"/>
      <c r="L30" s="30"/>
      <c r="M30" s="30"/>
      <c r="N30" s="28"/>
      <c r="O30" s="30"/>
      <c r="P30" s="30"/>
      <c r="Q30" s="30"/>
      <c r="R30" s="30"/>
      <c r="S30" s="30"/>
      <c r="T30" s="30"/>
      <c r="U30" s="30"/>
      <c r="V30" s="30"/>
      <c r="W30" s="28"/>
      <c r="X30" s="30"/>
      <c r="Y30" s="30"/>
      <c r="AB30" s="28"/>
      <c r="BM30" s="23"/>
    </row>
    <row r="31">
      <c r="A31" s="28"/>
      <c r="B31" s="28"/>
      <c r="C31" s="28"/>
      <c r="D31" s="28"/>
      <c r="E31" s="28"/>
      <c r="F31" s="28"/>
      <c r="G31" s="28"/>
      <c r="H31" s="28"/>
      <c r="I31" s="28"/>
      <c r="J31" s="28"/>
      <c r="K31" s="28"/>
      <c r="L31" s="28"/>
      <c r="M31" s="28"/>
      <c r="N31" s="28"/>
      <c r="O31" s="30"/>
      <c r="P31" s="30"/>
      <c r="Q31" s="30"/>
      <c r="R31" s="30"/>
      <c r="S31" s="30"/>
      <c r="T31" s="30"/>
      <c r="U31" s="30"/>
      <c r="V31" s="30"/>
      <c r="W31" s="28"/>
      <c r="X31" s="30"/>
      <c r="Y31" s="30"/>
      <c r="AB31" s="28"/>
      <c r="BM31" s="23"/>
    </row>
    <row r="32">
      <c r="A32" s="28"/>
      <c r="B32" s="28"/>
      <c r="C32" s="28"/>
      <c r="D32" s="30"/>
      <c r="E32" s="30"/>
      <c r="F32" s="30"/>
      <c r="G32" s="30"/>
      <c r="H32" s="30"/>
      <c r="I32" s="30"/>
      <c r="J32" s="30"/>
      <c r="K32" s="30"/>
      <c r="L32" s="30"/>
      <c r="M32" s="30"/>
      <c r="N32" s="28"/>
      <c r="O32" s="30"/>
      <c r="P32" s="30"/>
      <c r="Q32" s="30"/>
      <c r="R32" s="30"/>
      <c r="S32" s="30"/>
      <c r="T32" s="30"/>
      <c r="U32" s="30"/>
      <c r="V32" s="30"/>
      <c r="W32" s="28"/>
      <c r="X32" s="30"/>
      <c r="Y32" s="30"/>
      <c r="AB32" s="28"/>
      <c r="BM32" s="23"/>
    </row>
    <row r="33">
      <c r="A33" s="28"/>
      <c r="B33" s="28"/>
      <c r="C33" s="28"/>
      <c r="D33" s="30"/>
      <c r="E33" s="30"/>
      <c r="F33" s="30"/>
      <c r="G33" s="30"/>
      <c r="H33" s="30"/>
      <c r="I33" s="30"/>
      <c r="J33" s="30"/>
      <c r="K33" s="30"/>
      <c r="L33" s="30"/>
      <c r="M33" s="30"/>
      <c r="N33" s="28"/>
      <c r="O33" s="30"/>
      <c r="P33" s="30"/>
      <c r="Q33" s="30"/>
      <c r="R33" s="30"/>
      <c r="S33" s="30"/>
      <c r="T33" s="30"/>
      <c r="U33" s="30"/>
      <c r="V33" s="30"/>
      <c r="W33" s="28"/>
      <c r="X33" s="30"/>
      <c r="Y33" s="30"/>
      <c r="AB33" s="28"/>
      <c r="BM33" s="23"/>
    </row>
    <row r="34">
      <c r="A34" s="28"/>
      <c r="B34" s="28"/>
      <c r="C34" s="28"/>
      <c r="D34" s="30"/>
      <c r="E34" s="30"/>
      <c r="F34" s="30"/>
      <c r="G34" s="30"/>
      <c r="H34" s="30"/>
      <c r="I34" s="30"/>
      <c r="J34" s="30"/>
      <c r="K34" s="30"/>
      <c r="L34" s="30"/>
      <c r="M34" s="30"/>
      <c r="N34" s="28"/>
      <c r="O34" s="30"/>
      <c r="P34" s="30"/>
      <c r="Q34" s="30"/>
      <c r="R34" s="30"/>
      <c r="S34" s="30"/>
      <c r="T34" s="30"/>
      <c r="U34" s="30"/>
      <c r="V34" s="30"/>
      <c r="W34" s="28"/>
      <c r="X34" s="30"/>
      <c r="Y34" s="30"/>
      <c r="Z34" s="46"/>
      <c r="AA34" s="46"/>
      <c r="AB34" s="28"/>
      <c r="BM34" s="23"/>
    </row>
    <row r="35">
      <c r="A35" s="28"/>
      <c r="B35" s="28"/>
      <c r="C35" s="28"/>
      <c r="D35" s="30"/>
      <c r="E35" s="30"/>
      <c r="F35" s="30"/>
      <c r="G35" s="30"/>
      <c r="H35" s="30"/>
      <c r="I35" s="30"/>
      <c r="J35" s="30"/>
      <c r="K35" s="30"/>
      <c r="L35" s="30"/>
      <c r="M35" s="30"/>
      <c r="N35" s="28"/>
      <c r="O35" s="30"/>
      <c r="P35" s="30"/>
      <c r="Q35" s="30"/>
      <c r="R35" s="30"/>
      <c r="S35" s="30"/>
      <c r="T35" s="30"/>
      <c r="U35" s="30"/>
      <c r="V35" s="30"/>
      <c r="W35" s="28"/>
      <c r="X35" s="30"/>
      <c r="Y35" s="30"/>
      <c r="Z35" s="46"/>
      <c r="AA35" s="46"/>
      <c r="AB35" s="28"/>
      <c r="BM35" s="23"/>
    </row>
    <row r="36">
      <c r="A36" s="28"/>
      <c r="B36" s="28"/>
      <c r="C36" s="28"/>
      <c r="D36" s="30"/>
      <c r="E36" s="30"/>
      <c r="F36" s="30"/>
      <c r="G36" s="30"/>
      <c r="H36" s="30"/>
      <c r="I36" s="30"/>
      <c r="J36" s="30"/>
      <c r="K36" s="30"/>
      <c r="L36" s="30"/>
      <c r="M36" s="30"/>
      <c r="N36" s="28"/>
      <c r="O36" s="47" t="str">
        <f t="shared" ref="O36:O39" si="17">BO21</f>
        <v>Krakow</v>
      </c>
      <c r="P36" s="48">
        <f t="shared" ref="P36:P39" si="18">BS21</f>
        <v>77365.47267</v>
      </c>
      <c r="Q36" s="30"/>
      <c r="R36" s="30"/>
      <c r="S36" s="30"/>
      <c r="T36" s="30"/>
      <c r="U36" s="30"/>
      <c r="V36" s="30"/>
      <c r="W36" s="28"/>
      <c r="X36" s="30"/>
      <c r="Y36" s="30"/>
      <c r="Z36" s="46"/>
      <c r="AA36" s="46"/>
      <c r="AB36" s="28"/>
      <c r="BM36" s="23"/>
    </row>
    <row r="37">
      <c r="A37" s="28"/>
      <c r="B37" s="28"/>
      <c r="C37" s="28"/>
      <c r="D37" s="30"/>
      <c r="E37" s="30"/>
      <c r="F37" s="30"/>
      <c r="G37" s="30"/>
      <c r="H37" s="30"/>
      <c r="I37" s="30"/>
      <c r="J37" s="30"/>
      <c r="K37" s="30"/>
      <c r="L37" s="30"/>
      <c r="M37" s="30"/>
      <c r="N37" s="28"/>
      <c r="O37" s="47" t="str">
        <f t="shared" si="17"/>
        <v>Lodz</v>
      </c>
      <c r="P37" s="48">
        <f t="shared" si="18"/>
        <v>85291.40345</v>
      </c>
      <c r="Q37" s="30"/>
      <c r="R37" s="30"/>
      <c r="S37" s="30"/>
      <c r="T37" s="30"/>
      <c r="U37" s="30"/>
      <c r="V37" s="30"/>
      <c r="W37" s="28"/>
      <c r="X37" s="30"/>
      <c r="Y37" s="30"/>
      <c r="Z37" s="30"/>
      <c r="AA37" s="30"/>
      <c r="AB37" s="28"/>
      <c r="BM37" s="23"/>
    </row>
    <row r="38">
      <c r="A38" s="28"/>
      <c r="B38" s="28"/>
      <c r="C38" s="28"/>
      <c r="D38" s="30"/>
      <c r="E38" s="30"/>
      <c r="F38" s="30"/>
      <c r="G38" s="30"/>
      <c r="H38" s="30"/>
      <c r="I38" s="30"/>
      <c r="J38" s="30"/>
      <c r="K38" s="30"/>
      <c r="L38" s="30"/>
      <c r="M38" s="30"/>
      <c r="N38" s="28"/>
      <c r="O38" s="47" t="str">
        <f t="shared" si="17"/>
        <v>Warsaw</v>
      </c>
      <c r="P38" s="48">
        <f t="shared" si="18"/>
        <v>75844.7901</v>
      </c>
      <c r="Q38" s="30"/>
      <c r="R38" s="30"/>
      <c r="S38" s="30"/>
      <c r="T38" s="30"/>
      <c r="U38" s="30"/>
      <c r="V38" s="30"/>
      <c r="W38" s="28"/>
      <c r="X38" s="30"/>
      <c r="Y38" s="30"/>
      <c r="Z38" s="30"/>
      <c r="AA38" s="30"/>
      <c r="AB38" s="28"/>
      <c r="BM38" s="23"/>
    </row>
    <row r="39">
      <c r="A39" s="28"/>
      <c r="B39" s="28"/>
      <c r="C39" s="28"/>
      <c r="D39" s="30"/>
      <c r="E39" s="30"/>
      <c r="F39" s="30"/>
      <c r="G39" s="30"/>
      <c r="H39" s="30"/>
      <c r="I39" s="30"/>
      <c r="J39" s="30"/>
      <c r="K39" s="30"/>
      <c r="L39" s="30"/>
      <c r="M39" s="30"/>
      <c r="N39" s="28"/>
      <c r="O39" s="47" t="str">
        <f t="shared" si="17"/>
        <v>Wroclaw</v>
      </c>
      <c r="P39" s="48">
        <f t="shared" si="18"/>
        <v>-14424.05438</v>
      </c>
      <c r="Q39" s="30"/>
      <c r="R39" s="30"/>
      <c r="S39" s="30"/>
      <c r="T39" s="30"/>
      <c r="U39" s="30"/>
      <c r="V39" s="30"/>
      <c r="W39" s="28"/>
      <c r="X39" s="30"/>
      <c r="Y39" s="30"/>
      <c r="Z39" s="30"/>
      <c r="AA39" s="30"/>
      <c r="AB39" s="28"/>
      <c r="BM39" s="23"/>
    </row>
    <row r="40">
      <c r="A40" s="28"/>
      <c r="B40" s="28"/>
      <c r="C40" s="28"/>
      <c r="D40" s="30"/>
      <c r="E40" s="30"/>
      <c r="F40" s="30"/>
      <c r="G40" s="30"/>
      <c r="H40" s="30"/>
      <c r="I40" s="30"/>
      <c r="J40" s="30"/>
      <c r="K40" s="30"/>
      <c r="L40" s="30"/>
      <c r="M40" s="30"/>
      <c r="N40" s="28"/>
      <c r="O40" s="30"/>
      <c r="P40" s="30"/>
      <c r="Q40" s="30"/>
      <c r="R40" s="30"/>
      <c r="S40" s="30"/>
      <c r="T40" s="30"/>
      <c r="U40" s="30"/>
      <c r="V40" s="30"/>
      <c r="W40" s="28"/>
      <c r="X40" s="30"/>
      <c r="Y40" s="30"/>
      <c r="Z40" s="30"/>
      <c r="AA40" s="30"/>
      <c r="AB40" s="28"/>
      <c r="BM40" s="23"/>
    </row>
    <row r="41">
      <c r="A41" s="28"/>
      <c r="B41" s="28"/>
      <c r="C41" s="28"/>
      <c r="D41" s="30"/>
      <c r="E41" s="30"/>
      <c r="F41" s="30"/>
      <c r="G41" s="30"/>
      <c r="H41" s="30"/>
      <c r="I41" s="30"/>
      <c r="J41" s="30"/>
      <c r="K41" s="30"/>
      <c r="L41" s="30"/>
      <c r="M41" s="30"/>
      <c r="N41" s="28"/>
      <c r="O41" s="30"/>
      <c r="P41" s="30"/>
      <c r="Q41" s="30"/>
      <c r="R41" s="30"/>
      <c r="S41" s="30"/>
      <c r="T41" s="30"/>
      <c r="U41" s="30"/>
      <c r="V41" s="30"/>
      <c r="W41" s="28"/>
      <c r="X41" s="28"/>
      <c r="Y41" s="28"/>
      <c r="Z41" s="28"/>
      <c r="AA41" s="28"/>
      <c r="AB41" s="28"/>
      <c r="BM41" s="23"/>
    </row>
    <row r="42">
      <c r="A42" s="28"/>
      <c r="B42" s="28"/>
      <c r="C42" s="28"/>
      <c r="D42" s="30"/>
      <c r="E42" s="30"/>
      <c r="F42" s="30"/>
      <c r="G42" s="30"/>
      <c r="H42" s="30"/>
      <c r="I42" s="30"/>
      <c r="J42" s="30"/>
      <c r="K42" s="30"/>
      <c r="L42" s="30"/>
      <c r="M42" s="30"/>
      <c r="N42" s="28"/>
      <c r="O42" s="28"/>
      <c r="P42" s="28"/>
      <c r="Q42" s="28"/>
      <c r="R42" s="28"/>
      <c r="S42" s="28"/>
      <c r="T42" s="28"/>
      <c r="U42" s="28"/>
      <c r="V42" s="28"/>
      <c r="W42" s="28"/>
      <c r="X42" s="28"/>
      <c r="Y42" s="28"/>
      <c r="Z42" s="28"/>
      <c r="AA42" s="28"/>
      <c r="AB42" s="28"/>
      <c r="BM42" s="23"/>
    </row>
    <row r="43">
      <c r="A43" s="28"/>
      <c r="B43" s="28"/>
      <c r="C43" s="28"/>
      <c r="D43" s="30"/>
      <c r="E43" s="30"/>
      <c r="F43" s="30"/>
      <c r="G43" s="30"/>
      <c r="H43" s="30"/>
      <c r="I43" s="30"/>
      <c r="J43" s="30"/>
      <c r="K43" s="30"/>
      <c r="L43" s="30"/>
      <c r="M43" s="30"/>
      <c r="N43" s="28"/>
      <c r="O43" s="30"/>
      <c r="P43" s="30"/>
      <c r="Q43" s="30"/>
      <c r="R43" s="30"/>
      <c r="S43" s="30"/>
      <c r="T43" s="30"/>
      <c r="U43" s="30"/>
      <c r="V43" s="30"/>
      <c r="W43" s="30"/>
      <c r="X43" s="30"/>
      <c r="Y43" s="30"/>
      <c r="Z43" s="30"/>
      <c r="AA43" s="30"/>
      <c r="AB43" s="28"/>
      <c r="BM43" s="23"/>
    </row>
    <row r="44">
      <c r="A44" s="28"/>
      <c r="B44" s="28"/>
      <c r="C44" s="28"/>
      <c r="D44" s="30"/>
      <c r="E44" s="30"/>
      <c r="F44" s="30"/>
      <c r="G44" s="30"/>
      <c r="H44" s="30"/>
      <c r="I44" s="30"/>
      <c r="J44" s="30"/>
      <c r="K44" s="30"/>
      <c r="L44" s="30"/>
      <c r="M44" s="30"/>
      <c r="N44" s="28"/>
      <c r="O44" s="30"/>
      <c r="P44" s="30"/>
      <c r="Q44" s="30"/>
      <c r="R44" s="30"/>
      <c r="S44" s="30"/>
      <c r="T44" s="30"/>
      <c r="U44" s="30"/>
      <c r="V44" s="30"/>
      <c r="W44" s="30"/>
      <c r="X44" s="30"/>
      <c r="Y44" s="30"/>
      <c r="Z44" s="30"/>
      <c r="AA44" s="30"/>
      <c r="AB44" s="28"/>
      <c r="BM44" s="23"/>
    </row>
    <row r="45">
      <c r="A45" s="28"/>
      <c r="B45" s="28"/>
      <c r="C45" s="28"/>
      <c r="D45" s="30"/>
      <c r="E45" s="30"/>
      <c r="F45" s="30"/>
      <c r="G45" s="30"/>
      <c r="H45" s="30"/>
      <c r="I45" s="30"/>
      <c r="J45" s="30"/>
      <c r="K45" s="30"/>
      <c r="L45" s="30"/>
      <c r="M45" s="30"/>
      <c r="N45" s="28"/>
      <c r="O45" s="30"/>
      <c r="P45" s="30"/>
      <c r="Q45" s="30"/>
      <c r="R45" s="30"/>
      <c r="S45" s="30"/>
      <c r="T45" s="30"/>
      <c r="U45" s="30"/>
      <c r="V45" s="30"/>
      <c r="W45" s="30"/>
      <c r="X45" s="30"/>
      <c r="Y45" s="30"/>
      <c r="Z45" s="30"/>
      <c r="AA45" s="30"/>
      <c r="AB45" s="28"/>
      <c r="BM45" s="23"/>
    </row>
    <row r="46">
      <c r="A46" s="28"/>
      <c r="B46" s="28"/>
      <c r="C46" s="28"/>
      <c r="D46" s="30"/>
      <c r="E46" s="30"/>
      <c r="F46" s="30"/>
      <c r="G46" s="30"/>
      <c r="H46" s="30"/>
      <c r="I46" s="30"/>
      <c r="J46" s="30"/>
      <c r="K46" s="30"/>
      <c r="L46" s="30"/>
      <c r="M46" s="30"/>
      <c r="N46" s="28"/>
      <c r="O46" s="30"/>
      <c r="P46" s="30"/>
      <c r="Q46" s="30"/>
      <c r="R46" s="30"/>
      <c r="S46" s="30"/>
      <c r="T46" s="30"/>
      <c r="U46" s="30"/>
      <c r="V46" s="30"/>
      <c r="W46" s="30"/>
      <c r="X46" s="30"/>
      <c r="Y46" s="30"/>
      <c r="Z46" s="30"/>
      <c r="AA46" s="30"/>
      <c r="AB46" s="28"/>
      <c r="BM46" s="23"/>
    </row>
    <row r="47">
      <c r="A47" s="28"/>
      <c r="B47" s="28"/>
      <c r="C47" s="28"/>
      <c r="D47" s="30"/>
      <c r="E47" s="30"/>
      <c r="F47" s="30"/>
      <c r="G47" s="30"/>
      <c r="H47" s="30"/>
      <c r="I47" s="30"/>
      <c r="J47" s="30"/>
      <c r="K47" s="30"/>
      <c r="L47" s="30"/>
      <c r="M47" s="30"/>
      <c r="N47" s="28"/>
      <c r="O47" s="30"/>
      <c r="P47" s="30"/>
      <c r="Q47" s="30"/>
      <c r="R47" s="30"/>
      <c r="S47" s="30"/>
      <c r="T47" s="30"/>
      <c r="U47" s="30"/>
      <c r="V47" s="30"/>
      <c r="W47" s="30"/>
      <c r="X47" s="30"/>
      <c r="Y47" s="30"/>
      <c r="Z47" s="30"/>
      <c r="AA47" s="30"/>
      <c r="AB47" s="28"/>
      <c r="BM47" s="23"/>
    </row>
    <row r="48">
      <c r="A48" s="28"/>
      <c r="B48" s="28"/>
      <c r="C48" s="28"/>
      <c r="D48" s="28"/>
      <c r="E48" s="28"/>
      <c r="F48" s="28"/>
      <c r="G48" s="28"/>
      <c r="H48" s="28"/>
      <c r="I48" s="28"/>
      <c r="J48" s="28"/>
      <c r="K48" s="28"/>
      <c r="L48" s="28"/>
      <c r="M48" s="28"/>
      <c r="N48" s="28"/>
      <c r="O48" s="30"/>
      <c r="P48" s="30"/>
      <c r="Q48" s="30"/>
      <c r="R48" s="30"/>
      <c r="S48" s="30"/>
      <c r="T48" s="30"/>
      <c r="U48" s="30"/>
      <c r="V48" s="30"/>
      <c r="W48" s="30"/>
      <c r="X48" s="30"/>
      <c r="Y48" s="30"/>
      <c r="Z48" s="30"/>
      <c r="AA48" s="30"/>
      <c r="AB48" s="28"/>
      <c r="BM48" s="23"/>
    </row>
    <row r="49">
      <c r="A49" s="28"/>
      <c r="B49" s="28"/>
      <c r="C49" s="28"/>
      <c r="D49" s="30"/>
      <c r="E49" s="30"/>
      <c r="F49" s="30"/>
      <c r="G49" s="30"/>
      <c r="H49" s="30"/>
      <c r="I49" s="30"/>
      <c r="J49" s="30"/>
      <c r="K49" s="30"/>
      <c r="L49" s="30"/>
      <c r="M49" s="30"/>
      <c r="N49" s="28"/>
      <c r="O49" s="30"/>
      <c r="P49" s="30"/>
      <c r="Q49" s="30"/>
      <c r="R49" s="30"/>
      <c r="S49" s="30"/>
      <c r="T49" s="30"/>
      <c r="U49" s="30"/>
      <c r="V49" s="30"/>
      <c r="W49" s="30"/>
      <c r="X49" s="30"/>
      <c r="Y49" s="30"/>
      <c r="Z49" s="30"/>
      <c r="AA49" s="30"/>
      <c r="AB49" s="28"/>
      <c r="BM49" s="23"/>
    </row>
    <row r="50">
      <c r="A50" s="28"/>
      <c r="B50" s="28"/>
      <c r="C50" s="28"/>
      <c r="D50" s="30"/>
      <c r="E50" s="49">
        <f>BI23</f>
        <v>1365</v>
      </c>
      <c r="G50" s="30"/>
      <c r="H50" s="49">
        <f>BI22</f>
        <v>11</v>
      </c>
      <c r="J50" s="30"/>
      <c r="K50" s="50">
        <f>BJ22</f>
        <v>0.008058608059</v>
      </c>
      <c r="M50" s="30"/>
      <c r="N50" s="28"/>
      <c r="O50" s="30"/>
      <c r="P50" s="30"/>
      <c r="Q50" s="30"/>
      <c r="R50" s="30"/>
      <c r="S50" s="30"/>
      <c r="T50" s="30"/>
      <c r="U50" s="30"/>
      <c r="V50" s="30"/>
      <c r="W50" s="30"/>
      <c r="X50" s="30"/>
      <c r="Y50" s="30"/>
      <c r="Z50" s="30"/>
      <c r="AA50" s="30"/>
      <c r="AB50" s="28"/>
      <c r="BM50" s="23"/>
    </row>
    <row r="51">
      <c r="A51" s="28"/>
      <c r="B51" s="28"/>
      <c r="C51" s="28"/>
      <c r="D51" s="30"/>
      <c r="G51" s="30"/>
      <c r="J51" s="30"/>
      <c r="M51" s="30"/>
      <c r="N51" s="28"/>
      <c r="O51" s="30"/>
      <c r="P51" s="30"/>
      <c r="Q51" s="30"/>
      <c r="R51" s="30"/>
      <c r="S51" s="30"/>
      <c r="T51" s="30"/>
      <c r="U51" s="30"/>
      <c r="V51" s="30"/>
      <c r="W51" s="30"/>
      <c r="X51" s="30"/>
      <c r="Y51" s="30"/>
      <c r="Z51" s="30"/>
      <c r="AA51" s="30"/>
      <c r="AB51" s="28"/>
      <c r="BM51" s="23"/>
    </row>
    <row r="52">
      <c r="A52" s="28"/>
      <c r="B52" s="28"/>
      <c r="C52" s="28"/>
      <c r="D52" s="30"/>
      <c r="G52" s="30"/>
      <c r="J52" s="30"/>
      <c r="M52" s="30"/>
      <c r="N52" s="28"/>
      <c r="O52" s="30"/>
      <c r="P52" s="30"/>
      <c r="Q52" s="30"/>
      <c r="R52" s="30"/>
      <c r="S52" s="30"/>
      <c r="T52" s="30"/>
      <c r="U52" s="30"/>
      <c r="V52" s="30"/>
      <c r="W52" s="30"/>
      <c r="X52" s="30"/>
      <c r="Y52" s="30"/>
      <c r="Z52" s="30"/>
      <c r="AA52" s="30"/>
      <c r="AB52" s="28"/>
      <c r="BM52" s="23"/>
    </row>
    <row r="53">
      <c r="A53" s="28"/>
      <c r="B53" s="28"/>
      <c r="C53" s="28"/>
      <c r="D53" s="30"/>
      <c r="G53" s="30"/>
      <c r="J53" s="30"/>
      <c r="M53" s="30"/>
      <c r="N53" s="28"/>
      <c r="O53" s="30"/>
      <c r="P53" s="30"/>
      <c r="Q53" s="30"/>
      <c r="R53" s="30"/>
      <c r="S53" s="30"/>
      <c r="T53" s="30"/>
      <c r="U53" s="30"/>
      <c r="V53" s="30"/>
      <c r="W53" s="30"/>
      <c r="X53" s="30"/>
      <c r="Y53" s="30"/>
      <c r="Z53" s="30"/>
      <c r="AA53" s="30"/>
      <c r="AB53" s="28"/>
      <c r="BM53" s="23"/>
    </row>
    <row r="54">
      <c r="A54" s="28"/>
      <c r="B54" s="28"/>
      <c r="C54" s="28"/>
      <c r="D54" s="30"/>
      <c r="G54" s="30"/>
      <c r="J54" s="30"/>
      <c r="M54" s="30"/>
      <c r="N54" s="28"/>
      <c r="O54" s="30"/>
      <c r="P54" s="30"/>
      <c r="Q54" s="30"/>
      <c r="R54" s="30"/>
      <c r="S54" s="30"/>
      <c r="T54" s="30"/>
      <c r="U54" s="30"/>
      <c r="V54" s="30"/>
      <c r="W54" s="30"/>
      <c r="X54" s="30"/>
      <c r="Y54" s="30"/>
      <c r="Z54" s="30"/>
      <c r="AA54" s="30"/>
      <c r="AB54" s="28"/>
      <c r="BM54" s="23"/>
    </row>
    <row r="55">
      <c r="A55" s="28"/>
      <c r="B55" s="28"/>
      <c r="C55" s="28"/>
      <c r="D55" s="30"/>
      <c r="G55" s="30"/>
      <c r="J55" s="30"/>
      <c r="M55" s="30"/>
      <c r="N55" s="28"/>
      <c r="O55" s="30"/>
      <c r="P55" s="30"/>
      <c r="Q55" s="30"/>
      <c r="R55" s="30"/>
      <c r="S55" s="30"/>
      <c r="T55" s="30"/>
      <c r="U55" s="30"/>
      <c r="V55" s="30"/>
      <c r="W55" s="30"/>
      <c r="X55" s="30"/>
      <c r="Y55" s="30"/>
      <c r="Z55" s="30"/>
      <c r="AA55" s="30"/>
      <c r="AB55" s="28"/>
      <c r="AP55" s="28"/>
      <c r="BM55" s="23"/>
    </row>
    <row r="56">
      <c r="A56" s="28"/>
      <c r="B56" s="28"/>
      <c r="C56" s="28"/>
      <c r="D56" s="30"/>
      <c r="G56" s="30"/>
      <c r="J56" s="30"/>
      <c r="M56" s="30"/>
      <c r="N56" s="28"/>
      <c r="O56" s="30"/>
      <c r="P56" s="30"/>
      <c r="Q56" s="30"/>
      <c r="R56" s="30"/>
      <c r="S56" s="30"/>
      <c r="T56" s="30"/>
      <c r="U56" s="30"/>
      <c r="V56" s="30"/>
      <c r="W56" s="30"/>
      <c r="X56" s="30"/>
      <c r="Y56" s="30"/>
      <c r="Z56" s="30"/>
      <c r="AA56" s="30"/>
      <c r="AB56" s="28"/>
      <c r="BM56" s="23"/>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BM57" s="23"/>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BM58" s="23"/>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BM59" s="23"/>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BM60" s="23"/>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BM61" s="23"/>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BM62" s="23"/>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BM63" s="23"/>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BM64" s="23"/>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BM65" s="23"/>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BM66" s="23"/>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BM67" s="23"/>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BM68" s="23"/>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BM69" s="23"/>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BI70" s="28"/>
      <c r="BM70" s="23"/>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BM71" s="23"/>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BM72" s="23"/>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BM73" s="23"/>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BM74" s="23"/>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BM75" s="23"/>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BM76" s="23"/>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BM77" s="23"/>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BM78" s="23"/>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BM79" s="23"/>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BM80" s="23"/>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BM81" s="23"/>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BM82" s="23"/>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BM83" s="23"/>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BM84" s="23"/>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BM85" s="23"/>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BM86" s="23"/>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BM87" s="23"/>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BM88" s="23"/>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BM89" s="23"/>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BM90" s="23"/>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BM91" s="23"/>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BM92" s="23"/>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BM93" s="23"/>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BM94" s="23"/>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BM95" s="23"/>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BM96" s="23"/>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BM97" s="23"/>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BM98" s="23"/>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BM99" s="23"/>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BM100" s="23"/>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BM101" s="23"/>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BM102" s="23"/>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BM103" s="23"/>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BM104" s="23"/>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BM105" s="23"/>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BM106" s="23"/>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BM107" s="23"/>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BM108" s="23"/>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BM109" s="23"/>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BM110" s="23"/>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BM111" s="23"/>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BM112" s="23"/>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BM113" s="23"/>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BM114" s="23"/>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BM115" s="23"/>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BM116" s="23"/>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BM117" s="23"/>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BM118" s="23"/>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BM119" s="23"/>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BM120" s="23"/>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BM121" s="23"/>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BM122" s="23"/>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BM123" s="23"/>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BM124" s="23"/>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BM125" s="23"/>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BM126" s="23"/>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BM127" s="23"/>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BM128" s="23"/>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BM129" s="23"/>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BM130" s="23"/>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BM131" s="23"/>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BM132" s="23"/>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BM133" s="23"/>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BM134" s="23"/>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BM135" s="23"/>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BM136" s="23"/>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BM137" s="23"/>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BM138" s="23"/>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BM139" s="23"/>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BM140" s="23"/>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BM141" s="23"/>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BM142" s="23"/>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BM143" s="23"/>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BM144" s="23"/>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BM145" s="23"/>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BM146" s="23"/>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BM147" s="23"/>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BM148" s="23"/>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BM149" s="23"/>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BM150" s="23"/>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BM151" s="23"/>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BM152" s="23"/>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BM153" s="23"/>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BM154" s="23"/>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BM155" s="23"/>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BM156" s="23"/>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BM157" s="23"/>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BM158" s="23"/>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BM159" s="23"/>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BM160" s="23"/>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BM161" s="23"/>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BM162" s="23"/>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BM163" s="23"/>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BM164" s="23"/>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BM165" s="23"/>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BM166" s="23"/>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BM167" s="23"/>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BM168" s="23"/>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BM169" s="23"/>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BM170" s="23"/>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BM171" s="23"/>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BM172" s="23"/>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BM173" s="23"/>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BM174" s="23"/>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BM175" s="23"/>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BM176" s="23"/>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BM177" s="23"/>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BM178" s="23"/>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BM179" s="23"/>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BM180" s="23"/>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BM181" s="23"/>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BM182" s="23"/>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BM183" s="23"/>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BM184" s="23"/>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BM185" s="23"/>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BM186" s="23"/>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BM187" s="23"/>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BM188" s="23"/>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BM189" s="23"/>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BM190" s="23"/>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BM191" s="23"/>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BM192" s="23"/>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BM193" s="23"/>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BM194" s="23"/>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BM195" s="23"/>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BM196" s="23"/>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BM197" s="23"/>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BM198" s="23"/>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BM199" s="23"/>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9"/>
      <c r="BW200" s="28"/>
      <c r="BX200" s="28"/>
      <c r="BY200" s="28"/>
      <c r="BZ200" s="28"/>
      <c r="CA200" s="28"/>
      <c r="CB200" s="28"/>
      <c r="CC200" s="28"/>
      <c r="CD200" s="28"/>
      <c r="CE200" s="28"/>
      <c r="CF200" s="28"/>
      <c r="CG200" s="28"/>
      <c r="CH200" s="28"/>
      <c r="CI200" s="28"/>
      <c r="CJ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9"/>
      <c r="BW201" s="28"/>
      <c r="BX201" s="28"/>
      <c r="BY201" s="28"/>
      <c r="BZ201" s="28"/>
      <c r="CA201" s="28"/>
      <c r="CB201" s="28"/>
      <c r="CC201" s="28"/>
      <c r="CD201" s="28"/>
      <c r="CE201" s="28"/>
      <c r="CF201" s="28"/>
      <c r="CG201" s="28"/>
      <c r="CH201" s="28"/>
      <c r="CI201" s="28"/>
      <c r="CJ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9"/>
      <c r="BW202" s="28"/>
      <c r="BX202" s="28"/>
      <c r="BY202" s="28"/>
      <c r="BZ202" s="28"/>
      <c r="CA202" s="28"/>
      <c r="CB202" s="28"/>
      <c r="CC202" s="28"/>
      <c r="CD202" s="28"/>
      <c r="CE202" s="28"/>
      <c r="CF202" s="28"/>
      <c r="CG202" s="28"/>
      <c r="CH202" s="28"/>
      <c r="CI202" s="28"/>
      <c r="CJ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9"/>
      <c r="BW203" s="28"/>
      <c r="BX203" s="28"/>
      <c r="BY203" s="28"/>
      <c r="BZ203" s="28"/>
      <c r="CA203" s="28"/>
      <c r="CB203" s="28"/>
      <c r="CC203" s="28"/>
      <c r="CD203" s="28"/>
      <c r="CE203" s="28"/>
      <c r="CF203" s="28"/>
      <c r="CG203" s="28"/>
      <c r="CH203" s="28"/>
      <c r="CI203" s="28"/>
      <c r="CJ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9"/>
      <c r="BW204" s="28"/>
      <c r="BX204" s="28"/>
      <c r="BY204" s="28"/>
      <c r="BZ204" s="28"/>
      <c r="CA204" s="28"/>
      <c r="CB204" s="28"/>
      <c r="CC204" s="28"/>
      <c r="CD204" s="28"/>
      <c r="CE204" s="28"/>
      <c r="CF204" s="28"/>
      <c r="CG204" s="28"/>
      <c r="CH204" s="28"/>
      <c r="CI204" s="28"/>
      <c r="CJ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9"/>
      <c r="BW205" s="28"/>
      <c r="BX205" s="28"/>
      <c r="BY205" s="28"/>
      <c r="BZ205" s="28"/>
      <c r="CA205" s="28"/>
      <c r="CB205" s="28"/>
      <c r="CC205" s="28"/>
      <c r="CD205" s="28"/>
      <c r="CE205" s="28"/>
      <c r="CF205" s="28"/>
      <c r="CG205" s="28"/>
      <c r="CH205" s="28"/>
      <c r="CI205" s="28"/>
      <c r="CJ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9"/>
      <c r="BW206" s="28"/>
      <c r="BX206" s="28"/>
      <c r="BY206" s="28"/>
      <c r="BZ206" s="28"/>
      <c r="CA206" s="28"/>
      <c r="CB206" s="28"/>
      <c r="CC206" s="28"/>
      <c r="CD206" s="28"/>
      <c r="CE206" s="28"/>
      <c r="CF206" s="28"/>
      <c r="CG206" s="28"/>
      <c r="CH206" s="28"/>
      <c r="CI206" s="28"/>
      <c r="CJ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9"/>
      <c r="BW207" s="28"/>
      <c r="BX207" s="28"/>
      <c r="BY207" s="28"/>
      <c r="BZ207" s="28"/>
      <c r="CA207" s="28"/>
      <c r="CB207" s="28"/>
      <c r="CC207" s="28"/>
      <c r="CD207" s="28"/>
      <c r="CE207" s="28"/>
      <c r="CF207" s="28"/>
      <c r="CG207" s="28"/>
      <c r="CH207" s="28"/>
      <c r="CI207" s="28"/>
      <c r="CJ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9"/>
      <c r="BW208" s="28"/>
      <c r="BX208" s="28"/>
      <c r="BY208" s="28"/>
      <c r="BZ208" s="28"/>
      <c r="CA208" s="28"/>
      <c r="CB208" s="28"/>
      <c r="CC208" s="28"/>
      <c r="CD208" s="28"/>
      <c r="CE208" s="28"/>
      <c r="CF208" s="28"/>
      <c r="CG208" s="28"/>
      <c r="CH208" s="28"/>
      <c r="CI208" s="28"/>
      <c r="CJ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9"/>
      <c r="BW209" s="28"/>
      <c r="BX209" s="28"/>
      <c r="BY209" s="28"/>
      <c r="BZ209" s="28"/>
      <c r="CA209" s="28"/>
      <c r="CB209" s="28"/>
      <c r="CC209" s="28"/>
      <c r="CD209" s="28"/>
      <c r="CE209" s="28"/>
      <c r="CF209" s="28"/>
      <c r="CG209" s="28"/>
      <c r="CH209" s="28"/>
      <c r="CI209" s="28"/>
      <c r="CJ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9"/>
      <c r="BW210" s="28"/>
      <c r="BX210" s="28"/>
      <c r="BY210" s="28"/>
      <c r="BZ210" s="28"/>
      <c r="CA210" s="28"/>
      <c r="CB210" s="28"/>
      <c r="CC210" s="28"/>
      <c r="CD210" s="28"/>
      <c r="CE210" s="28"/>
      <c r="CF210" s="28"/>
      <c r="CG210" s="28"/>
      <c r="CH210" s="28"/>
      <c r="CI210" s="28"/>
      <c r="CJ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9"/>
      <c r="BW211" s="28"/>
      <c r="BX211" s="28"/>
      <c r="BY211" s="28"/>
      <c r="BZ211" s="28"/>
      <c r="CA211" s="28"/>
      <c r="CB211" s="28"/>
      <c r="CC211" s="28"/>
      <c r="CD211" s="28"/>
      <c r="CE211" s="28"/>
      <c r="CF211" s="28"/>
      <c r="CG211" s="28"/>
      <c r="CH211" s="28"/>
      <c r="CI211" s="28"/>
      <c r="CJ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9"/>
      <c r="BW212" s="28"/>
      <c r="BX212" s="28"/>
      <c r="BY212" s="28"/>
      <c r="BZ212" s="28"/>
      <c r="CA212" s="28"/>
      <c r="CB212" s="28"/>
      <c r="CC212" s="28"/>
      <c r="CD212" s="28"/>
      <c r="CE212" s="28"/>
      <c r="CF212" s="28"/>
      <c r="CG212" s="28"/>
      <c r="CH212" s="28"/>
      <c r="CI212" s="28"/>
      <c r="CJ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9"/>
      <c r="BW213" s="28"/>
      <c r="BX213" s="28"/>
      <c r="BY213" s="28"/>
      <c r="BZ213" s="28"/>
      <c r="CA213" s="28"/>
      <c r="CB213" s="28"/>
      <c r="CC213" s="28"/>
      <c r="CD213" s="28"/>
      <c r="CE213" s="28"/>
      <c r="CF213" s="28"/>
      <c r="CG213" s="28"/>
      <c r="CH213" s="28"/>
      <c r="CI213" s="28"/>
      <c r="CJ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9"/>
      <c r="BW214" s="28"/>
      <c r="BX214" s="28"/>
      <c r="BY214" s="28"/>
      <c r="BZ214" s="28"/>
      <c r="CA214" s="28"/>
      <c r="CB214" s="28"/>
      <c r="CC214" s="28"/>
      <c r="CD214" s="28"/>
      <c r="CE214" s="28"/>
      <c r="CF214" s="28"/>
      <c r="CG214" s="28"/>
      <c r="CH214" s="28"/>
      <c r="CI214" s="28"/>
      <c r="CJ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9"/>
      <c r="BW215" s="28"/>
      <c r="BX215" s="28"/>
      <c r="BY215" s="28"/>
      <c r="BZ215" s="28"/>
      <c r="CA215" s="28"/>
      <c r="CB215" s="28"/>
      <c r="CC215" s="28"/>
      <c r="CD215" s="28"/>
      <c r="CE215" s="28"/>
      <c r="CF215" s="28"/>
      <c r="CG215" s="28"/>
      <c r="CH215" s="28"/>
      <c r="CI215" s="28"/>
      <c r="CJ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9"/>
      <c r="BW216" s="28"/>
      <c r="BX216" s="28"/>
      <c r="BY216" s="28"/>
      <c r="BZ216" s="28"/>
      <c r="CA216" s="28"/>
      <c r="CB216" s="28"/>
      <c r="CC216" s="28"/>
      <c r="CD216" s="28"/>
      <c r="CE216" s="28"/>
      <c r="CF216" s="28"/>
      <c r="CG216" s="28"/>
      <c r="CH216" s="28"/>
      <c r="CI216" s="28"/>
      <c r="CJ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9"/>
      <c r="BW217" s="28"/>
      <c r="BX217" s="28"/>
      <c r="BY217" s="28"/>
      <c r="BZ217" s="28"/>
      <c r="CA217" s="28"/>
      <c r="CB217" s="28"/>
      <c r="CC217" s="28"/>
      <c r="CD217" s="28"/>
      <c r="CE217" s="28"/>
      <c r="CF217" s="28"/>
      <c r="CG217" s="28"/>
      <c r="CH217" s="28"/>
      <c r="CI217" s="28"/>
      <c r="CJ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9"/>
      <c r="BW218" s="28"/>
      <c r="BX218" s="28"/>
      <c r="BY218" s="28"/>
      <c r="BZ218" s="28"/>
      <c r="CA218" s="28"/>
      <c r="CB218" s="28"/>
      <c r="CC218" s="28"/>
      <c r="CD218" s="28"/>
      <c r="CE218" s="28"/>
      <c r="CF218" s="28"/>
      <c r="CG218" s="28"/>
      <c r="CH218" s="28"/>
      <c r="CI218" s="28"/>
      <c r="CJ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9"/>
      <c r="BW219" s="28"/>
      <c r="BX219" s="28"/>
      <c r="BY219" s="28"/>
      <c r="BZ219" s="28"/>
      <c r="CA219" s="28"/>
      <c r="CB219" s="28"/>
      <c r="CC219" s="28"/>
      <c r="CD219" s="28"/>
      <c r="CE219" s="28"/>
      <c r="CF219" s="28"/>
      <c r="CG219" s="28"/>
      <c r="CH219" s="28"/>
      <c r="CI219" s="28"/>
      <c r="CJ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9"/>
      <c r="BW220" s="28"/>
      <c r="BX220" s="28"/>
      <c r="BY220" s="28"/>
      <c r="BZ220" s="28"/>
      <c r="CA220" s="28"/>
      <c r="CB220" s="28"/>
      <c r="CC220" s="28"/>
      <c r="CD220" s="28"/>
      <c r="CE220" s="28"/>
      <c r="CF220" s="28"/>
      <c r="CG220" s="28"/>
      <c r="CH220" s="28"/>
      <c r="CI220" s="28"/>
      <c r="CJ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9"/>
      <c r="BW221" s="28"/>
      <c r="BX221" s="28"/>
      <c r="BY221" s="28"/>
      <c r="BZ221" s="28"/>
      <c r="CA221" s="28"/>
      <c r="CB221" s="28"/>
      <c r="CC221" s="28"/>
      <c r="CD221" s="28"/>
      <c r="CE221" s="28"/>
      <c r="CF221" s="28"/>
      <c r="CG221" s="28"/>
      <c r="CH221" s="28"/>
      <c r="CI221" s="28"/>
      <c r="CJ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9"/>
      <c r="BW222" s="28"/>
      <c r="BX222" s="28"/>
      <c r="BY222" s="28"/>
      <c r="BZ222" s="28"/>
      <c r="CA222" s="28"/>
      <c r="CB222" s="28"/>
      <c r="CC222" s="28"/>
      <c r="CD222" s="28"/>
      <c r="CE222" s="28"/>
      <c r="CF222" s="28"/>
      <c r="CG222" s="28"/>
      <c r="CH222" s="28"/>
      <c r="CI222" s="28"/>
      <c r="CJ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9"/>
      <c r="BW223" s="28"/>
      <c r="BX223" s="28"/>
      <c r="BY223" s="28"/>
      <c r="BZ223" s="28"/>
      <c r="CA223" s="28"/>
      <c r="CB223" s="28"/>
      <c r="CC223" s="28"/>
      <c r="CD223" s="28"/>
      <c r="CE223" s="28"/>
      <c r="CF223" s="28"/>
      <c r="CG223" s="28"/>
      <c r="CH223" s="28"/>
      <c r="CI223" s="28"/>
      <c r="CJ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9"/>
      <c r="BW224" s="28"/>
      <c r="BX224" s="28"/>
      <c r="BY224" s="28"/>
      <c r="BZ224" s="28"/>
      <c r="CA224" s="28"/>
      <c r="CB224" s="28"/>
      <c r="CC224" s="28"/>
      <c r="CD224" s="28"/>
      <c r="CE224" s="28"/>
      <c r="CF224" s="28"/>
      <c r="CG224" s="28"/>
      <c r="CH224" s="28"/>
      <c r="CI224" s="28"/>
      <c r="CJ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9"/>
      <c r="BW225" s="28"/>
      <c r="BX225" s="28"/>
      <c r="BY225" s="28"/>
      <c r="BZ225" s="28"/>
      <c r="CA225" s="28"/>
      <c r="CB225" s="28"/>
      <c r="CC225" s="28"/>
      <c r="CD225" s="28"/>
      <c r="CE225" s="28"/>
      <c r="CF225" s="28"/>
      <c r="CG225" s="28"/>
      <c r="CH225" s="28"/>
      <c r="CI225" s="28"/>
      <c r="CJ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9"/>
      <c r="BW226" s="28"/>
      <c r="BX226" s="28"/>
      <c r="BY226" s="28"/>
      <c r="BZ226" s="28"/>
      <c r="CA226" s="28"/>
      <c r="CB226" s="28"/>
      <c r="CC226" s="28"/>
      <c r="CD226" s="28"/>
      <c r="CE226" s="28"/>
      <c r="CF226" s="28"/>
      <c r="CG226" s="28"/>
      <c r="CH226" s="28"/>
      <c r="CI226" s="28"/>
      <c r="CJ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9"/>
      <c r="BW227" s="28"/>
      <c r="BX227" s="28"/>
      <c r="BY227" s="28"/>
      <c r="BZ227" s="28"/>
      <c r="CA227" s="28"/>
      <c r="CB227" s="28"/>
      <c r="CC227" s="28"/>
      <c r="CD227" s="28"/>
      <c r="CE227" s="28"/>
      <c r="CF227" s="28"/>
      <c r="CG227" s="28"/>
      <c r="CH227" s="28"/>
      <c r="CI227" s="28"/>
      <c r="CJ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9"/>
      <c r="BW228" s="28"/>
      <c r="BX228" s="28"/>
      <c r="BY228" s="28"/>
      <c r="BZ228" s="28"/>
      <c r="CA228" s="28"/>
      <c r="CB228" s="28"/>
      <c r="CC228" s="28"/>
      <c r="CD228" s="28"/>
      <c r="CE228" s="28"/>
      <c r="CF228" s="28"/>
      <c r="CG228" s="28"/>
      <c r="CH228" s="28"/>
      <c r="CI228" s="28"/>
      <c r="CJ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9"/>
      <c r="BW229" s="28"/>
      <c r="BX229" s="28"/>
      <c r="BY229" s="28"/>
      <c r="BZ229" s="28"/>
      <c r="CA229" s="28"/>
      <c r="CB229" s="28"/>
      <c r="CC229" s="28"/>
      <c r="CD229" s="28"/>
      <c r="CE229" s="28"/>
      <c r="CF229" s="28"/>
      <c r="CG229" s="28"/>
      <c r="CH229" s="28"/>
      <c r="CI229" s="28"/>
      <c r="CJ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9"/>
      <c r="BW230" s="28"/>
      <c r="BX230" s="28"/>
      <c r="BY230" s="28"/>
      <c r="BZ230" s="28"/>
      <c r="CA230" s="28"/>
      <c r="CB230" s="28"/>
      <c r="CC230" s="28"/>
      <c r="CD230" s="28"/>
      <c r="CE230" s="28"/>
      <c r="CF230" s="28"/>
      <c r="CG230" s="28"/>
      <c r="CH230" s="28"/>
      <c r="CI230" s="28"/>
      <c r="CJ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9"/>
      <c r="BW231" s="28"/>
      <c r="BX231" s="28"/>
      <c r="BY231" s="28"/>
      <c r="BZ231" s="28"/>
      <c r="CA231" s="28"/>
      <c r="CB231" s="28"/>
      <c r="CC231" s="28"/>
      <c r="CD231" s="28"/>
      <c r="CE231" s="28"/>
      <c r="CF231" s="28"/>
      <c r="CG231" s="28"/>
      <c r="CH231" s="28"/>
      <c r="CI231" s="28"/>
      <c r="CJ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9"/>
      <c r="BW232" s="28"/>
      <c r="BX232" s="28"/>
      <c r="BY232" s="28"/>
      <c r="BZ232" s="28"/>
      <c r="CA232" s="28"/>
      <c r="CB232" s="28"/>
      <c r="CC232" s="28"/>
      <c r="CD232" s="28"/>
      <c r="CE232" s="28"/>
      <c r="CF232" s="28"/>
      <c r="CG232" s="28"/>
      <c r="CH232" s="28"/>
      <c r="CI232" s="28"/>
      <c r="CJ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9"/>
      <c r="BW233" s="28"/>
      <c r="BX233" s="28"/>
      <c r="BY233" s="28"/>
      <c r="BZ233" s="28"/>
      <c r="CA233" s="28"/>
      <c r="CB233" s="28"/>
      <c r="CC233" s="28"/>
      <c r="CD233" s="28"/>
      <c r="CE233" s="28"/>
      <c r="CF233" s="28"/>
      <c r="CG233" s="28"/>
      <c r="CH233" s="28"/>
      <c r="CI233" s="28"/>
      <c r="CJ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9"/>
      <c r="BW234" s="28"/>
      <c r="BX234" s="28"/>
      <c r="BY234" s="28"/>
      <c r="BZ234" s="28"/>
      <c r="CA234" s="28"/>
      <c r="CB234" s="28"/>
      <c r="CC234" s="28"/>
      <c r="CD234" s="28"/>
      <c r="CE234" s="28"/>
      <c r="CF234" s="28"/>
      <c r="CG234" s="28"/>
      <c r="CH234" s="28"/>
      <c r="CI234" s="28"/>
      <c r="CJ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9"/>
      <c r="BW235" s="28"/>
      <c r="BX235" s="28"/>
      <c r="BY235" s="28"/>
      <c r="BZ235" s="28"/>
      <c r="CA235" s="28"/>
      <c r="CB235" s="28"/>
      <c r="CC235" s="28"/>
      <c r="CD235" s="28"/>
      <c r="CE235" s="28"/>
      <c r="CF235" s="28"/>
      <c r="CG235" s="28"/>
      <c r="CH235" s="28"/>
      <c r="CI235" s="28"/>
      <c r="CJ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9"/>
      <c r="BW236" s="28"/>
      <c r="BX236" s="28"/>
      <c r="BY236" s="28"/>
      <c r="BZ236" s="28"/>
      <c r="CA236" s="28"/>
      <c r="CB236" s="28"/>
      <c r="CC236" s="28"/>
      <c r="CD236" s="28"/>
      <c r="CE236" s="28"/>
      <c r="CF236" s="28"/>
      <c r="CG236" s="28"/>
      <c r="CH236" s="28"/>
      <c r="CI236" s="28"/>
      <c r="CJ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9"/>
      <c r="BW237" s="28"/>
      <c r="BX237" s="28"/>
      <c r="BY237" s="28"/>
      <c r="BZ237" s="28"/>
      <c r="CA237" s="28"/>
      <c r="CB237" s="28"/>
      <c r="CC237" s="28"/>
      <c r="CD237" s="28"/>
      <c r="CE237" s="28"/>
      <c r="CF237" s="28"/>
      <c r="CG237" s="28"/>
      <c r="CH237" s="28"/>
      <c r="CI237" s="28"/>
      <c r="CJ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9"/>
      <c r="BW238" s="28"/>
      <c r="BX238" s="28"/>
      <c r="BY238" s="28"/>
      <c r="BZ238" s="28"/>
      <c r="CA238" s="28"/>
      <c r="CB238" s="28"/>
      <c r="CC238" s="28"/>
      <c r="CD238" s="28"/>
      <c r="CE238" s="28"/>
      <c r="CF238" s="28"/>
      <c r="CG238" s="28"/>
      <c r="CH238" s="28"/>
      <c r="CI238" s="28"/>
      <c r="CJ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9"/>
      <c r="BW239" s="28"/>
      <c r="BX239" s="28"/>
      <c r="BY239" s="28"/>
      <c r="BZ239" s="28"/>
      <c r="CA239" s="28"/>
      <c r="CB239" s="28"/>
      <c r="CC239" s="28"/>
      <c r="CD239" s="28"/>
      <c r="CE239" s="28"/>
      <c r="CF239" s="28"/>
      <c r="CG239" s="28"/>
      <c r="CH239" s="28"/>
      <c r="CI239" s="28"/>
      <c r="CJ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9"/>
      <c r="BW240" s="28"/>
      <c r="BX240" s="28"/>
      <c r="BY240" s="28"/>
      <c r="BZ240" s="28"/>
      <c r="CA240" s="28"/>
      <c r="CB240" s="28"/>
      <c r="CC240" s="28"/>
      <c r="CD240" s="28"/>
      <c r="CE240" s="28"/>
      <c r="CF240" s="28"/>
      <c r="CG240" s="28"/>
      <c r="CH240" s="28"/>
      <c r="CI240" s="28"/>
      <c r="CJ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9"/>
      <c r="BW241" s="28"/>
      <c r="BX241" s="28"/>
      <c r="BY241" s="28"/>
      <c r="BZ241" s="28"/>
      <c r="CA241" s="28"/>
      <c r="CB241" s="28"/>
      <c r="CC241" s="28"/>
      <c r="CD241" s="28"/>
      <c r="CE241" s="28"/>
      <c r="CF241" s="28"/>
      <c r="CG241" s="28"/>
      <c r="CH241" s="28"/>
      <c r="CI241" s="28"/>
      <c r="CJ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9"/>
      <c r="BW242" s="28"/>
      <c r="BX242" s="28"/>
      <c r="BY242" s="28"/>
      <c r="BZ242" s="28"/>
      <c r="CA242" s="28"/>
      <c r="CB242" s="28"/>
      <c r="CC242" s="28"/>
      <c r="CD242" s="28"/>
      <c r="CE242" s="28"/>
      <c r="CF242" s="28"/>
      <c r="CG242" s="28"/>
      <c r="CH242" s="28"/>
      <c r="CI242" s="28"/>
      <c r="CJ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9"/>
      <c r="BW243" s="28"/>
      <c r="BX243" s="28"/>
      <c r="BY243" s="28"/>
      <c r="BZ243" s="28"/>
      <c r="CA243" s="28"/>
      <c r="CB243" s="28"/>
      <c r="CC243" s="28"/>
      <c r="CD243" s="28"/>
      <c r="CE243" s="28"/>
      <c r="CF243" s="28"/>
      <c r="CG243" s="28"/>
      <c r="CH243" s="28"/>
      <c r="CI243" s="28"/>
      <c r="CJ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9"/>
      <c r="BW244" s="28"/>
      <c r="BX244" s="28"/>
      <c r="BY244" s="28"/>
      <c r="BZ244" s="28"/>
      <c r="CA244" s="28"/>
      <c r="CB244" s="28"/>
      <c r="CC244" s="28"/>
      <c r="CD244" s="28"/>
      <c r="CE244" s="28"/>
      <c r="CF244" s="28"/>
      <c r="CG244" s="28"/>
      <c r="CH244" s="28"/>
      <c r="CI244" s="28"/>
      <c r="CJ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9"/>
      <c r="BW245" s="28"/>
      <c r="BX245" s="28"/>
      <c r="BY245" s="28"/>
      <c r="BZ245" s="28"/>
      <c r="CA245" s="28"/>
      <c r="CB245" s="28"/>
      <c r="CC245" s="28"/>
      <c r="CD245" s="28"/>
      <c r="CE245" s="28"/>
      <c r="CF245" s="28"/>
      <c r="CG245" s="28"/>
      <c r="CH245" s="28"/>
      <c r="CI245" s="28"/>
      <c r="CJ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9"/>
      <c r="BW246" s="28"/>
      <c r="BX246" s="28"/>
      <c r="BY246" s="28"/>
      <c r="BZ246" s="28"/>
      <c r="CA246" s="28"/>
      <c r="CB246" s="28"/>
      <c r="CC246" s="28"/>
      <c r="CD246" s="28"/>
      <c r="CE246" s="28"/>
      <c r="CF246" s="28"/>
      <c r="CG246" s="28"/>
      <c r="CH246" s="28"/>
      <c r="CI246" s="28"/>
      <c r="CJ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9"/>
      <c r="BW247" s="28"/>
      <c r="BX247" s="28"/>
      <c r="BY247" s="28"/>
      <c r="BZ247" s="28"/>
      <c r="CA247" s="28"/>
      <c r="CB247" s="28"/>
      <c r="CC247" s="28"/>
      <c r="CD247" s="28"/>
      <c r="CE247" s="28"/>
      <c r="CF247" s="28"/>
      <c r="CG247" s="28"/>
      <c r="CH247" s="28"/>
      <c r="CI247" s="28"/>
      <c r="CJ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9"/>
      <c r="BW248" s="28"/>
      <c r="BX248" s="28"/>
      <c r="BY248" s="28"/>
      <c r="BZ248" s="28"/>
      <c r="CA248" s="28"/>
      <c r="CB248" s="28"/>
      <c r="CC248" s="28"/>
      <c r="CD248" s="28"/>
      <c r="CE248" s="28"/>
      <c r="CF248" s="28"/>
      <c r="CG248" s="28"/>
      <c r="CH248" s="28"/>
      <c r="CI248" s="28"/>
      <c r="CJ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9"/>
      <c r="BW249" s="28"/>
      <c r="BX249" s="28"/>
      <c r="BY249" s="28"/>
      <c r="BZ249" s="28"/>
      <c r="CA249" s="28"/>
      <c r="CB249" s="28"/>
      <c r="CC249" s="28"/>
      <c r="CD249" s="28"/>
      <c r="CE249" s="28"/>
      <c r="CF249" s="28"/>
      <c r="CG249" s="28"/>
      <c r="CH249" s="28"/>
      <c r="CI249" s="28"/>
      <c r="CJ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9"/>
      <c r="BW250" s="28"/>
      <c r="BX250" s="28"/>
      <c r="BY250" s="28"/>
      <c r="BZ250" s="28"/>
      <c r="CA250" s="28"/>
      <c r="CB250" s="28"/>
      <c r="CC250" s="28"/>
      <c r="CD250" s="28"/>
      <c r="CE250" s="28"/>
      <c r="CF250" s="28"/>
      <c r="CG250" s="28"/>
      <c r="CH250" s="28"/>
      <c r="CI250" s="28"/>
      <c r="CJ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9"/>
      <c r="BW251" s="28"/>
      <c r="BX251" s="28"/>
      <c r="BY251" s="28"/>
      <c r="BZ251" s="28"/>
      <c r="CA251" s="28"/>
      <c r="CB251" s="28"/>
      <c r="CC251" s="28"/>
      <c r="CD251" s="28"/>
      <c r="CE251" s="28"/>
      <c r="CF251" s="28"/>
      <c r="CG251" s="28"/>
      <c r="CH251" s="28"/>
      <c r="CI251" s="28"/>
      <c r="CJ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9"/>
      <c r="BW252" s="28"/>
      <c r="BX252" s="28"/>
      <c r="BY252" s="28"/>
      <c r="BZ252" s="28"/>
      <c r="CA252" s="28"/>
      <c r="CB252" s="28"/>
      <c r="CC252" s="28"/>
      <c r="CD252" s="28"/>
      <c r="CE252" s="28"/>
      <c r="CF252" s="28"/>
      <c r="CG252" s="28"/>
      <c r="CH252" s="28"/>
      <c r="CI252" s="28"/>
      <c r="CJ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9"/>
      <c r="BW253" s="28"/>
      <c r="BX253" s="28"/>
      <c r="BY253" s="28"/>
      <c r="BZ253" s="28"/>
      <c r="CA253" s="28"/>
      <c r="CB253" s="28"/>
      <c r="CC253" s="28"/>
      <c r="CD253" s="28"/>
      <c r="CE253" s="28"/>
      <c r="CF253" s="28"/>
      <c r="CG253" s="28"/>
      <c r="CH253" s="28"/>
      <c r="CI253" s="28"/>
      <c r="CJ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9"/>
      <c r="BW254" s="28"/>
      <c r="BX254" s="28"/>
      <c r="BY254" s="28"/>
      <c r="BZ254" s="28"/>
      <c r="CA254" s="28"/>
      <c r="CB254" s="28"/>
      <c r="CC254" s="28"/>
      <c r="CD254" s="28"/>
      <c r="CE254" s="28"/>
      <c r="CF254" s="28"/>
      <c r="CG254" s="28"/>
      <c r="CH254" s="28"/>
      <c r="CI254" s="28"/>
      <c r="CJ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9"/>
      <c r="BW255" s="28"/>
      <c r="BX255" s="28"/>
      <c r="BY255" s="28"/>
      <c r="BZ255" s="28"/>
      <c r="CA255" s="28"/>
      <c r="CB255" s="28"/>
      <c r="CC255" s="28"/>
      <c r="CD255" s="28"/>
      <c r="CE255" s="28"/>
      <c r="CF255" s="28"/>
      <c r="CG255" s="28"/>
      <c r="CH255" s="28"/>
      <c r="CI255" s="28"/>
      <c r="CJ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9"/>
      <c r="BW256" s="28"/>
      <c r="BX256" s="28"/>
      <c r="BY256" s="28"/>
      <c r="BZ256" s="28"/>
      <c r="CA256" s="28"/>
      <c r="CB256" s="28"/>
      <c r="CC256" s="28"/>
      <c r="CD256" s="28"/>
      <c r="CE256" s="28"/>
      <c r="CF256" s="28"/>
      <c r="CG256" s="28"/>
      <c r="CH256" s="28"/>
      <c r="CI256" s="28"/>
      <c r="CJ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9"/>
      <c r="BW257" s="28"/>
      <c r="BX257" s="28"/>
      <c r="BY257" s="28"/>
      <c r="BZ257" s="28"/>
      <c r="CA257" s="28"/>
      <c r="CB257" s="28"/>
      <c r="CC257" s="28"/>
      <c r="CD257" s="28"/>
      <c r="CE257" s="28"/>
      <c r="CF257" s="28"/>
      <c r="CG257" s="28"/>
      <c r="CH257" s="28"/>
      <c r="CI257" s="28"/>
      <c r="CJ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9"/>
      <c r="BW258" s="28"/>
      <c r="BX258" s="28"/>
      <c r="BY258" s="28"/>
      <c r="BZ258" s="28"/>
      <c r="CA258" s="28"/>
      <c r="CB258" s="28"/>
      <c r="CC258" s="28"/>
      <c r="CD258" s="28"/>
      <c r="CE258" s="28"/>
      <c r="CF258" s="28"/>
      <c r="CG258" s="28"/>
      <c r="CH258" s="28"/>
      <c r="CI258" s="28"/>
      <c r="CJ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9"/>
      <c r="BW259" s="28"/>
      <c r="BX259" s="28"/>
      <c r="BY259" s="28"/>
      <c r="BZ259" s="28"/>
      <c r="CA259" s="28"/>
      <c r="CB259" s="28"/>
      <c r="CC259" s="28"/>
      <c r="CD259" s="28"/>
      <c r="CE259" s="28"/>
      <c r="CF259" s="28"/>
      <c r="CG259" s="28"/>
      <c r="CH259" s="28"/>
      <c r="CI259" s="28"/>
      <c r="CJ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9"/>
      <c r="BW260" s="28"/>
      <c r="BX260" s="28"/>
      <c r="BY260" s="28"/>
      <c r="BZ260" s="28"/>
      <c r="CA260" s="28"/>
      <c r="CB260" s="28"/>
      <c r="CC260" s="28"/>
      <c r="CD260" s="28"/>
      <c r="CE260" s="28"/>
      <c r="CF260" s="28"/>
      <c r="CG260" s="28"/>
      <c r="CH260" s="28"/>
      <c r="CI260" s="28"/>
      <c r="CJ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9"/>
      <c r="BW261" s="28"/>
      <c r="BX261" s="28"/>
      <c r="BY261" s="28"/>
      <c r="BZ261" s="28"/>
      <c r="CA261" s="28"/>
      <c r="CB261" s="28"/>
      <c r="CC261" s="28"/>
      <c r="CD261" s="28"/>
      <c r="CE261" s="28"/>
      <c r="CF261" s="28"/>
      <c r="CG261" s="28"/>
      <c r="CH261" s="28"/>
      <c r="CI261" s="28"/>
      <c r="CJ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9"/>
      <c r="BW262" s="28"/>
      <c r="BX262" s="28"/>
      <c r="BY262" s="28"/>
      <c r="BZ262" s="28"/>
      <c r="CA262" s="28"/>
      <c r="CB262" s="28"/>
      <c r="CC262" s="28"/>
      <c r="CD262" s="28"/>
      <c r="CE262" s="28"/>
      <c r="CF262" s="28"/>
      <c r="CG262" s="28"/>
      <c r="CH262" s="28"/>
      <c r="CI262" s="28"/>
      <c r="CJ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9"/>
      <c r="BW263" s="28"/>
      <c r="BX263" s="28"/>
      <c r="BY263" s="28"/>
      <c r="BZ263" s="28"/>
      <c r="CA263" s="28"/>
      <c r="CB263" s="28"/>
      <c r="CC263" s="28"/>
      <c r="CD263" s="28"/>
      <c r="CE263" s="28"/>
      <c r="CF263" s="28"/>
      <c r="CG263" s="28"/>
      <c r="CH263" s="28"/>
      <c r="CI263" s="28"/>
      <c r="CJ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9"/>
      <c r="BW264" s="28"/>
      <c r="BX264" s="28"/>
      <c r="BY264" s="28"/>
      <c r="BZ264" s="28"/>
      <c r="CA264" s="28"/>
      <c r="CB264" s="28"/>
      <c r="CC264" s="28"/>
      <c r="CD264" s="28"/>
      <c r="CE264" s="28"/>
      <c r="CF264" s="28"/>
      <c r="CG264" s="28"/>
      <c r="CH264" s="28"/>
      <c r="CI264" s="28"/>
      <c r="CJ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9"/>
      <c r="BW265" s="28"/>
      <c r="BX265" s="28"/>
      <c r="BY265" s="28"/>
      <c r="BZ265" s="28"/>
      <c r="CA265" s="28"/>
      <c r="CB265" s="28"/>
      <c r="CC265" s="28"/>
      <c r="CD265" s="28"/>
      <c r="CE265" s="28"/>
      <c r="CF265" s="28"/>
      <c r="CG265" s="28"/>
      <c r="CH265" s="28"/>
      <c r="CI265" s="28"/>
      <c r="CJ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9"/>
      <c r="BW266" s="28"/>
      <c r="BX266" s="28"/>
      <c r="BY266" s="28"/>
      <c r="BZ266" s="28"/>
      <c r="CA266" s="28"/>
      <c r="CB266" s="28"/>
      <c r="CC266" s="28"/>
      <c r="CD266" s="28"/>
      <c r="CE266" s="28"/>
      <c r="CF266" s="28"/>
      <c r="CG266" s="28"/>
      <c r="CH266" s="28"/>
      <c r="CI266" s="28"/>
      <c r="CJ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9"/>
      <c r="BW267" s="28"/>
      <c r="BX267" s="28"/>
      <c r="BY267" s="28"/>
      <c r="BZ267" s="28"/>
      <c r="CA267" s="28"/>
      <c r="CB267" s="28"/>
      <c r="CC267" s="28"/>
      <c r="CD267" s="28"/>
      <c r="CE267" s="28"/>
      <c r="CF267" s="28"/>
      <c r="CG267" s="28"/>
      <c r="CH267" s="28"/>
      <c r="CI267" s="28"/>
      <c r="CJ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9"/>
      <c r="BW268" s="28"/>
      <c r="BX268" s="28"/>
      <c r="BY268" s="28"/>
      <c r="BZ268" s="28"/>
      <c r="CA268" s="28"/>
      <c r="CB268" s="28"/>
      <c r="CC268" s="28"/>
      <c r="CD268" s="28"/>
      <c r="CE268" s="28"/>
      <c r="CF268" s="28"/>
      <c r="CG268" s="28"/>
      <c r="CH268" s="28"/>
      <c r="CI268" s="28"/>
      <c r="CJ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9"/>
      <c r="BW269" s="28"/>
      <c r="BX269" s="28"/>
      <c r="BY269" s="28"/>
      <c r="BZ269" s="28"/>
      <c r="CA269" s="28"/>
      <c r="CB269" s="28"/>
      <c r="CC269" s="28"/>
      <c r="CD269" s="28"/>
      <c r="CE269" s="28"/>
      <c r="CF269" s="28"/>
      <c r="CG269" s="28"/>
      <c r="CH269" s="28"/>
      <c r="CI269" s="28"/>
      <c r="CJ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9"/>
      <c r="BW270" s="28"/>
      <c r="BX270" s="28"/>
      <c r="BY270" s="28"/>
      <c r="BZ270" s="28"/>
      <c r="CA270" s="28"/>
      <c r="CB270" s="28"/>
      <c r="CC270" s="28"/>
      <c r="CD270" s="28"/>
      <c r="CE270" s="28"/>
      <c r="CF270" s="28"/>
      <c r="CG270" s="28"/>
      <c r="CH270" s="28"/>
      <c r="CI270" s="28"/>
      <c r="CJ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9"/>
      <c r="BW271" s="28"/>
      <c r="BX271" s="28"/>
      <c r="BY271" s="28"/>
      <c r="BZ271" s="28"/>
      <c r="CA271" s="28"/>
      <c r="CB271" s="28"/>
      <c r="CC271" s="28"/>
      <c r="CD271" s="28"/>
      <c r="CE271" s="28"/>
      <c r="CF271" s="28"/>
      <c r="CG271" s="28"/>
      <c r="CH271" s="28"/>
      <c r="CI271" s="28"/>
      <c r="CJ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9"/>
      <c r="BW272" s="28"/>
      <c r="BX272" s="28"/>
      <c r="BY272" s="28"/>
      <c r="BZ272" s="28"/>
      <c r="CA272" s="28"/>
      <c r="CB272" s="28"/>
      <c r="CC272" s="28"/>
      <c r="CD272" s="28"/>
      <c r="CE272" s="28"/>
      <c r="CF272" s="28"/>
      <c r="CG272" s="28"/>
      <c r="CH272" s="28"/>
      <c r="CI272" s="28"/>
      <c r="CJ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9"/>
      <c r="BW273" s="28"/>
      <c r="BX273" s="28"/>
      <c r="BY273" s="28"/>
      <c r="BZ273" s="28"/>
      <c r="CA273" s="28"/>
      <c r="CB273" s="28"/>
      <c r="CC273" s="28"/>
      <c r="CD273" s="28"/>
      <c r="CE273" s="28"/>
      <c r="CF273" s="28"/>
      <c r="CG273" s="28"/>
      <c r="CH273" s="28"/>
      <c r="CI273" s="28"/>
      <c r="CJ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9"/>
      <c r="BW274" s="28"/>
      <c r="BX274" s="28"/>
      <c r="BY274" s="28"/>
      <c r="BZ274" s="28"/>
      <c r="CA274" s="28"/>
      <c r="CB274" s="28"/>
      <c r="CC274" s="28"/>
      <c r="CD274" s="28"/>
      <c r="CE274" s="28"/>
      <c r="CF274" s="28"/>
      <c r="CG274" s="28"/>
      <c r="CH274" s="28"/>
      <c r="CI274" s="28"/>
      <c r="CJ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9"/>
      <c r="BW275" s="28"/>
      <c r="BX275" s="28"/>
      <c r="BY275" s="28"/>
      <c r="BZ275" s="28"/>
      <c r="CA275" s="28"/>
      <c r="CB275" s="28"/>
      <c r="CC275" s="28"/>
      <c r="CD275" s="28"/>
      <c r="CE275" s="28"/>
      <c r="CF275" s="28"/>
      <c r="CG275" s="28"/>
      <c r="CH275" s="28"/>
      <c r="CI275" s="28"/>
      <c r="CJ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9"/>
      <c r="BW276" s="28"/>
      <c r="BX276" s="28"/>
      <c r="BY276" s="28"/>
      <c r="BZ276" s="28"/>
      <c r="CA276" s="28"/>
      <c r="CB276" s="28"/>
      <c r="CC276" s="28"/>
      <c r="CD276" s="28"/>
      <c r="CE276" s="28"/>
      <c r="CF276" s="28"/>
      <c r="CG276" s="28"/>
      <c r="CH276" s="28"/>
      <c r="CI276" s="28"/>
      <c r="CJ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9"/>
      <c r="BW277" s="28"/>
      <c r="BX277" s="28"/>
      <c r="BY277" s="28"/>
      <c r="BZ277" s="28"/>
      <c r="CA277" s="28"/>
      <c r="CB277" s="28"/>
      <c r="CC277" s="28"/>
      <c r="CD277" s="28"/>
      <c r="CE277" s="28"/>
      <c r="CF277" s="28"/>
      <c r="CG277" s="28"/>
      <c r="CH277" s="28"/>
      <c r="CI277" s="28"/>
      <c r="CJ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9"/>
      <c r="BW278" s="28"/>
      <c r="BX278" s="28"/>
      <c r="BY278" s="28"/>
      <c r="BZ278" s="28"/>
      <c r="CA278" s="28"/>
      <c r="CB278" s="28"/>
      <c r="CC278" s="28"/>
      <c r="CD278" s="28"/>
      <c r="CE278" s="28"/>
      <c r="CF278" s="28"/>
      <c r="CG278" s="28"/>
      <c r="CH278" s="28"/>
      <c r="CI278" s="28"/>
      <c r="CJ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9"/>
      <c r="BW279" s="28"/>
      <c r="BX279" s="28"/>
      <c r="BY279" s="28"/>
      <c r="BZ279" s="28"/>
      <c r="CA279" s="28"/>
      <c r="CB279" s="28"/>
      <c r="CC279" s="28"/>
      <c r="CD279" s="28"/>
      <c r="CE279" s="28"/>
      <c r="CF279" s="28"/>
      <c r="CG279" s="28"/>
      <c r="CH279" s="28"/>
      <c r="CI279" s="28"/>
      <c r="CJ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9"/>
      <c r="BW280" s="28"/>
      <c r="BX280" s="28"/>
      <c r="BY280" s="28"/>
      <c r="BZ280" s="28"/>
      <c r="CA280" s="28"/>
      <c r="CB280" s="28"/>
      <c r="CC280" s="28"/>
      <c r="CD280" s="28"/>
      <c r="CE280" s="28"/>
      <c r="CF280" s="28"/>
      <c r="CG280" s="28"/>
      <c r="CH280" s="28"/>
      <c r="CI280" s="28"/>
      <c r="CJ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9"/>
      <c r="BW281" s="28"/>
      <c r="BX281" s="28"/>
      <c r="BY281" s="28"/>
      <c r="BZ281" s="28"/>
      <c r="CA281" s="28"/>
      <c r="CB281" s="28"/>
      <c r="CC281" s="28"/>
      <c r="CD281" s="28"/>
      <c r="CE281" s="28"/>
      <c r="CF281" s="28"/>
      <c r="CG281" s="28"/>
      <c r="CH281" s="28"/>
      <c r="CI281" s="28"/>
      <c r="CJ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9"/>
      <c r="BW282" s="28"/>
      <c r="BX282" s="28"/>
      <c r="BY282" s="28"/>
      <c r="BZ282" s="28"/>
      <c r="CA282" s="28"/>
      <c r="CB282" s="28"/>
      <c r="CC282" s="28"/>
      <c r="CD282" s="28"/>
      <c r="CE282" s="28"/>
      <c r="CF282" s="28"/>
      <c r="CG282" s="28"/>
      <c r="CH282" s="28"/>
      <c r="CI282" s="28"/>
      <c r="CJ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9"/>
      <c r="BW283" s="28"/>
      <c r="BX283" s="28"/>
      <c r="BY283" s="28"/>
      <c r="BZ283" s="28"/>
      <c r="CA283" s="28"/>
      <c r="CB283" s="28"/>
      <c r="CC283" s="28"/>
      <c r="CD283" s="28"/>
      <c r="CE283" s="28"/>
      <c r="CF283" s="28"/>
      <c r="CG283" s="28"/>
      <c r="CH283" s="28"/>
      <c r="CI283" s="28"/>
      <c r="CJ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9"/>
      <c r="BW284" s="28"/>
      <c r="BX284" s="28"/>
      <c r="BY284" s="28"/>
      <c r="BZ284" s="28"/>
      <c r="CA284" s="28"/>
      <c r="CB284" s="28"/>
      <c r="CC284" s="28"/>
      <c r="CD284" s="28"/>
      <c r="CE284" s="28"/>
      <c r="CF284" s="28"/>
      <c r="CG284" s="28"/>
      <c r="CH284" s="28"/>
      <c r="CI284" s="28"/>
      <c r="CJ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9"/>
      <c r="BW285" s="28"/>
      <c r="BX285" s="28"/>
      <c r="BY285" s="28"/>
      <c r="BZ285" s="28"/>
      <c r="CA285" s="28"/>
      <c r="CB285" s="28"/>
      <c r="CC285" s="28"/>
      <c r="CD285" s="28"/>
      <c r="CE285" s="28"/>
      <c r="CF285" s="28"/>
      <c r="CG285" s="28"/>
      <c r="CH285" s="28"/>
      <c r="CI285" s="28"/>
      <c r="CJ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9"/>
      <c r="BW286" s="28"/>
      <c r="BX286" s="28"/>
      <c r="BY286" s="28"/>
      <c r="BZ286" s="28"/>
      <c r="CA286" s="28"/>
      <c r="CB286" s="28"/>
      <c r="CC286" s="28"/>
      <c r="CD286" s="28"/>
      <c r="CE286" s="28"/>
      <c r="CF286" s="28"/>
      <c r="CG286" s="28"/>
      <c r="CH286" s="28"/>
      <c r="CI286" s="28"/>
      <c r="CJ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9"/>
      <c r="BW287" s="28"/>
      <c r="BX287" s="28"/>
      <c r="BY287" s="28"/>
      <c r="BZ287" s="28"/>
      <c r="CA287" s="28"/>
      <c r="CB287" s="28"/>
      <c r="CC287" s="28"/>
      <c r="CD287" s="28"/>
      <c r="CE287" s="28"/>
      <c r="CF287" s="28"/>
      <c r="CG287" s="28"/>
      <c r="CH287" s="28"/>
      <c r="CI287" s="28"/>
      <c r="CJ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9"/>
      <c r="BW288" s="28"/>
      <c r="BX288" s="28"/>
      <c r="BY288" s="28"/>
      <c r="BZ288" s="28"/>
      <c r="CA288" s="28"/>
      <c r="CB288" s="28"/>
      <c r="CC288" s="28"/>
      <c r="CD288" s="28"/>
      <c r="CE288" s="28"/>
      <c r="CF288" s="28"/>
      <c r="CG288" s="28"/>
      <c r="CH288" s="28"/>
      <c r="CI288" s="28"/>
      <c r="CJ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9"/>
      <c r="BW289" s="28"/>
      <c r="BX289" s="28"/>
      <c r="BY289" s="28"/>
      <c r="BZ289" s="28"/>
      <c r="CA289" s="28"/>
      <c r="CB289" s="28"/>
      <c r="CC289" s="28"/>
      <c r="CD289" s="28"/>
      <c r="CE289" s="28"/>
      <c r="CF289" s="28"/>
      <c r="CG289" s="28"/>
      <c r="CH289" s="28"/>
      <c r="CI289" s="28"/>
      <c r="CJ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9"/>
      <c r="BW290" s="28"/>
      <c r="BX290" s="28"/>
      <c r="BY290" s="28"/>
      <c r="BZ290" s="28"/>
      <c r="CA290" s="28"/>
      <c r="CB290" s="28"/>
      <c r="CC290" s="28"/>
      <c r="CD290" s="28"/>
      <c r="CE290" s="28"/>
      <c r="CF290" s="28"/>
      <c r="CG290" s="28"/>
      <c r="CH290" s="28"/>
      <c r="CI290" s="28"/>
      <c r="CJ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9"/>
      <c r="BW291" s="28"/>
      <c r="BX291" s="28"/>
      <c r="BY291" s="28"/>
      <c r="BZ291" s="28"/>
      <c r="CA291" s="28"/>
      <c r="CB291" s="28"/>
      <c r="CC291" s="28"/>
      <c r="CD291" s="28"/>
      <c r="CE291" s="28"/>
      <c r="CF291" s="28"/>
      <c r="CG291" s="28"/>
      <c r="CH291" s="28"/>
      <c r="CI291" s="28"/>
      <c r="CJ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9"/>
      <c r="BW292" s="28"/>
      <c r="BX292" s="28"/>
      <c r="BY292" s="28"/>
      <c r="BZ292" s="28"/>
      <c r="CA292" s="28"/>
      <c r="CB292" s="28"/>
      <c r="CC292" s="28"/>
      <c r="CD292" s="28"/>
      <c r="CE292" s="28"/>
      <c r="CF292" s="28"/>
      <c r="CG292" s="28"/>
      <c r="CH292" s="28"/>
      <c r="CI292" s="28"/>
      <c r="CJ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9"/>
      <c r="BW293" s="28"/>
      <c r="BX293" s="28"/>
      <c r="BY293" s="28"/>
      <c r="BZ293" s="28"/>
      <c r="CA293" s="28"/>
      <c r="CB293" s="28"/>
      <c r="CC293" s="28"/>
      <c r="CD293" s="28"/>
      <c r="CE293" s="28"/>
      <c r="CF293" s="28"/>
      <c r="CG293" s="28"/>
      <c r="CH293" s="28"/>
      <c r="CI293" s="28"/>
      <c r="CJ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9"/>
      <c r="BW294" s="28"/>
      <c r="BX294" s="28"/>
      <c r="BY294" s="28"/>
      <c r="BZ294" s="28"/>
      <c r="CA294" s="28"/>
      <c r="CB294" s="28"/>
      <c r="CC294" s="28"/>
      <c r="CD294" s="28"/>
      <c r="CE294" s="28"/>
      <c r="CF294" s="28"/>
      <c r="CG294" s="28"/>
      <c r="CH294" s="28"/>
      <c r="CI294" s="28"/>
      <c r="CJ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9"/>
      <c r="BW295" s="28"/>
      <c r="BX295" s="28"/>
      <c r="BY295" s="28"/>
      <c r="BZ295" s="28"/>
      <c r="CA295" s="28"/>
      <c r="CB295" s="28"/>
      <c r="CC295" s="28"/>
      <c r="CD295" s="28"/>
      <c r="CE295" s="28"/>
      <c r="CF295" s="28"/>
      <c r="CG295" s="28"/>
      <c r="CH295" s="28"/>
      <c r="CI295" s="28"/>
      <c r="CJ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9"/>
      <c r="BW296" s="28"/>
      <c r="BX296" s="28"/>
      <c r="BY296" s="28"/>
      <c r="BZ296" s="28"/>
      <c r="CA296" s="28"/>
      <c r="CB296" s="28"/>
      <c r="CC296" s="28"/>
      <c r="CD296" s="28"/>
      <c r="CE296" s="28"/>
      <c r="CF296" s="28"/>
      <c r="CG296" s="28"/>
      <c r="CH296" s="28"/>
      <c r="CI296" s="28"/>
      <c r="CJ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9"/>
      <c r="BW297" s="28"/>
      <c r="BX297" s="28"/>
      <c r="BY297" s="28"/>
      <c r="BZ297" s="28"/>
      <c r="CA297" s="28"/>
      <c r="CB297" s="28"/>
      <c r="CC297" s="28"/>
      <c r="CD297" s="28"/>
      <c r="CE297" s="28"/>
      <c r="CF297" s="28"/>
      <c r="CG297" s="28"/>
      <c r="CH297" s="28"/>
      <c r="CI297" s="28"/>
      <c r="CJ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9"/>
      <c r="BW298" s="28"/>
      <c r="BX298" s="28"/>
      <c r="BY298" s="28"/>
      <c r="BZ298" s="28"/>
      <c r="CA298" s="28"/>
      <c r="CB298" s="28"/>
      <c r="CC298" s="28"/>
      <c r="CD298" s="28"/>
      <c r="CE298" s="28"/>
      <c r="CF298" s="28"/>
      <c r="CG298" s="28"/>
      <c r="CH298" s="28"/>
      <c r="CI298" s="28"/>
      <c r="CJ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9"/>
      <c r="BW299" s="28"/>
      <c r="BX299" s="28"/>
      <c r="BY299" s="28"/>
      <c r="BZ299" s="28"/>
      <c r="CA299" s="28"/>
      <c r="CB299" s="28"/>
      <c r="CC299" s="28"/>
      <c r="CD299" s="28"/>
      <c r="CE299" s="28"/>
      <c r="CF299" s="28"/>
      <c r="CG299" s="28"/>
      <c r="CH299" s="28"/>
      <c r="CI299" s="28"/>
      <c r="CJ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9"/>
      <c r="BW300" s="28"/>
      <c r="BX300" s="28"/>
      <c r="BY300" s="28"/>
      <c r="BZ300" s="28"/>
      <c r="CA300" s="28"/>
      <c r="CB300" s="28"/>
      <c r="CC300" s="28"/>
      <c r="CD300" s="28"/>
      <c r="CE300" s="28"/>
      <c r="CF300" s="28"/>
      <c r="CG300" s="28"/>
      <c r="CH300" s="28"/>
      <c r="CI300" s="28"/>
      <c r="CJ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9"/>
      <c r="BW301" s="28"/>
      <c r="BX301" s="28"/>
      <c r="BY301" s="28"/>
      <c r="BZ301" s="28"/>
      <c r="CA301" s="28"/>
      <c r="CB301" s="28"/>
      <c r="CC301" s="28"/>
      <c r="CD301" s="28"/>
      <c r="CE301" s="28"/>
      <c r="CF301" s="28"/>
      <c r="CG301" s="28"/>
      <c r="CH301" s="28"/>
      <c r="CI301" s="28"/>
      <c r="CJ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9"/>
      <c r="BW302" s="28"/>
      <c r="BX302" s="28"/>
      <c r="BY302" s="28"/>
      <c r="BZ302" s="28"/>
      <c r="CA302" s="28"/>
      <c r="CB302" s="28"/>
      <c r="CC302" s="28"/>
      <c r="CD302" s="28"/>
      <c r="CE302" s="28"/>
      <c r="CF302" s="28"/>
      <c r="CG302" s="28"/>
      <c r="CH302" s="28"/>
      <c r="CI302" s="28"/>
      <c r="CJ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9"/>
      <c r="BW303" s="28"/>
      <c r="BX303" s="28"/>
      <c r="BY303" s="28"/>
      <c r="BZ303" s="28"/>
      <c r="CA303" s="28"/>
      <c r="CB303" s="28"/>
      <c r="CC303" s="28"/>
      <c r="CD303" s="28"/>
      <c r="CE303" s="28"/>
      <c r="CF303" s="28"/>
      <c r="CG303" s="28"/>
      <c r="CH303" s="28"/>
      <c r="CI303" s="28"/>
      <c r="CJ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9"/>
      <c r="BW304" s="28"/>
      <c r="BX304" s="28"/>
      <c r="BY304" s="28"/>
      <c r="BZ304" s="28"/>
      <c r="CA304" s="28"/>
      <c r="CB304" s="28"/>
      <c r="CC304" s="28"/>
      <c r="CD304" s="28"/>
      <c r="CE304" s="28"/>
      <c r="CF304" s="28"/>
      <c r="CG304" s="28"/>
      <c r="CH304" s="28"/>
      <c r="CI304" s="28"/>
      <c r="CJ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9"/>
      <c r="BW305" s="28"/>
      <c r="BX305" s="28"/>
      <c r="BY305" s="28"/>
      <c r="BZ305" s="28"/>
      <c r="CA305" s="28"/>
      <c r="CB305" s="28"/>
      <c r="CC305" s="28"/>
      <c r="CD305" s="28"/>
      <c r="CE305" s="28"/>
      <c r="CF305" s="28"/>
      <c r="CG305" s="28"/>
      <c r="CH305" s="28"/>
      <c r="CI305" s="28"/>
      <c r="CJ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9"/>
      <c r="BW306" s="28"/>
      <c r="BX306" s="28"/>
      <c r="BY306" s="28"/>
      <c r="BZ306" s="28"/>
      <c r="CA306" s="28"/>
      <c r="CB306" s="28"/>
      <c r="CC306" s="28"/>
      <c r="CD306" s="28"/>
      <c r="CE306" s="28"/>
      <c r="CF306" s="28"/>
      <c r="CG306" s="28"/>
      <c r="CH306" s="28"/>
      <c r="CI306" s="28"/>
      <c r="CJ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9"/>
      <c r="BW307" s="28"/>
      <c r="BX307" s="28"/>
      <c r="BY307" s="28"/>
      <c r="BZ307" s="28"/>
      <c r="CA307" s="28"/>
      <c r="CB307" s="28"/>
      <c r="CC307" s="28"/>
      <c r="CD307" s="28"/>
      <c r="CE307" s="28"/>
      <c r="CF307" s="28"/>
      <c r="CG307" s="28"/>
      <c r="CH307" s="28"/>
      <c r="CI307" s="28"/>
      <c r="CJ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9"/>
      <c r="BW308" s="28"/>
      <c r="BX308" s="28"/>
      <c r="BY308" s="28"/>
      <c r="BZ308" s="28"/>
      <c r="CA308" s="28"/>
      <c r="CB308" s="28"/>
      <c r="CC308" s="28"/>
      <c r="CD308" s="28"/>
      <c r="CE308" s="28"/>
      <c r="CF308" s="28"/>
      <c r="CG308" s="28"/>
      <c r="CH308" s="28"/>
      <c r="CI308" s="28"/>
      <c r="CJ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9"/>
      <c r="BW309" s="28"/>
      <c r="BX309" s="28"/>
      <c r="BY309" s="28"/>
      <c r="BZ309" s="28"/>
      <c r="CA309" s="28"/>
      <c r="CB309" s="28"/>
      <c r="CC309" s="28"/>
      <c r="CD309" s="28"/>
      <c r="CE309" s="28"/>
      <c r="CF309" s="28"/>
      <c r="CG309" s="28"/>
      <c r="CH309" s="28"/>
      <c r="CI309" s="28"/>
      <c r="CJ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9"/>
      <c r="BW310" s="28"/>
      <c r="BX310" s="28"/>
      <c r="BY310" s="28"/>
      <c r="BZ310" s="28"/>
      <c r="CA310" s="28"/>
      <c r="CB310" s="28"/>
      <c r="CC310" s="28"/>
      <c r="CD310" s="28"/>
      <c r="CE310" s="28"/>
      <c r="CF310" s="28"/>
      <c r="CG310" s="28"/>
      <c r="CH310" s="28"/>
      <c r="CI310" s="28"/>
      <c r="CJ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9"/>
      <c r="BW311" s="28"/>
      <c r="BX311" s="28"/>
      <c r="BY311" s="28"/>
      <c r="BZ311" s="28"/>
      <c r="CA311" s="28"/>
      <c r="CB311" s="28"/>
      <c r="CC311" s="28"/>
      <c r="CD311" s="28"/>
      <c r="CE311" s="28"/>
      <c r="CF311" s="28"/>
      <c r="CG311" s="28"/>
      <c r="CH311" s="28"/>
      <c r="CI311" s="28"/>
      <c r="CJ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9"/>
      <c r="BW312" s="28"/>
      <c r="BX312" s="28"/>
      <c r="BY312" s="28"/>
      <c r="BZ312" s="28"/>
      <c r="CA312" s="28"/>
      <c r="CB312" s="28"/>
      <c r="CC312" s="28"/>
      <c r="CD312" s="28"/>
      <c r="CE312" s="28"/>
      <c r="CF312" s="28"/>
      <c r="CG312" s="28"/>
      <c r="CH312" s="28"/>
      <c r="CI312" s="28"/>
      <c r="CJ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9"/>
      <c r="BW313" s="28"/>
      <c r="BX313" s="28"/>
      <c r="BY313" s="28"/>
      <c r="BZ313" s="28"/>
      <c r="CA313" s="28"/>
      <c r="CB313" s="28"/>
      <c r="CC313" s="28"/>
      <c r="CD313" s="28"/>
      <c r="CE313" s="28"/>
      <c r="CF313" s="28"/>
      <c r="CG313" s="28"/>
      <c r="CH313" s="28"/>
      <c r="CI313" s="28"/>
      <c r="CJ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9"/>
      <c r="BW314" s="28"/>
      <c r="BX314" s="28"/>
      <c r="BY314" s="28"/>
      <c r="BZ314" s="28"/>
      <c r="CA314" s="28"/>
      <c r="CB314" s="28"/>
      <c r="CC314" s="28"/>
      <c r="CD314" s="28"/>
      <c r="CE314" s="28"/>
      <c r="CF314" s="28"/>
      <c r="CG314" s="28"/>
      <c r="CH314" s="28"/>
      <c r="CI314" s="28"/>
      <c r="CJ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9"/>
      <c r="BW315" s="28"/>
      <c r="BX315" s="28"/>
      <c r="BY315" s="28"/>
      <c r="BZ315" s="28"/>
      <c r="CA315" s="28"/>
      <c r="CB315" s="28"/>
      <c r="CC315" s="28"/>
      <c r="CD315" s="28"/>
      <c r="CE315" s="28"/>
      <c r="CF315" s="28"/>
      <c r="CG315" s="28"/>
      <c r="CH315" s="28"/>
      <c r="CI315" s="28"/>
      <c r="CJ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9"/>
      <c r="BW316" s="28"/>
      <c r="BX316" s="28"/>
      <c r="BY316" s="28"/>
      <c r="BZ316" s="28"/>
      <c r="CA316" s="28"/>
      <c r="CB316" s="28"/>
      <c r="CC316" s="28"/>
      <c r="CD316" s="28"/>
      <c r="CE316" s="28"/>
      <c r="CF316" s="28"/>
      <c r="CG316" s="28"/>
      <c r="CH316" s="28"/>
      <c r="CI316" s="28"/>
      <c r="CJ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9"/>
      <c r="BW317" s="28"/>
      <c r="BX317" s="28"/>
      <c r="BY317" s="28"/>
      <c r="BZ317" s="28"/>
      <c r="CA317" s="28"/>
      <c r="CB317" s="28"/>
      <c r="CC317" s="28"/>
      <c r="CD317" s="28"/>
      <c r="CE317" s="28"/>
      <c r="CF317" s="28"/>
      <c r="CG317" s="28"/>
      <c r="CH317" s="28"/>
      <c r="CI317" s="28"/>
      <c r="CJ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9"/>
      <c r="BW318" s="28"/>
      <c r="BX318" s="28"/>
      <c r="BY318" s="28"/>
      <c r="BZ318" s="28"/>
      <c r="CA318" s="28"/>
      <c r="CB318" s="28"/>
      <c r="CC318" s="28"/>
      <c r="CD318" s="28"/>
      <c r="CE318" s="28"/>
      <c r="CF318" s="28"/>
      <c r="CG318" s="28"/>
      <c r="CH318" s="28"/>
      <c r="CI318" s="28"/>
      <c r="CJ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9"/>
      <c r="BW319" s="28"/>
      <c r="BX319" s="28"/>
      <c r="BY319" s="28"/>
      <c r="BZ319" s="28"/>
      <c r="CA319" s="28"/>
      <c r="CB319" s="28"/>
      <c r="CC319" s="28"/>
      <c r="CD319" s="28"/>
      <c r="CE319" s="28"/>
      <c r="CF319" s="28"/>
      <c r="CG319" s="28"/>
      <c r="CH319" s="28"/>
      <c r="CI319" s="28"/>
      <c r="CJ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9"/>
      <c r="BW320" s="28"/>
      <c r="BX320" s="28"/>
      <c r="BY320" s="28"/>
      <c r="BZ320" s="28"/>
      <c r="CA320" s="28"/>
      <c r="CB320" s="28"/>
      <c r="CC320" s="28"/>
      <c r="CD320" s="28"/>
      <c r="CE320" s="28"/>
      <c r="CF320" s="28"/>
      <c r="CG320" s="28"/>
      <c r="CH320" s="28"/>
      <c r="CI320" s="28"/>
      <c r="CJ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9"/>
      <c r="BW321" s="28"/>
      <c r="BX321" s="28"/>
      <c r="BY321" s="28"/>
      <c r="BZ321" s="28"/>
      <c r="CA321" s="28"/>
      <c r="CB321" s="28"/>
      <c r="CC321" s="28"/>
      <c r="CD321" s="28"/>
      <c r="CE321" s="28"/>
      <c r="CF321" s="28"/>
      <c r="CG321" s="28"/>
      <c r="CH321" s="28"/>
      <c r="CI321" s="28"/>
      <c r="CJ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9"/>
      <c r="BW322" s="28"/>
      <c r="BX322" s="28"/>
      <c r="BY322" s="28"/>
      <c r="BZ322" s="28"/>
      <c r="CA322" s="28"/>
      <c r="CB322" s="28"/>
      <c r="CC322" s="28"/>
      <c r="CD322" s="28"/>
      <c r="CE322" s="28"/>
      <c r="CF322" s="28"/>
      <c r="CG322" s="28"/>
      <c r="CH322" s="28"/>
      <c r="CI322" s="28"/>
      <c r="CJ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9"/>
      <c r="BW323" s="28"/>
      <c r="BX323" s="28"/>
      <c r="BY323" s="28"/>
      <c r="BZ323" s="28"/>
      <c r="CA323" s="28"/>
      <c r="CB323" s="28"/>
      <c r="CC323" s="28"/>
      <c r="CD323" s="28"/>
      <c r="CE323" s="28"/>
      <c r="CF323" s="28"/>
      <c r="CG323" s="28"/>
      <c r="CH323" s="28"/>
      <c r="CI323" s="28"/>
      <c r="CJ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9"/>
      <c r="BW324" s="28"/>
      <c r="BX324" s="28"/>
      <c r="BY324" s="28"/>
      <c r="BZ324" s="28"/>
      <c r="CA324" s="28"/>
      <c r="CB324" s="28"/>
      <c r="CC324" s="28"/>
      <c r="CD324" s="28"/>
      <c r="CE324" s="28"/>
      <c r="CF324" s="28"/>
      <c r="CG324" s="28"/>
      <c r="CH324" s="28"/>
      <c r="CI324" s="28"/>
      <c r="CJ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9"/>
      <c r="BW325" s="28"/>
      <c r="BX325" s="28"/>
      <c r="BY325" s="28"/>
      <c r="BZ325" s="28"/>
      <c r="CA325" s="28"/>
      <c r="CB325" s="28"/>
      <c r="CC325" s="28"/>
      <c r="CD325" s="28"/>
      <c r="CE325" s="28"/>
      <c r="CF325" s="28"/>
      <c r="CG325" s="28"/>
      <c r="CH325" s="28"/>
      <c r="CI325" s="28"/>
      <c r="CJ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9"/>
      <c r="BW326" s="28"/>
      <c r="BX326" s="28"/>
      <c r="BY326" s="28"/>
      <c r="BZ326" s="28"/>
      <c r="CA326" s="28"/>
      <c r="CB326" s="28"/>
      <c r="CC326" s="28"/>
      <c r="CD326" s="28"/>
      <c r="CE326" s="28"/>
      <c r="CF326" s="28"/>
      <c r="CG326" s="28"/>
      <c r="CH326" s="28"/>
      <c r="CI326" s="28"/>
      <c r="CJ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9"/>
      <c r="BW327" s="28"/>
      <c r="BX327" s="28"/>
      <c r="BY327" s="28"/>
      <c r="BZ327" s="28"/>
      <c r="CA327" s="28"/>
      <c r="CB327" s="28"/>
      <c r="CC327" s="28"/>
      <c r="CD327" s="28"/>
      <c r="CE327" s="28"/>
      <c r="CF327" s="28"/>
      <c r="CG327" s="28"/>
      <c r="CH327" s="28"/>
      <c r="CI327" s="28"/>
      <c r="CJ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9"/>
      <c r="BW328" s="28"/>
      <c r="BX328" s="28"/>
      <c r="BY328" s="28"/>
      <c r="BZ328" s="28"/>
      <c r="CA328" s="28"/>
      <c r="CB328" s="28"/>
      <c r="CC328" s="28"/>
      <c r="CD328" s="28"/>
      <c r="CE328" s="28"/>
      <c r="CF328" s="28"/>
      <c r="CG328" s="28"/>
      <c r="CH328" s="28"/>
      <c r="CI328" s="28"/>
      <c r="CJ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9"/>
      <c r="BW329" s="28"/>
      <c r="BX329" s="28"/>
      <c r="BY329" s="28"/>
      <c r="BZ329" s="28"/>
      <c r="CA329" s="28"/>
      <c r="CB329" s="28"/>
      <c r="CC329" s="28"/>
      <c r="CD329" s="28"/>
      <c r="CE329" s="28"/>
      <c r="CF329" s="28"/>
      <c r="CG329" s="28"/>
      <c r="CH329" s="28"/>
      <c r="CI329" s="28"/>
      <c r="CJ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9"/>
      <c r="BW330" s="28"/>
      <c r="BX330" s="28"/>
      <c r="BY330" s="28"/>
      <c r="BZ330" s="28"/>
      <c r="CA330" s="28"/>
      <c r="CB330" s="28"/>
      <c r="CC330" s="28"/>
      <c r="CD330" s="28"/>
      <c r="CE330" s="28"/>
      <c r="CF330" s="28"/>
      <c r="CG330" s="28"/>
      <c r="CH330" s="28"/>
      <c r="CI330" s="28"/>
      <c r="CJ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9"/>
      <c r="BW331" s="28"/>
      <c r="BX331" s="28"/>
      <c r="BY331" s="28"/>
      <c r="BZ331" s="28"/>
      <c r="CA331" s="28"/>
      <c r="CB331" s="28"/>
      <c r="CC331" s="28"/>
      <c r="CD331" s="28"/>
      <c r="CE331" s="28"/>
      <c r="CF331" s="28"/>
      <c r="CG331" s="28"/>
      <c r="CH331" s="28"/>
      <c r="CI331" s="28"/>
      <c r="CJ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9"/>
      <c r="BW332" s="28"/>
      <c r="BX332" s="28"/>
      <c r="BY332" s="28"/>
      <c r="BZ332" s="28"/>
      <c r="CA332" s="28"/>
      <c r="CB332" s="28"/>
      <c r="CC332" s="28"/>
      <c r="CD332" s="28"/>
      <c r="CE332" s="28"/>
      <c r="CF332" s="28"/>
      <c r="CG332" s="28"/>
      <c r="CH332" s="28"/>
      <c r="CI332" s="28"/>
      <c r="CJ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9"/>
      <c r="BW333" s="28"/>
      <c r="BX333" s="28"/>
      <c r="BY333" s="28"/>
      <c r="BZ333" s="28"/>
      <c r="CA333" s="28"/>
      <c r="CB333" s="28"/>
      <c r="CC333" s="28"/>
      <c r="CD333" s="28"/>
      <c r="CE333" s="28"/>
      <c r="CF333" s="28"/>
      <c r="CG333" s="28"/>
      <c r="CH333" s="28"/>
      <c r="CI333" s="28"/>
      <c r="CJ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9"/>
      <c r="BW334" s="28"/>
      <c r="BX334" s="28"/>
      <c r="BY334" s="28"/>
      <c r="BZ334" s="28"/>
      <c r="CA334" s="28"/>
      <c r="CB334" s="28"/>
      <c r="CC334" s="28"/>
      <c r="CD334" s="28"/>
      <c r="CE334" s="28"/>
      <c r="CF334" s="28"/>
      <c r="CG334" s="28"/>
      <c r="CH334" s="28"/>
      <c r="CI334" s="28"/>
      <c r="CJ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9"/>
      <c r="BW335" s="28"/>
      <c r="BX335" s="28"/>
      <c r="BY335" s="28"/>
      <c r="BZ335" s="28"/>
      <c r="CA335" s="28"/>
      <c r="CB335" s="28"/>
      <c r="CC335" s="28"/>
      <c r="CD335" s="28"/>
      <c r="CE335" s="28"/>
      <c r="CF335" s="28"/>
      <c r="CG335" s="28"/>
      <c r="CH335" s="28"/>
      <c r="CI335" s="28"/>
      <c r="CJ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9"/>
      <c r="BW336" s="28"/>
      <c r="BX336" s="28"/>
      <c r="BY336" s="28"/>
      <c r="BZ336" s="28"/>
      <c r="CA336" s="28"/>
      <c r="CB336" s="28"/>
      <c r="CC336" s="28"/>
      <c r="CD336" s="28"/>
      <c r="CE336" s="28"/>
      <c r="CF336" s="28"/>
      <c r="CG336" s="28"/>
      <c r="CH336" s="28"/>
      <c r="CI336" s="28"/>
      <c r="CJ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9"/>
      <c r="BW337" s="28"/>
      <c r="BX337" s="28"/>
      <c r="BY337" s="28"/>
      <c r="BZ337" s="28"/>
      <c r="CA337" s="28"/>
      <c r="CB337" s="28"/>
      <c r="CC337" s="28"/>
      <c r="CD337" s="28"/>
      <c r="CE337" s="28"/>
      <c r="CF337" s="28"/>
      <c r="CG337" s="28"/>
      <c r="CH337" s="28"/>
      <c r="CI337" s="28"/>
      <c r="CJ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9"/>
      <c r="BW338" s="28"/>
      <c r="BX338" s="28"/>
      <c r="BY338" s="28"/>
      <c r="BZ338" s="28"/>
      <c r="CA338" s="28"/>
      <c r="CB338" s="28"/>
      <c r="CC338" s="28"/>
      <c r="CD338" s="28"/>
      <c r="CE338" s="28"/>
      <c r="CF338" s="28"/>
      <c r="CG338" s="28"/>
      <c r="CH338" s="28"/>
      <c r="CI338" s="28"/>
      <c r="CJ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9"/>
      <c r="BW339" s="28"/>
      <c r="BX339" s="28"/>
      <c r="BY339" s="28"/>
      <c r="BZ339" s="28"/>
      <c r="CA339" s="28"/>
      <c r="CB339" s="28"/>
      <c r="CC339" s="28"/>
      <c r="CD339" s="28"/>
      <c r="CE339" s="28"/>
      <c r="CF339" s="28"/>
      <c r="CG339" s="28"/>
      <c r="CH339" s="28"/>
      <c r="CI339" s="28"/>
      <c r="CJ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9"/>
      <c r="BW340" s="28"/>
      <c r="BX340" s="28"/>
      <c r="BY340" s="28"/>
      <c r="BZ340" s="28"/>
      <c r="CA340" s="28"/>
      <c r="CB340" s="28"/>
      <c r="CC340" s="28"/>
      <c r="CD340" s="28"/>
      <c r="CE340" s="28"/>
      <c r="CF340" s="28"/>
      <c r="CG340" s="28"/>
      <c r="CH340" s="28"/>
      <c r="CI340" s="28"/>
      <c r="CJ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9"/>
      <c r="BW341" s="28"/>
      <c r="BX341" s="28"/>
      <c r="BY341" s="28"/>
      <c r="BZ341" s="28"/>
      <c r="CA341" s="28"/>
      <c r="CB341" s="28"/>
      <c r="CC341" s="28"/>
      <c r="CD341" s="28"/>
      <c r="CE341" s="28"/>
      <c r="CF341" s="28"/>
      <c r="CG341" s="28"/>
      <c r="CH341" s="28"/>
      <c r="CI341" s="28"/>
      <c r="CJ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9"/>
      <c r="BW342" s="28"/>
      <c r="BX342" s="28"/>
      <c r="BY342" s="28"/>
      <c r="BZ342" s="28"/>
      <c r="CA342" s="28"/>
      <c r="CB342" s="28"/>
      <c r="CC342" s="28"/>
      <c r="CD342" s="28"/>
      <c r="CE342" s="28"/>
      <c r="CF342" s="28"/>
      <c r="CG342" s="28"/>
      <c r="CH342" s="28"/>
      <c r="CI342" s="28"/>
      <c r="CJ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9"/>
      <c r="BW343" s="28"/>
      <c r="BX343" s="28"/>
      <c r="BY343" s="28"/>
      <c r="BZ343" s="28"/>
      <c r="CA343" s="28"/>
      <c r="CB343" s="28"/>
      <c r="CC343" s="28"/>
      <c r="CD343" s="28"/>
      <c r="CE343" s="28"/>
      <c r="CF343" s="28"/>
      <c r="CG343" s="28"/>
      <c r="CH343" s="28"/>
      <c r="CI343" s="28"/>
      <c r="CJ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9"/>
      <c r="BW344" s="28"/>
      <c r="BX344" s="28"/>
      <c r="BY344" s="28"/>
      <c r="BZ344" s="28"/>
      <c r="CA344" s="28"/>
      <c r="CB344" s="28"/>
      <c r="CC344" s="28"/>
      <c r="CD344" s="28"/>
      <c r="CE344" s="28"/>
      <c r="CF344" s="28"/>
      <c r="CG344" s="28"/>
      <c r="CH344" s="28"/>
      <c r="CI344" s="28"/>
      <c r="CJ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9"/>
      <c r="BW345" s="28"/>
      <c r="BX345" s="28"/>
      <c r="BY345" s="28"/>
      <c r="BZ345" s="28"/>
      <c r="CA345" s="28"/>
      <c r="CB345" s="28"/>
      <c r="CC345" s="28"/>
      <c r="CD345" s="28"/>
      <c r="CE345" s="28"/>
      <c r="CF345" s="28"/>
      <c r="CG345" s="28"/>
      <c r="CH345" s="28"/>
      <c r="CI345" s="28"/>
      <c r="CJ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9"/>
      <c r="BW346" s="28"/>
      <c r="BX346" s="28"/>
      <c r="BY346" s="28"/>
      <c r="BZ346" s="28"/>
      <c r="CA346" s="28"/>
      <c r="CB346" s="28"/>
      <c r="CC346" s="28"/>
      <c r="CD346" s="28"/>
      <c r="CE346" s="28"/>
      <c r="CF346" s="28"/>
      <c r="CG346" s="28"/>
      <c r="CH346" s="28"/>
      <c r="CI346" s="28"/>
      <c r="CJ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9"/>
      <c r="BW347" s="28"/>
      <c r="BX347" s="28"/>
      <c r="BY347" s="28"/>
      <c r="BZ347" s="28"/>
      <c r="CA347" s="28"/>
      <c r="CB347" s="28"/>
      <c r="CC347" s="28"/>
      <c r="CD347" s="28"/>
      <c r="CE347" s="28"/>
      <c r="CF347" s="28"/>
      <c r="CG347" s="28"/>
      <c r="CH347" s="28"/>
      <c r="CI347" s="28"/>
      <c r="CJ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9"/>
      <c r="BW348" s="28"/>
      <c r="BX348" s="28"/>
      <c r="BY348" s="28"/>
      <c r="BZ348" s="28"/>
      <c r="CA348" s="28"/>
      <c r="CB348" s="28"/>
      <c r="CC348" s="28"/>
      <c r="CD348" s="28"/>
      <c r="CE348" s="28"/>
      <c r="CF348" s="28"/>
      <c r="CG348" s="28"/>
      <c r="CH348" s="28"/>
      <c r="CI348" s="28"/>
      <c r="CJ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9"/>
      <c r="BW349" s="28"/>
      <c r="BX349" s="28"/>
      <c r="BY349" s="28"/>
      <c r="BZ349" s="28"/>
      <c r="CA349" s="28"/>
      <c r="CB349" s="28"/>
      <c r="CC349" s="28"/>
      <c r="CD349" s="28"/>
      <c r="CE349" s="28"/>
      <c r="CF349" s="28"/>
      <c r="CG349" s="28"/>
      <c r="CH349" s="28"/>
      <c r="CI349" s="28"/>
      <c r="CJ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9"/>
      <c r="BW350" s="28"/>
      <c r="BX350" s="28"/>
      <c r="BY350" s="28"/>
      <c r="BZ350" s="28"/>
      <c r="CA350" s="28"/>
      <c r="CB350" s="28"/>
      <c r="CC350" s="28"/>
      <c r="CD350" s="28"/>
      <c r="CE350" s="28"/>
      <c r="CF350" s="28"/>
      <c r="CG350" s="28"/>
      <c r="CH350" s="28"/>
      <c r="CI350" s="28"/>
      <c r="CJ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9"/>
      <c r="BW351" s="28"/>
      <c r="BX351" s="28"/>
      <c r="BY351" s="28"/>
      <c r="BZ351" s="28"/>
      <c r="CA351" s="28"/>
      <c r="CB351" s="28"/>
      <c r="CC351" s="28"/>
      <c r="CD351" s="28"/>
      <c r="CE351" s="28"/>
      <c r="CF351" s="28"/>
      <c r="CG351" s="28"/>
      <c r="CH351" s="28"/>
      <c r="CI351" s="28"/>
      <c r="CJ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9"/>
      <c r="BW352" s="28"/>
      <c r="BX352" s="28"/>
      <c r="BY352" s="28"/>
      <c r="BZ352" s="28"/>
      <c r="CA352" s="28"/>
      <c r="CB352" s="28"/>
      <c r="CC352" s="28"/>
      <c r="CD352" s="28"/>
      <c r="CE352" s="28"/>
      <c r="CF352" s="28"/>
      <c r="CG352" s="28"/>
      <c r="CH352" s="28"/>
      <c r="CI352" s="28"/>
      <c r="CJ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9"/>
      <c r="BW353" s="28"/>
      <c r="BX353" s="28"/>
      <c r="BY353" s="28"/>
      <c r="BZ353" s="28"/>
      <c r="CA353" s="28"/>
      <c r="CB353" s="28"/>
      <c r="CC353" s="28"/>
      <c r="CD353" s="28"/>
      <c r="CE353" s="28"/>
      <c r="CF353" s="28"/>
      <c r="CG353" s="28"/>
      <c r="CH353" s="28"/>
      <c r="CI353" s="28"/>
      <c r="CJ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9"/>
      <c r="BW354" s="28"/>
      <c r="BX354" s="28"/>
      <c r="BY354" s="28"/>
      <c r="BZ354" s="28"/>
      <c r="CA354" s="28"/>
      <c r="CB354" s="28"/>
      <c r="CC354" s="28"/>
      <c r="CD354" s="28"/>
      <c r="CE354" s="28"/>
      <c r="CF354" s="28"/>
      <c r="CG354" s="28"/>
      <c r="CH354" s="28"/>
      <c r="CI354" s="28"/>
      <c r="CJ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9"/>
      <c r="BW355" s="28"/>
      <c r="BX355" s="28"/>
      <c r="BY355" s="28"/>
      <c r="BZ355" s="28"/>
      <c r="CA355" s="28"/>
      <c r="CB355" s="28"/>
      <c r="CC355" s="28"/>
      <c r="CD355" s="28"/>
      <c r="CE355" s="28"/>
      <c r="CF355" s="28"/>
      <c r="CG355" s="28"/>
      <c r="CH355" s="28"/>
      <c r="CI355" s="28"/>
      <c r="CJ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9"/>
      <c r="BW356" s="28"/>
      <c r="BX356" s="28"/>
      <c r="BY356" s="28"/>
      <c r="BZ356" s="28"/>
      <c r="CA356" s="28"/>
      <c r="CB356" s="28"/>
      <c r="CC356" s="28"/>
      <c r="CD356" s="28"/>
      <c r="CE356" s="28"/>
      <c r="CF356" s="28"/>
      <c r="CG356" s="28"/>
      <c r="CH356" s="28"/>
      <c r="CI356" s="28"/>
      <c r="CJ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9"/>
      <c r="BW357" s="28"/>
      <c r="BX357" s="28"/>
      <c r="BY357" s="28"/>
      <c r="BZ357" s="28"/>
      <c r="CA357" s="28"/>
      <c r="CB357" s="28"/>
      <c r="CC357" s="28"/>
      <c r="CD357" s="28"/>
      <c r="CE357" s="28"/>
      <c r="CF357" s="28"/>
      <c r="CG357" s="28"/>
      <c r="CH357" s="28"/>
      <c r="CI357" s="28"/>
      <c r="CJ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9"/>
      <c r="BW358" s="28"/>
      <c r="BX358" s="28"/>
      <c r="BY358" s="28"/>
      <c r="BZ358" s="28"/>
      <c r="CA358" s="28"/>
      <c r="CB358" s="28"/>
      <c r="CC358" s="28"/>
      <c r="CD358" s="28"/>
      <c r="CE358" s="28"/>
      <c r="CF358" s="28"/>
      <c r="CG358" s="28"/>
      <c r="CH358" s="28"/>
      <c r="CI358" s="28"/>
      <c r="CJ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9"/>
      <c r="BW359" s="28"/>
      <c r="BX359" s="28"/>
      <c r="BY359" s="28"/>
      <c r="BZ359" s="28"/>
      <c r="CA359" s="28"/>
      <c r="CB359" s="28"/>
      <c r="CC359" s="28"/>
      <c r="CD359" s="28"/>
      <c r="CE359" s="28"/>
      <c r="CF359" s="28"/>
      <c r="CG359" s="28"/>
      <c r="CH359" s="28"/>
      <c r="CI359" s="28"/>
      <c r="CJ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9"/>
      <c r="BW360" s="28"/>
      <c r="BX360" s="28"/>
      <c r="BY360" s="28"/>
      <c r="BZ360" s="28"/>
      <c r="CA360" s="28"/>
      <c r="CB360" s="28"/>
      <c r="CC360" s="28"/>
      <c r="CD360" s="28"/>
      <c r="CE360" s="28"/>
      <c r="CF360" s="28"/>
      <c r="CG360" s="28"/>
      <c r="CH360" s="28"/>
      <c r="CI360" s="28"/>
      <c r="CJ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9"/>
      <c r="BW361" s="28"/>
      <c r="BX361" s="28"/>
      <c r="BY361" s="28"/>
      <c r="BZ361" s="28"/>
      <c r="CA361" s="28"/>
      <c r="CB361" s="28"/>
      <c r="CC361" s="28"/>
      <c r="CD361" s="28"/>
      <c r="CE361" s="28"/>
      <c r="CF361" s="28"/>
      <c r="CG361" s="28"/>
      <c r="CH361" s="28"/>
      <c r="CI361" s="28"/>
      <c r="CJ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9"/>
      <c r="BW362" s="28"/>
      <c r="BX362" s="28"/>
      <c r="BY362" s="28"/>
      <c r="BZ362" s="28"/>
      <c r="CA362" s="28"/>
      <c r="CB362" s="28"/>
      <c r="CC362" s="28"/>
      <c r="CD362" s="28"/>
      <c r="CE362" s="28"/>
      <c r="CF362" s="28"/>
      <c r="CG362" s="28"/>
      <c r="CH362" s="28"/>
      <c r="CI362" s="28"/>
      <c r="CJ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9"/>
      <c r="BW363" s="28"/>
      <c r="BX363" s="28"/>
      <c r="BY363" s="28"/>
      <c r="BZ363" s="28"/>
      <c r="CA363" s="28"/>
      <c r="CB363" s="28"/>
      <c r="CC363" s="28"/>
      <c r="CD363" s="28"/>
      <c r="CE363" s="28"/>
      <c r="CF363" s="28"/>
      <c r="CG363" s="28"/>
      <c r="CH363" s="28"/>
      <c r="CI363" s="28"/>
      <c r="CJ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9"/>
      <c r="BW364" s="28"/>
      <c r="BX364" s="28"/>
      <c r="BY364" s="28"/>
      <c r="BZ364" s="28"/>
      <c r="CA364" s="28"/>
      <c r="CB364" s="28"/>
      <c r="CC364" s="28"/>
      <c r="CD364" s="28"/>
      <c r="CE364" s="28"/>
      <c r="CF364" s="28"/>
      <c r="CG364" s="28"/>
      <c r="CH364" s="28"/>
      <c r="CI364" s="28"/>
      <c r="CJ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9"/>
      <c r="BW365" s="28"/>
      <c r="BX365" s="28"/>
      <c r="BY365" s="28"/>
      <c r="BZ365" s="28"/>
      <c r="CA365" s="28"/>
      <c r="CB365" s="28"/>
      <c r="CC365" s="28"/>
      <c r="CD365" s="28"/>
      <c r="CE365" s="28"/>
      <c r="CF365" s="28"/>
      <c r="CG365" s="28"/>
      <c r="CH365" s="28"/>
      <c r="CI365" s="28"/>
      <c r="CJ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9"/>
      <c r="BW366" s="28"/>
      <c r="BX366" s="28"/>
      <c r="BY366" s="28"/>
      <c r="BZ366" s="28"/>
      <c r="CA366" s="28"/>
      <c r="CB366" s="28"/>
      <c r="CC366" s="28"/>
      <c r="CD366" s="28"/>
      <c r="CE366" s="28"/>
      <c r="CF366" s="28"/>
      <c r="CG366" s="28"/>
      <c r="CH366" s="28"/>
      <c r="CI366" s="28"/>
      <c r="CJ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9"/>
      <c r="BW367" s="28"/>
      <c r="BX367" s="28"/>
      <c r="BY367" s="28"/>
      <c r="BZ367" s="28"/>
      <c r="CA367" s="28"/>
      <c r="CB367" s="28"/>
      <c r="CC367" s="28"/>
      <c r="CD367" s="28"/>
      <c r="CE367" s="28"/>
      <c r="CF367" s="28"/>
      <c r="CG367" s="28"/>
      <c r="CH367" s="28"/>
      <c r="CI367" s="28"/>
      <c r="CJ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9"/>
      <c r="BW368" s="28"/>
      <c r="BX368" s="28"/>
      <c r="BY368" s="28"/>
      <c r="BZ368" s="28"/>
      <c r="CA368" s="28"/>
      <c r="CB368" s="28"/>
      <c r="CC368" s="28"/>
      <c r="CD368" s="28"/>
      <c r="CE368" s="28"/>
      <c r="CF368" s="28"/>
      <c r="CG368" s="28"/>
      <c r="CH368" s="28"/>
      <c r="CI368" s="28"/>
      <c r="CJ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9"/>
      <c r="BW369" s="28"/>
      <c r="BX369" s="28"/>
      <c r="BY369" s="28"/>
      <c r="BZ369" s="28"/>
      <c r="CA369" s="28"/>
      <c r="CB369" s="28"/>
      <c r="CC369" s="28"/>
      <c r="CD369" s="28"/>
      <c r="CE369" s="28"/>
      <c r="CF369" s="28"/>
      <c r="CG369" s="28"/>
      <c r="CH369" s="28"/>
      <c r="CI369" s="28"/>
      <c r="CJ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9"/>
      <c r="BW370" s="28"/>
      <c r="BX370" s="28"/>
      <c r="BY370" s="28"/>
      <c r="BZ370" s="28"/>
      <c r="CA370" s="28"/>
      <c r="CB370" s="28"/>
      <c r="CC370" s="28"/>
      <c r="CD370" s="28"/>
      <c r="CE370" s="28"/>
      <c r="CF370" s="28"/>
      <c r="CG370" s="28"/>
      <c r="CH370" s="28"/>
      <c r="CI370" s="28"/>
      <c r="CJ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9"/>
      <c r="BW371" s="28"/>
      <c r="BX371" s="28"/>
      <c r="BY371" s="28"/>
      <c r="BZ371" s="28"/>
      <c r="CA371" s="28"/>
      <c r="CB371" s="28"/>
      <c r="CC371" s="28"/>
      <c r="CD371" s="28"/>
      <c r="CE371" s="28"/>
      <c r="CF371" s="28"/>
      <c r="CG371" s="28"/>
      <c r="CH371" s="28"/>
      <c r="CI371" s="28"/>
      <c r="CJ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9"/>
      <c r="BW372" s="28"/>
      <c r="BX372" s="28"/>
      <c r="BY372" s="28"/>
      <c r="BZ372" s="28"/>
      <c r="CA372" s="28"/>
      <c r="CB372" s="28"/>
      <c r="CC372" s="28"/>
      <c r="CD372" s="28"/>
      <c r="CE372" s="28"/>
      <c r="CF372" s="28"/>
      <c r="CG372" s="28"/>
      <c r="CH372" s="28"/>
      <c r="CI372" s="28"/>
      <c r="CJ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9"/>
      <c r="BW373" s="28"/>
      <c r="BX373" s="28"/>
      <c r="BY373" s="28"/>
      <c r="BZ373" s="28"/>
      <c r="CA373" s="28"/>
      <c r="CB373" s="28"/>
      <c r="CC373" s="28"/>
      <c r="CD373" s="28"/>
      <c r="CE373" s="28"/>
      <c r="CF373" s="28"/>
      <c r="CG373" s="28"/>
      <c r="CH373" s="28"/>
      <c r="CI373" s="28"/>
      <c r="CJ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9"/>
      <c r="BW374" s="28"/>
      <c r="BX374" s="28"/>
      <c r="BY374" s="28"/>
      <c r="BZ374" s="28"/>
      <c r="CA374" s="28"/>
      <c r="CB374" s="28"/>
      <c r="CC374" s="28"/>
      <c r="CD374" s="28"/>
      <c r="CE374" s="28"/>
      <c r="CF374" s="28"/>
      <c r="CG374" s="28"/>
      <c r="CH374" s="28"/>
      <c r="CI374" s="28"/>
      <c r="CJ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9"/>
      <c r="BW375" s="28"/>
      <c r="BX375" s="28"/>
      <c r="BY375" s="28"/>
      <c r="BZ375" s="28"/>
      <c r="CA375" s="28"/>
      <c r="CB375" s="28"/>
      <c r="CC375" s="28"/>
      <c r="CD375" s="28"/>
      <c r="CE375" s="28"/>
      <c r="CF375" s="28"/>
      <c r="CG375" s="28"/>
      <c r="CH375" s="28"/>
      <c r="CI375" s="28"/>
      <c r="CJ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9"/>
      <c r="BW376" s="28"/>
      <c r="BX376" s="28"/>
      <c r="BY376" s="28"/>
      <c r="BZ376" s="28"/>
      <c r="CA376" s="28"/>
      <c r="CB376" s="28"/>
      <c r="CC376" s="28"/>
      <c r="CD376" s="28"/>
      <c r="CE376" s="28"/>
      <c r="CF376" s="28"/>
      <c r="CG376" s="28"/>
      <c r="CH376" s="28"/>
      <c r="CI376" s="28"/>
      <c r="CJ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c r="BM377" s="28"/>
      <c r="BN377" s="28"/>
      <c r="BO377" s="28"/>
      <c r="BP377" s="28"/>
      <c r="BQ377" s="28"/>
      <c r="BR377" s="28"/>
      <c r="BS377" s="28"/>
      <c r="BT377" s="28"/>
      <c r="BU377" s="28"/>
      <c r="BV377" s="29"/>
      <c r="BW377" s="28"/>
      <c r="BX377" s="28"/>
      <c r="BY377" s="28"/>
      <c r="BZ377" s="28"/>
      <c r="CA377" s="28"/>
      <c r="CB377" s="28"/>
      <c r="CC377" s="28"/>
      <c r="CD377" s="28"/>
      <c r="CE377" s="28"/>
      <c r="CF377" s="28"/>
      <c r="CG377" s="28"/>
      <c r="CH377" s="28"/>
      <c r="CI377" s="28"/>
      <c r="CJ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9"/>
      <c r="BW378" s="28"/>
      <c r="BX378" s="28"/>
      <c r="BY378" s="28"/>
      <c r="BZ378" s="28"/>
      <c r="CA378" s="28"/>
      <c r="CB378" s="28"/>
      <c r="CC378" s="28"/>
      <c r="CD378" s="28"/>
      <c r="CE378" s="28"/>
      <c r="CF378" s="28"/>
      <c r="CG378" s="28"/>
      <c r="CH378" s="28"/>
      <c r="CI378" s="28"/>
      <c r="CJ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c r="BG379" s="28"/>
      <c r="BH379" s="28"/>
      <c r="BI379" s="28"/>
      <c r="BJ379" s="28"/>
      <c r="BK379" s="28"/>
      <c r="BL379" s="28"/>
      <c r="BM379" s="28"/>
      <c r="BN379" s="28"/>
      <c r="BO379" s="28"/>
      <c r="BP379" s="28"/>
      <c r="BQ379" s="28"/>
      <c r="BR379" s="28"/>
      <c r="BS379" s="28"/>
      <c r="BT379" s="28"/>
      <c r="BU379" s="28"/>
      <c r="BV379" s="29"/>
      <c r="BW379" s="28"/>
      <c r="BX379" s="28"/>
      <c r="BY379" s="28"/>
      <c r="BZ379" s="28"/>
      <c r="CA379" s="28"/>
      <c r="CB379" s="28"/>
      <c r="CC379" s="28"/>
      <c r="CD379" s="28"/>
      <c r="CE379" s="28"/>
      <c r="CF379" s="28"/>
      <c r="CG379" s="28"/>
      <c r="CH379" s="28"/>
      <c r="CI379" s="28"/>
      <c r="CJ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9"/>
      <c r="BW380" s="28"/>
      <c r="BX380" s="28"/>
      <c r="BY380" s="28"/>
      <c r="BZ380" s="28"/>
      <c r="CA380" s="28"/>
      <c r="CB380" s="28"/>
      <c r="CC380" s="28"/>
      <c r="CD380" s="28"/>
      <c r="CE380" s="28"/>
      <c r="CF380" s="28"/>
      <c r="CG380" s="28"/>
      <c r="CH380" s="28"/>
      <c r="CI380" s="28"/>
      <c r="CJ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c r="BG381" s="28"/>
      <c r="BH381" s="28"/>
      <c r="BI381" s="28"/>
      <c r="BJ381" s="28"/>
      <c r="BK381" s="28"/>
      <c r="BL381" s="28"/>
      <c r="BM381" s="28"/>
      <c r="BN381" s="28"/>
      <c r="BO381" s="28"/>
      <c r="BP381" s="28"/>
      <c r="BQ381" s="28"/>
      <c r="BR381" s="28"/>
      <c r="BS381" s="28"/>
      <c r="BT381" s="28"/>
      <c r="BU381" s="28"/>
      <c r="BV381" s="29"/>
      <c r="BW381" s="28"/>
      <c r="BX381" s="28"/>
      <c r="BY381" s="28"/>
      <c r="BZ381" s="28"/>
      <c r="CA381" s="28"/>
      <c r="CB381" s="28"/>
      <c r="CC381" s="28"/>
      <c r="CD381" s="28"/>
      <c r="CE381" s="28"/>
      <c r="CF381" s="28"/>
      <c r="CG381" s="28"/>
      <c r="CH381" s="28"/>
      <c r="CI381" s="28"/>
      <c r="CJ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9"/>
      <c r="BW382" s="28"/>
      <c r="BX382" s="28"/>
      <c r="BY382" s="28"/>
      <c r="BZ382" s="28"/>
      <c r="CA382" s="28"/>
      <c r="CB382" s="28"/>
      <c r="CC382" s="28"/>
      <c r="CD382" s="28"/>
      <c r="CE382" s="28"/>
      <c r="CF382" s="28"/>
      <c r="CG382" s="28"/>
      <c r="CH382" s="28"/>
      <c r="CI382" s="28"/>
      <c r="CJ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c r="BG383" s="28"/>
      <c r="BH383" s="28"/>
      <c r="BI383" s="28"/>
      <c r="BJ383" s="28"/>
      <c r="BK383" s="28"/>
      <c r="BL383" s="28"/>
      <c r="BM383" s="28"/>
      <c r="BN383" s="28"/>
      <c r="BO383" s="28"/>
      <c r="BP383" s="28"/>
      <c r="BQ383" s="28"/>
      <c r="BR383" s="28"/>
      <c r="BS383" s="28"/>
      <c r="BT383" s="28"/>
      <c r="BU383" s="28"/>
      <c r="BV383" s="29"/>
      <c r="BW383" s="28"/>
      <c r="BX383" s="28"/>
      <c r="BY383" s="28"/>
      <c r="BZ383" s="28"/>
      <c r="CA383" s="28"/>
      <c r="CB383" s="28"/>
      <c r="CC383" s="28"/>
      <c r="CD383" s="28"/>
      <c r="CE383" s="28"/>
      <c r="CF383" s="28"/>
      <c r="CG383" s="28"/>
      <c r="CH383" s="28"/>
      <c r="CI383" s="28"/>
      <c r="CJ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9"/>
      <c r="BW384" s="28"/>
      <c r="BX384" s="28"/>
      <c r="BY384" s="28"/>
      <c r="BZ384" s="28"/>
      <c r="CA384" s="28"/>
      <c r="CB384" s="28"/>
      <c r="CC384" s="28"/>
      <c r="CD384" s="28"/>
      <c r="CE384" s="28"/>
      <c r="CF384" s="28"/>
      <c r="CG384" s="28"/>
      <c r="CH384" s="28"/>
      <c r="CI384" s="28"/>
      <c r="CJ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28"/>
      <c r="BP385" s="28"/>
      <c r="BQ385" s="28"/>
      <c r="BR385" s="28"/>
      <c r="BS385" s="28"/>
      <c r="BT385" s="28"/>
      <c r="BU385" s="28"/>
      <c r="BV385" s="29"/>
      <c r="BW385" s="28"/>
      <c r="BX385" s="28"/>
      <c r="BY385" s="28"/>
      <c r="BZ385" s="28"/>
      <c r="CA385" s="28"/>
      <c r="CB385" s="28"/>
      <c r="CC385" s="28"/>
      <c r="CD385" s="28"/>
      <c r="CE385" s="28"/>
      <c r="CF385" s="28"/>
      <c r="CG385" s="28"/>
      <c r="CH385" s="28"/>
      <c r="CI385" s="28"/>
      <c r="CJ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9"/>
      <c r="BW386" s="28"/>
      <c r="BX386" s="28"/>
      <c r="BY386" s="28"/>
      <c r="BZ386" s="28"/>
      <c r="CA386" s="28"/>
      <c r="CB386" s="28"/>
      <c r="CC386" s="28"/>
      <c r="CD386" s="28"/>
      <c r="CE386" s="28"/>
      <c r="CF386" s="28"/>
      <c r="CG386" s="28"/>
      <c r="CH386" s="28"/>
      <c r="CI386" s="28"/>
      <c r="CJ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c r="BG387" s="28"/>
      <c r="BH387" s="28"/>
      <c r="BI387" s="28"/>
      <c r="BJ387" s="28"/>
      <c r="BK387" s="28"/>
      <c r="BL387" s="28"/>
      <c r="BM387" s="28"/>
      <c r="BN387" s="28"/>
      <c r="BO387" s="28"/>
      <c r="BP387" s="28"/>
      <c r="BQ387" s="28"/>
      <c r="BR387" s="28"/>
      <c r="BS387" s="28"/>
      <c r="BT387" s="28"/>
      <c r="BU387" s="28"/>
      <c r="BV387" s="29"/>
      <c r="BW387" s="28"/>
      <c r="BX387" s="28"/>
      <c r="BY387" s="28"/>
      <c r="BZ387" s="28"/>
      <c r="CA387" s="28"/>
      <c r="CB387" s="28"/>
      <c r="CC387" s="28"/>
      <c r="CD387" s="28"/>
      <c r="CE387" s="28"/>
      <c r="CF387" s="28"/>
      <c r="CG387" s="28"/>
      <c r="CH387" s="28"/>
      <c r="CI387" s="28"/>
      <c r="CJ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9"/>
      <c r="BW388" s="28"/>
      <c r="BX388" s="28"/>
      <c r="BY388" s="28"/>
      <c r="BZ388" s="28"/>
      <c r="CA388" s="28"/>
      <c r="CB388" s="28"/>
      <c r="CC388" s="28"/>
      <c r="CD388" s="28"/>
      <c r="CE388" s="28"/>
      <c r="CF388" s="28"/>
      <c r="CG388" s="28"/>
      <c r="CH388" s="28"/>
      <c r="CI388" s="28"/>
      <c r="CJ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28"/>
      <c r="BV389" s="29"/>
      <c r="BW389" s="28"/>
      <c r="BX389" s="28"/>
      <c r="BY389" s="28"/>
      <c r="BZ389" s="28"/>
      <c r="CA389" s="28"/>
      <c r="CB389" s="28"/>
      <c r="CC389" s="28"/>
      <c r="CD389" s="28"/>
      <c r="CE389" s="28"/>
      <c r="CF389" s="28"/>
      <c r="CG389" s="28"/>
      <c r="CH389" s="28"/>
      <c r="CI389" s="28"/>
      <c r="CJ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9"/>
      <c r="BW390" s="28"/>
      <c r="BX390" s="28"/>
      <c r="BY390" s="28"/>
      <c r="BZ390" s="28"/>
      <c r="CA390" s="28"/>
      <c r="CB390" s="28"/>
      <c r="CC390" s="28"/>
      <c r="CD390" s="28"/>
      <c r="CE390" s="28"/>
      <c r="CF390" s="28"/>
      <c r="CG390" s="28"/>
      <c r="CH390" s="28"/>
      <c r="CI390" s="28"/>
      <c r="CJ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c r="BG391" s="28"/>
      <c r="BH391" s="28"/>
      <c r="BI391" s="28"/>
      <c r="BJ391" s="28"/>
      <c r="BK391" s="28"/>
      <c r="BL391" s="28"/>
      <c r="BM391" s="28"/>
      <c r="BN391" s="28"/>
      <c r="BO391" s="28"/>
      <c r="BP391" s="28"/>
      <c r="BQ391" s="28"/>
      <c r="BR391" s="28"/>
      <c r="BS391" s="28"/>
      <c r="BT391" s="28"/>
      <c r="BU391" s="28"/>
      <c r="BV391" s="29"/>
      <c r="BW391" s="28"/>
      <c r="BX391" s="28"/>
      <c r="BY391" s="28"/>
      <c r="BZ391" s="28"/>
      <c r="CA391" s="28"/>
      <c r="CB391" s="28"/>
      <c r="CC391" s="28"/>
      <c r="CD391" s="28"/>
      <c r="CE391" s="28"/>
      <c r="CF391" s="28"/>
      <c r="CG391" s="28"/>
      <c r="CH391" s="28"/>
      <c r="CI391" s="28"/>
      <c r="CJ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9"/>
      <c r="BW392" s="28"/>
      <c r="BX392" s="28"/>
      <c r="BY392" s="28"/>
      <c r="BZ392" s="28"/>
      <c r="CA392" s="28"/>
      <c r="CB392" s="28"/>
      <c r="CC392" s="28"/>
      <c r="CD392" s="28"/>
      <c r="CE392" s="28"/>
      <c r="CF392" s="28"/>
      <c r="CG392" s="28"/>
      <c r="CH392" s="28"/>
      <c r="CI392" s="28"/>
      <c r="CJ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c r="BG393" s="28"/>
      <c r="BH393" s="28"/>
      <c r="BI393" s="28"/>
      <c r="BJ393" s="28"/>
      <c r="BK393" s="28"/>
      <c r="BL393" s="28"/>
      <c r="BM393" s="28"/>
      <c r="BN393" s="28"/>
      <c r="BO393" s="28"/>
      <c r="BP393" s="28"/>
      <c r="BQ393" s="28"/>
      <c r="BR393" s="28"/>
      <c r="BS393" s="28"/>
      <c r="BT393" s="28"/>
      <c r="BU393" s="28"/>
      <c r="BV393" s="29"/>
      <c r="BW393" s="28"/>
      <c r="BX393" s="28"/>
      <c r="BY393" s="28"/>
      <c r="BZ393" s="28"/>
      <c r="CA393" s="28"/>
      <c r="CB393" s="28"/>
      <c r="CC393" s="28"/>
      <c r="CD393" s="28"/>
      <c r="CE393" s="28"/>
      <c r="CF393" s="28"/>
      <c r="CG393" s="28"/>
      <c r="CH393" s="28"/>
      <c r="CI393" s="28"/>
      <c r="CJ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9"/>
      <c r="BW394" s="28"/>
      <c r="BX394" s="28"/>
      <c r="BY394" s="28"/>
      <c r="BZ394" s="28"/>
      <c r="CA394" s="28"/>
      <c r="CB394" s="28"/>
      <c r="CC394" s="28"/>
      <c r="CD394" s="28"/>
      <c r="CE394" s="28"/>
      <c r="CF394" s="28"/>
      <c r="CG394" s="28"/>
      <c r="CH394" s="28"/>
      <c r="CI394" s="28"/>
      <c r="CJ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9"/>
      <c r="BW395" s="28"/>
      <c r="BX395" s="28"/>
      <c r="BY395" s="28"/>
      <c r="BZ395" s="28"/>
      <c r="CA395" s="28"/>
      <c r="CB395" s="28"/>
      <c r="CC395" s="28"/>
      <c r="CD395" s="28"/>
      <c r="CE395" s="28"/>
      <c r="CF395" s="28"/>
      <c r="CG395" s="28"/>
      <c r="CH395" s="28"/>
      <c r="CI395" s="28"/>
      <c r="CJ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9"/>
      <c r="BW396" s="28"/>
      <c r="BX396" s="28"/>
      <c r="BY396" s="28"/>
      <c r="BZ396" s="28"/>
      <c r="CA396" s="28"/>
      <c r="CB396" s="28"/>
      <c r="CC396" s="28"/>
      <c r="CD396" s="28"/>
      <c r="CE396" s="28"/>
      <c r="CF396" s="28"/>
      <c r="CG396" s="28"/>
      <c r="CH396" s="28"/>
      <c r="CI396" s="28"/>
      <c r="CJ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c r="BG397" s="28"/>
      <c r="BH397" s="28"/>
      <c r="BI397" s="28"/>
      <c r="BJ397" s="28"/>
      <c r="BK397" s="28"/>
      <c r="BL397" s="28"/>
      <c r="BM397" s="28"/>
      <c r="BN397" s="28"/>
      <c r="BO397" s="28"/>
      <c r="BP397" s="28"/>
      <c r="BQ397" s="28"/>
      <c r="BR397" s="28"/>
      <c r="BS397" s="28"/>
      <c r="BT397" s="28"/>
      <c r="BU397" s="28"/>
      <c r="BV397" s="29"/>
      <c r="BW397" s="28"/>
      <c r="BX397" s="28"/>
      <c r="BY397" s="28"/>
      <c r="BZ397" s="28"/>
      <c r="CA397" s="28"/>
      <c r="CB397" s="28"/>
      <c r="CC397" s="28"/>
      <c r="CD397" s="28"/>
      <c r="CE397" s="28"/>
      <c r="CF397" s="28"/>
      <c r="CG397" s="28"/>
      <c r="CH397" s="28"/>
      <c r="CI397" s="28"/>
      <c r="CJ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9"/>
      <c r="BW398" s="28"/>
      <c r="BX398" s="28"/>
      <c r="BY398" s="28"/>
      <c r="BZ398" s="28"/>
      <c r="CA398" s="28"/>
      <c r="CB398" s="28"/>
      <c r="CC398" s="28"/>
      <c r="CD398" s="28"/>
      <c r="CE398" s="28"/>
      <c r="CF398" s="28"/>
      <c r="CG398" s="28"/>
      <c r="CH398" s="28"/>
      <c r="CI398" s="28"/>
      <c r="CJ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c r="BG399" s="28"/>
      <c r="BH399" s="28"/>
      <c r="BI399" s="28"/>
      <c r="BJ399" s="28"/>
      <c r="BK399" s="28"/>
      <c r="BL399" s="28"/>
      <c r="BM399" s="28"/>
      <c r="BN399" s="28"/>
      <c r="BO399" s="28"/>
      <c r="BP399" s="28"/>
      <c r="BQ399" s="28"/>
      <c r="BR399" s="28"/>
      <c r="BS399" s="28"/>
      <c r="BT399" s="28"/>
      <c r="BU399" s="28"/>
      <c r="BV399" s="29"/>
      <c r="BW399" s="28"/>
      <c r="BX399" s="28"/>
      <c r="BY399" s="28"/>
      <c r="BZ399" s="28"/>
      <c r="CA399" s="28"/>
      <c r="CB399" s="28"/>
      <c r="CC399" s="28"/>
      <c r="CD399" s="28"/>
      <c r="CE399" s="28"/>
      <c r="CF399" s="28"/>
      <c r="CG399" s="28"/>
      <c r="CH399" s="28"/>
      <c r="CI399" s="28"/>
      <c r="CJ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9"/>
      <c r="BW400" s="28"/>
      <c r="BX400" s="28"/>
      <c r="BY400" s="28"/>
      <c r="BZ400" s="28"/>
      <c r="CA400" s="28"/>
      <c r="CB400" s="28"/>
      <c r="CC400" s="28"/>
      <c r="CD400" s="28"/>
      <c r="CE400" s="28"/>
      <c r="CF400" s="28"/>
      <c r="CG400" s="28"/>
      <c r="CH400" s="28"/>
      <c r="CI400" s="28"/>
      <c r="CJ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c r="BG401" s="28"/>
      <c r="BH401" s="28"/>
      <c r="BI401" s="28"/>
      <c r="BJ401" s="28"/>
      <c r="BK401" s="28"/>
      <c r="BL401" s="28"/>
      <c r="BM401" s="28"/>
      <c r="BN401" s="28"/>
      <c r="BO401" s="28"/>
      <c r="BP401" s="28"/>
      <c r="BQ401" s="28"/>
      <c r="BR401" s="28"/>
      <c r="BS401" s="28"/>
      <c r="BT401" s="28"/>
      <c r="BU401" s="28"/>
      <c r="BV401" s="29"/>
      <c r="BW401" s="28"/>
      <c r="BX401" s="28"/>
      <c r="BY401" s="28"/>
      <c r="BZ401" s="28"/>
      <c r="CA401" s="28"/>
      <c r="CB401" s="28"/>
      <c r="CC401" s="28"/>
      <c r="CD401" s="28"/>
      <c r="CE401" s="28"/>
      <c r="CF401" s="28"/>
      <c r="CG401" s="28"/>
      <c r="CH401" s="28"/>
      <c r="CI401" s="28"/>
      <c r="CJ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9"/>
      <c r="BW402" s="28"/>
      <c r="BX402" s="28"/>
      <c r="BY402" s="28"/>
      <c r="BZ402" s="28"/>
      <c r="CA402" s="28"/>
      <c r="CB402" s="28"/>
      <c r="CC402" s="28"/>
      <c r="CD402" s="28"/>
      <c r="CE402" s="28"/>
      <c r="CF402" s="28"/>
      <c r="CG402" s="28"/>
      <c r="CH402" s="28"/>
      <c r="CI402" s="28"/>
      <c r="CJ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c r="BG403" s="28"/>
      <c r="BH403" s="28"/>
      <c r="BI403" s="28"/>
      <c r="BJ403" s="28"/>
      <c r="BK403" s="28"/>
      <c r="BL403" s="28"/>
      <c r="BM403" s="28"/>
      <c r="BN403" s="28"/>
      <c r="BO403" s="28"/>
      <c r="BP403" s="28"/>
      <c r="BQ403" s="28"/>
      <c r="BR403" s="28"/>
      <c r="BS403" s="28"/>
      <c r="BT403" s="28"/>
      <c r="BU403" s="28"/>
      <c r="BV403" s="29"/>
      <c r="BW403" s="28"/>
      <c r="BX403" s="28"/>
      <c r="BY403" s="28"/>
      <c r="BZ403" s="28"/>
      <c r="CA403" s="28"/>
      <c r="CB403" s="28"/>
      <c r="CC403" s="28"/>
      <c r="CD403" s="28"/>
      <c r="CE403" s="28"/>
      <c r="CF403" s="28"/>
      <c r="CG403" s="28"/>
      <c r="CH403" s="28"/>
      <c r="CI403" s="28"/>
      <c r="CJ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9"/>
      <c r="BW404" s="28"/>
      <c r="BX404" s="28"/>
      <c r="BY404" s="28"/>
      <c r="BZ404" s="28"/>
      <c r="CA404" s="28"/>
      <c r="CB404" s="28"/>
      <c r="CC404" s="28"/>
      <c r="CD404" s="28"/>
      <c r="CE404" s="28"/>
      <c r="CF404" s="28"/>
      <c r="CG404" s="28"/>
      <c r="CH404" s="28"/>
      <c r="CI404" s="28"/>
      <c r="CJ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c r="BG405" s="28"/>
      <c r="BH405" s="28"/>
      <c r="BI405" s="28"/>
      <c r="BJ405" s="28"/>
      <c r="BK405" s="28"/>
      <c r="BL405" s="28"/>
      <c r="BM405" s="28"/>
      <c r="BN405" s="28"/>
      <c r="BO405" s="28"/>
      <c r="BP405" s="28"/>
      <c r="BQ405" s="28"/>
      <c r="BR405" s="28"/>
      <c r="BS405" s="28"/>
      <c r="BT405" s="28"/>
      <c r="BU405" s="28"/>
      <c r="BV405" s="29"/>
      <c r="BW405" s="28"/>
      <c r="BX405" s="28"/>
      <c r="BY405" s="28"/>
      <c r="BZ405" s="28"/>
      <c r="CA405" s="28"/>
      <c r="CB405" s="28"/>
      <c r="CC405" s="28"/>
      <c r="CD405" s="28"/>
      <c r="CE405" s="28"/>
      <c r="CF405" s="28"/>
      <c r="CG405" s="28"/>
      <c r="CH405" s="28"/>
      <c r="CI405" s="28"/>
      <c r="CJ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9"/>
      <c r="BW406" s="28"/>
      <c r="BX406" s="28"/>
      <c r="BY406" s="28"/>
      <c r="BZ406" s="28"/>
      <c r="CA406" s="28"/>
      <c r="CB406" s="28"/>
      <c r="CC406" s="28"/>
      <c r="CD406" s="28"/>
      <c r="CE406" s="28"/>
      <c r="CF406" s="28"/>
      <c r="CG406" s="28"/>
      <c r="CH406" s="28"/>
      <c r="CI406" s="28"/>
      <c r="CJ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c r="BG407" s="28"/>
      <c r="BH407" s="28"/>
      <c r="BI407" s="28"/>
      <c r="BJ407" s="28"/>
      <c r="BK407" s="28"/>
      <c r="BL407" s="28"/>
      <c r="BM407" s="28"/>
      <c r="BN407" s="28"/>
      <c r="BO407" s="28"/>
      <c r="BP407" s="28"/>
      <c r="BQ407" s="28"/>
      <c r="BR407" s="28"/>
      <c r="BS407" s="28"/>
      <c r="BT407" s="28"/>
      <c r="BU407" s="28"/>
      <c r="BV407" s="29"/>
      <c r="BW407" s="28"/>
      <c r="BX407" s="28"/>
      <c r="BY407" s="28"/>
      <c r="BZ407" s="28"/>
      <c r="CA407" s="28"/>
      <c r="CB407" s="28"/>
      <c r="CC407" s="28"/>
      <c r="CD407" s="28"/>
      <c r="CE407" s="28"/>
      <c r="CF407" s="28"/>
      <c r="CG407" s="28"/>
      <c r="CH407" s="28"/>
      <c r="CI407" s="28"/>
      <c r="CJ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9"/>
      <c r="BW408" s="28"/>
      <c r="BX408" s="28"/>
      <c r="BY408" s="28"/>
      <c r="BZ408" s="28"/>
      <c r="CA408" s="28"/>
      <c r="CB408" s="28"/>
      <c r="CC408" s="28"/>
      <c r="CD408" s="28"/>
      <c r="CE408" s="28"/>
      <c r="CF408" s="28"/>
      <c r="CG408" s="28"/>
      <c r="CH408" s="28"/>
      <c r="CI408" s="28"/>
      <c r="CJ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c r="BG409" s="28"/>
      <c r="BH409" s="28"/>
      <c r="BI409" s="28"/>
      <c r="BJ409" s="28"/>
      <c r="BK409" s="28"/>
      <c r="BL409" s="28"/>
      <c r="BM409" s="28"/>
      <c r="BN409" s="28"/>
      <c r="BO409" s="28"/>
      <c r="BP409" s="28"/>
      <c r="BQ409" s="28"/>
      <c r="BR409" s="28"/>
      <c r="BS409" s="28"/>
      <c r="BT409" s="28"/>
      <c r="BU409" s="28"/>
      <c r="BV409" s="29"/>
      <c r="BW409" s="28"/>
      <c r="BX409" s="28"/>
      <c r="BY409" s="28"/>
      <c r="BZ409" s="28"/>
      <c r="CA409" s="28"/>
      <c r="CB409" s="28"/>
      <c r="CC409" s="28"/>
      <c r="CD409" s="28"/>
      <c r="CE409" s="28"/>
      <c r="CF409" s="28"/>
      <c r="CG409" s="28"/>
      <c r="CH409" s="28"/>
      <c r="CI409" s="28"/>
      <c r="CJ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9"/>
      <c r="BW410" s="28"/>
      <c r="BX410" s="28"/>
      <c r="BY410" s="28"/>
      <c r="BZ410" s="28"/>
      <c r="CA410" s="28"/>
      <c r="CB410" s="28"/>
      <c r="CC410" s="28"/>
      <c r="CD410" s="28"/>
      <c r="CE410" s="28"/>
      <c r="CF410" s="28"/>
      <c r="CG410" s="28"/>
      <c r="CH410" s="28"/>
      <c r="CI410" s="28"/>
      <c r="CJ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c r="BG411" s="28"/>
      <c r="BH411" s="28"/>
      <c r="BI411" s="28"/>
      <c r="BJ411" s="28"/>
      <c r="BK411" s="28"/>
      <c r="BL411" s="28"/>
      <c r="BM411" s="28"/>
      <c r="BN411" s="28"/>
      <c r="BO411" s="28"/>
      <c r="BP411" s="28"/>
      <c r="BQ411" s="28"/>
      <c r="BR411" s="28"/>
      <c r="BS411" s="28"/>
      <c r="BT411" s="28"/>
      <c r="BU411" s="28"/>
      <c r="BV411" s="29"/>
      <c r="BW411" s="28"/>
      <c r="BX411" s="28"/>
      <c r="BY411" s="28"/>
      <c r="BZ411" s="28"/>
      <c r="CA411" s="28"/>
      <c r="CB411" s="28"/>
      <c r="CC411" s="28"/>
      <c r="CD411" s="28"/>
      <c r="CE411" s="28"/>
      <c r="CF411" s="28"/>
      <c r="CG411" s="28"/>
      <c r="CH411" s="28"/>
      <c r="CI411" s="28"/>
      <c r="CJ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9"/>
      <c r="BW412" s="28"/>
      <c r="BX412" s="28"/>
      <c r="BY412" s="28"/>
      <c r="BZ412" s="28"/>
      <c r="CA412" s="28"/>
      <c r="CB412" s="28"/>
      <c r="CC412" s="28"/>
      <c r="CD412" s="28"/>
      <c r="CE412" s="28"/>
      <c r="CF412" s="28"/>
      <c r="CG412" s="28"/>
      <c r="CH412" s="28"/>
      <c r="CI412" s="28"/>
      <c r="CJ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c r="BG413" s="28"/>
      <c r="BH413" s="28"/>
      <c r="BI413" s="28"/>
      <c r="BJ413" s="28"/>
      <c r="BK413" s="28"/>
      <c r="BL413" s="28"/>
      <c r="BM413" s="28"/>
      <c r="BN413" s="28"/>
      <c r="BO413" s="28"/>
      <c r="BP413" s="28"/>
      <c r="BQ413" s="28"/>
      <c r="BR413" s="28"/>
      <c r="BS413" s="28"/>
      <c r="BT413" s="28"/>
      <c r="BU413" s="28"/>
      <c r="BV413" s="29"/>
      <c r="BW413" s="28"/>
      <c r="BX413" s="28"/>
      <c r="BY413" s="28"/>
      <c r="BZ413" s="28"/>
      <c r="CA413" s="28"/>
      <c r="CB413" s="28"/>
      <c r="CC413" s="28"/>
      <c r="CD413" s="28"/>
      <c r="CE413" s="28"/>
      <c r="CF413" s="28"/>
      <c r="CG413" s="28"/>
      <c r="CH413" s="28"/>
      <c r="CI413" s="28"/>
      <c r="CJ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9"/>
      <c r="BW414" s="28"/>
      <c r="BX414" s="28"/>
      <c r="BY414" s="28"/>
      <c r="BZ414" s="28"/>
      <c r="CA414" s="28"/>
      <c r="CB414" s="28"/>
      <c r="CC414" s="28"/>
      <c r="CD414" s="28"/>
      <c r="CE414" s="28"/>
      <c r="CF414" s="28"/>
      <c r="CG414" s="28"/>
      <c r="CH414" s="28"/>
      <c r="CI414" s="28"/>
      <c r="CJ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28"/>
      <c r="BP415" s="28"/>
      <c r="BQ415" s="28"/>
      <c r="BR415" s="28"/>
      <c r="BS415" s="28"/>
      <c r="BT415" s="28"/>
      <c r="BU415" s="28"/>
      <c r="BV415" s="29"/>
      <c r="BW415" s="28"/>
      <c r="BX415" s="28"/>
      <c r="BY415" s="28"/>
      <c r="BZ415" s="28"/>
      <c r="CA415" s="28"/>
      <c r="CB415" s="28"/>
      <c r="CC415" s="28"/>
      <c r="CD415" s="28"/>
      <c r="CE415" s="28"/>
      <c r="CF415" s="28"/>
      <c r="CG415" s="28"/>
      <c r="CH415" s="28"/>
      <c r="CI415" s="28"/>
      <c r="CJ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9"/>
      <c r="BW416" s="28"/>
      <c r="BX416" s="28"/>
      <c r="BY416" s="28"/>
      <c r="BZ416" s="28"/>
      <c r="CA416" s="28"/>
      <c r="CB416" s="28"/>
      <c r="CC416" s="28"/>
      <c r="CD416" s="28"/>
      <c r="CE416" s="28"/>
      <c r="CF416" s="28"/>
      <c r="CG416" s="28"/>
      <c r="CH416" s="28"/>
      <c r="CI416" s="28"/>
      <c r="CJ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c r="BG417" s="28"/>
      <c r="BH417" s="28"/>
      <c r="BI417" s="28"/>
      <c r="BJ417" s="28"/>
      <c r="BK417" s="28"/>
      <c r="BL417" s="28"/>
      <c r="BM417" s="28"/>
      <c r="BN417" s="28"/>
      <c r="BO417" s="28"/>
      <c r="BP417" s="28"/>
      <c r="BQ417" s="28"/>
      <c r="BR417" s="28"/>
      <c r="BS417" s="28"/>
      <c r="BT417" s="28"/>
      <c r="BU417" s="28"/>
      <c r="BV417" s="29"/>
      <c r="BW417" s="28"/>
      <c r="BX417" s="28"/>
      <c r="BY417" s="28"/>
      <c r="BZ417" s="28"/>
      <c r="CA417" s="28"/>
      <c r="CB417" s="28"/>
      <c r="CC417" s="28"/>
      <c r="CD417" s="28"/>
      <c r="CE417" s="28"/>
      <c r="CF417" s="28"/>
      <c r="CG417" s="28"/>
      <c r="CH417" s="28"/>
      <c r="CI417" s="28"/>
      <c r="CJ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9"/>
      <c r="BW418" s="28"/>
      <c r="BX418" s="28"/>
      <c r="BY418" s="28"/>
      <c r="BZ418" s="28"/>
      <c r="CA418" s="28"/>
      <c r="CB418" s="28"/>
      <c r="CC418" s="28"/>
      <c r="CD418" s="28"/>
      <c r="CE418" s="28"/>
      <c r="CF418" s="28"/>
      <c r="CG418" s="28"/>
      <c r="CH418" s="28"/>
      <c r="CI418" s="28"/>
      <c r="CJ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c r="BG419" s="28"/>
      <c r="BH419" s="28"/>
      <c r="BI419" s="28"/>
      <c r="BJ419" s="28"/>
      <c r="BK419" s="28"/>
      <c r="BL419" s="28"/>
      <c r="BM419" s="28"/>
      <c r="BN419" s="28"/>
      <c r="BO419" s="28"/>
      <c r="BP419" s="28"/>
      <c r="BQ419" s="28"/>
      <c r="BR419" s="28"/>
      <c r="BS419" s="28"/>
      <c r="BT419" s="28"/>
      <c r="BU419" s="28"/>
      <c r="BV419" s="29"/>
      <c r="BW419" s="28"/>
      <c r="BX419" s="28"/>
      <c r="BY419" s="28"/>
      <c r="BZ419" s="28"/>
      <c r="CA419" s="28"/>
      <c r="CB419" s="28"/>
      <c r="CC419" s="28"/>
      <c r="CD419" s="28"/>
      <c r="CE419" s="28"/>
      <c r="CF419" s="28"/>
      <c r="CG419" s="28"/>
      <c r="CH419" s="28"/>
      <c r="CI419" s="28"/>
      <c r="CJ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9"/>
      <c r="BW420" s="28"/>
      <c r="BX420" s="28"/>
      <c r="BY420" s="28"/>
      <c r="BZ420" s="28"/>
      <c r="CA420" s="28"/>
      <c r="CB420" s="28"/>
      <c r="CC420" s="28"/>
      <c r="CD420" s="28"/>
      <c r="CE420" s="28"/>
      <c r="CF420" s="28"/>
      <c r="CG420" s="28"/>
      <c r="CH420" s="28"/>
      <c r="CI420" s="28"/>
      <c r="CJ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28"/>
      <c r="BP421" s="28"/>
      <c r="BQ421" s="28"/>
      <c r="BR421" s="28"/>
      <c r="BS421" s="28"/>
      <c r="BT421" s="28"/>
      <c r="BU421" s="28"/>
      <c r="BV421" s="29"/>
      <c r="BW421" s="28"/>
      <c r="BX421" s="28"/>
      <c r="BY421" s="28"/>
      <c r="BZ421" s="28"/>
      <c r="CA421" s="28"/>
      <c r="CB421" s="28"/>
      <c r="CC421" s="28"/>
      <c r="CD421" s="28"/>
      <c r="CE421" s="28"/>
      <c r="CF421" s="28"/>
      <c r="CG421" s="28"/>
      <c r="CH421" s="28"/>
      <c r="CI421" s="28"/>
      <c r="CJ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9"/>
      <c r="BW422" s="28"/>
      <c r="BX422" s="28"/>
      <c r="BY422" s="28"/>
      <c r="BZ422" s="28"/>
      <c r="CA422" s="28"/>
      <c r="CB422" s="28"/>
      <c r="CC422" s="28"/>
      <c r="CD422" s="28"/>
      <c r="CE422" s="28"/>
      <c r="CF422" s="28"/>
      <c r="CG422" s="28"/>
      <c r="CH422" s="28"/>
      <c r="CI422" s="28"/>
      <c r="CJ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c r="BG423" s="28"/>
      <c r="BH423" s="28"/>
      <c r="BI423" s="28"/>
      <c r="BJ423" s="28"/>
      <c r="BK423" s="28"/>
      <c r="BL423" s="28"/>
      <c r="BM423" s="28"/>
      <c r="BN423" s="28"/>
      <c r="BO423" s="28"/>
      <c r="BP423" s="28"/>
      <c r="BQ423" s="28"/>
      <c r="BR423" s="28"/>
      <c r="BS423" s="28"/>
      <c r="BT423" s="28"/>
      <c r="BU423" s="28"/>
      <c r="BV423" s="29"/>
      <c r="BW423" s="28"/>
      <c r="BX423" s="28"/>
      <c r="BY423" s="28"/>
      <c r="BZ423" s="28"/>
      <c r="CA423" s="28"/>
      <c r="CB423" s="28"/>
      <c r="CC423" s="28"/>
      <c r="CD423" s="28"/>
      <c r="CE423" s="28"/>
      <c r="CF423" s="28"/>
      <c r="CG423" s="28"/>
      <c r="CH423" s="28"/>
      <c r="CI423" s="28"/>
      <c r="CJ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9"/>
      <c r="BW424" s="28"/>
      <c r="BX424" s="28"/>
      <c r="BY424" s="28"/>
      <c r="BZ424" s="28"/>
      <c r="CA424" s="28"/>
      <c r="CB424" s="28"/>
      <c r="CC424" s="28"/>
      <c r="CD424" s="28"/>
      <c r="CE424" s="28"/>
      <c r="CF424" s="28"/>
      <c r="CG424" s="28"/>
      <c r="CH424" s="28"/>
      <c r="CI424" s="28"/>
      <c r="CJ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28"/>
      <c r="BP425" s="28"/>
      <c r="BQ425" s="28"/>
      <c r="BR425" s="28"/>
      <c r="BS425" s="28"/>
      <c r="BT425" s="28"/>
      <c r="BU425" s="28"/>
      <c r="BV425" s="29"/>
      <c r="BW425" s="28"/>
      <c r="BX425" s="28"/>
      <c r="BY425" s="28"/>
      <c r="BZ425" s="28"/>
      <c r="CA425" s="28"/>
      <c r="CB425" s="28"/>
      <c r="CC425" s="28"/>
      <c r="CD425" s="28"/>
      <c r="CE425" s="28"/>
      <c r="CF425" s="28"/>
      <c r="CG425" s="28"/>
      <c r="CH425" s="28"/>
      <c r="CI425" s="28"/>
      <c r="CJ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9"/>
      <c r="BW426" s="28"/>
      <c r="BX426" s="28"/>
      <c r="BY426" s="28"/>
      <c r="BZ426" s="28"/>
      <c r="CA426" s="28"/>
      <c r="CB426" s="28"/>
      <c r="CC426" s="28"/>
      <c r="CD426" s="28"/>
      <c r="CE426" s="28"/>
      <c r="CF426" s="28"/>
      <c r="CG426" s="28"/>
      <c r="CH426" s="28"/>
      <c r="CI426" s="28"/>
      <c r="CJ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c r="BG427" s="28"/>
      <c r="BH427" s="28"/>
      <c r="BI427" s="28"/>
      <c r="BJ427" s="28"/>
      <c r="BK427" s="28"/>
      <c r="BL427" s="28"/>
      <c r="BM427" s="28"/>
      <c r="BN427" s="28"/>
      <c r="BO427" s="28"/>
      <c r="BP427" s="28"/>
      <c r="BQ427" s="28"/>
      <c r="BR427" s="28"/>
      <c r="BS427" s="28"/>
      <c r="BT427" s="28"/>
      <c r="BU427" s="28"/>
      <c r="BV427" s="29"/>
      <c r="BW427" s="28"/>
      <c r="BX427" s="28"/>
      <c r="BY427" s="28"/>
      <c r="BZ427" s="28"/>
      <c r="CA427" s="28"/>
      <c r="CB427" s="28"/>
      <c r="CC427" s="28"/>
      <c r="CD427" s="28"/>
      <c r="CE427" s="28"/>
      <c r="CF427" s="28"/>
      <c r="CG427" s="28"/>
      <c r="CH427" s="28"/>
      <c r="CI427" s="28"/>
      <c r="CJ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9"/>
      <c r="BW428" s="28"/>
      <c r="BX428" s="28"/>
      <c r="BY428" s="28"/>
      <c r="BZ428" s="28"/>
      <c r="CA428" s="28"/>
      <c r="CB428" s="28"/>
      <c r="CC428" s="28"/>
      <c r="CD428" s="28"/>
      <c r="CE428" s="28"/>
      <c r="CF428" s="28"/>
      <c r="CG428" s="28"/>
      <c r="CH428" s="28"/>
      <c r="CI428" s="28"/>
      <c r="CJ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28"/>
      <c r="BP429" s="28"/>
      <c r="BQ429" s="28"/>
      <c r="BR429" s="28"/>
      <c r="BS429" s="28"/>
      <c r="BT429" s="28"/>
      <c r="BU429" s="28"/>
      <c r="BV429" s="29"/>
      <c r="BW429" s="28"/>
      <c r="BX429" s="28"/>
      <c r="BY429" s="28"/>
      <c r="BZ429" s="28"/>
      <c r="CA429" s="28"/>
      <c r="CB429" s="28"/>
      <c r="CC429" s="28"/>
      <c r="CD429" s="28"/>
      <c r="CE429" s="28"/>
      <c r="CF429" s="28"/>
      <c r="CG429" s="28"/>
      <c r="CH429" s="28"/>
      <c r="CI429" s="28"/>
      <c r="CJ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9"/>
      <c r="BW430" s="28"/>
      <c r="BX430" s="28"/>
      <c r="BY430" s="28"/>
      <c r="BZ430" s="28"/>
      <c r="CA430" s="28"/>
      <c r="CB430" s="28"/>
      <c r="CC430" s="28"/>
      <c r="CD430" s="28"/>
      <c r="CE430" s="28"/>
      <c r="CF430" s="28"/>
      <c r="CG430" s="28"/>
      <c r="CH430" s="28"/>
      <c r="CI430" s="28"/>
      <c r="CJ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28"/>
      <c r="BP431" s="28"/>
      <c r="BQ431" s="28"/>
      <c r="BR431" s="28"/>
      <c r="BS431" s="28"/>
      <c r="BT431" s="28"/>
      <c r="BU431" s="28"/>
      <c r="BV431" s="29"/>
      <c r="BW431" s="28"/>
      <c r="BX431" s="28"/>
      <c r="BY431" s="28"/>
      <c r="BZ431" s="28"/>
      <c r="CA431" s="28"/>
      <c r="CB431" s="28"/>
      <c r="CC431" s="28"/>
      <c r="CD431" s="28"/>
      <c r="CE431" s="28"/>
      <c r="CF431" s="28"/>
      <c r="CG431" s="28"/>
      <c r="CH431" s="28"/>
      <c r="CI431" s="28"/>
      <c r="CJ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9"/>
      <c r="BW432" s="28"/>
      <c r="BX432" s="28"/>
      <c r="BY432" s="28"/>
      <c r="BZ432" s="28"/>
      <c r="CA432" s="28"/>
      <c r="CB432" s="28"/>
      <c r="CC432" s="28"/>
      <c r="CD432" s="28"/>
      <c r="CE432" s="28"/>
      <c r="CF432" s="28"/>
      <c r="CG432" s="28"/>
      <c r="CH432" s="28"/>
      <c r="CI432" s="28"/>
      <c r="CJ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c r="BG433" s="28"/>
      <c r="BH433" s="28"/>
      <c r="BI433" s="28"/>
      <c r="BJ433" s="28"/>
      <c r="BK433" s="28"/>
      <c r="BL433" s="28"/>
      <c r="BM433" s="28"/>
      <c r="BN433" s="28"/>
      <c r="BO433" s="28"/>
      <c r="BP433" s="28"/>
      <c r="BQ433" s="28"/>
      <c r="BR433" s="28"/>
      <c r="BS433" s="28"/>
      <c r="BT433" s="28"/>
      <c r="BU433" s="28"/>
      <c r="BV433" s="29"/>
      <c r="BW433" s="28"/>
      <c r="BX433" s="28"/>
      <c r="BY433" s="28"/>
      <c r="BZ433" s="28"/>
      <c r="CA433" s="28"/>
      <c r="CB433" s="28"/>
      <c r="CC433" s="28"/>
      <c r="CD433" s="28"/>
      <c r="CE433" s="28"/>
      <c r="CF433" s="28"/>
      <c r="CG433" s="28"/>
      <c r="CH433" s="28"/>
      <c r="CI433" s="28"/>
      <c r="CJ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9"/>
      <c r="BW434" s="28"/>
      <c r="BX434" s="28"/>
      <c r="BY434" s="28"/>
      <c r="BZ434" s="28"/>
      <c r="CA434" s="28"/>
      <c r="CB434" s="28"/>
      <c r="CC434" s="28"/>
      <c r="CD434" s="28"/>
      <c r="CE434" s="28"/>
      <c r="CF434" s="28"/>
      <c r="CG434" s="28"/>
      <c r="CH434" s="28"/>
      <c r="CI434" s="28"/>
      <c r="CJ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28"/>
      <c r="BP435" s="28"/>
      <c r="BQ435" s="28"/>
      <c r="BR435" s="28"/>
      <c r="BS435" s="28"/>
      <c r="BT435" s="28"/>
      <c r="BU435" s="28"/>
      <c r="BV435" s="29"/>
      <c r="BW435" s="28"/>
      <c r="BX435" s="28"/>
      <c r="BY435" s="28"/>
      <c r="BZ435" s="28"/>
      <c r="CA435" s="28"/>
      <c r="CB435" s="28"/>
      <c r="CC435" s="28"/>
      <c r="CD435" s="28"/>
      <c r="CE435" s="28"/>
      <c r="CF435" s="28"/>
      <c r="CG435" s="28"/>
      <c r="CH435" s="28"/>
      <c r="CI435" s="28"/>
      <c r="CJ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9"/>
      <c r="BW436" s="28"/>
      <c r="BX436" s="28"/>
      <c r="BY436" s="28"/>
      <c r="BZ436" s="28"/>
      <c r="CA436" s="28"/>
      <c r="CB436" s="28"/>
      <c r="CC436" s="28"/>
      <c r="CD436" s="28"/>
      <c r="CE436" s="28"/>
      <c r="CF436" s="28"/>
      <c r="CG436" s="28"/>
      <c r="CH436" s="28"/>
      <c r="CI436" s="28"/>
      <c r="CJ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28"/>
      <c r="BV437" s="29"/>
      <c r="BW437" s="28"/>
      <c r="BX437" s="28"/>
      <c r="BY437" s="28"/>
      <c r="BZ437" s="28"/>
      <c r="CA437" s="28"/>
      <c r="CB437" s="28"/>
      <c r="CC437" s="28"/>
      <c r="CD437" s="28"/>
      <c r="CE437" s="28"/>
      <c r="CF437" s="28"/>
      <c r="CG437" s="28"/>
      <c r="CH437" s="28"/>
      <c r="CI437" s="28"/>
      <c r="CJ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9"/>
      <c r="BW438" s="28"/>
      <c r="BX438" s="28"/>
      <c r="BY438" s="28"/>
      <c r="BZ438" s="28"/>
      <c r="CA438" s="28"/>
      <c r="CB438" s="28"/>
      <c r="CC438" s="28"/>
      <c r="CD438" s="28"/>
      <c r="CE438" s="28"/>
      <c r="CF438" s="28"/>
      <c r="CG438" s="28"/>
      <c r="CH438" s="28"/>
      <c r="CI438" s="28"/>
      <c r="CJ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c r="BG439" s="28"/>
      <c r="BH439" s="28"/>
      <c r="BI439" s="28"/>
      <c r="BJ439" s="28"/>
      <c r="BK439" s="28"/>
      <c r="BL439" s="28"/>
      <c r="BM439" s="28"/>
      <c r="BN439" s="28"/>
      <c r="BO439" s="28"/>
      <c r="BP439" s="28"/>
      <c r="BQ439" s="28"/>
      <c r="BR439" s="28"/>
      <c r="BS439" s="28"/>
      <c r="BT439" s="28"/>
      <c r="BU439" s="28"/>
      <c r="BV439" s="29"/>
      <c r="BW439" s="28"/>
      <c r="BX439" s="28"/>
      <c r="BY439" s="28"/>
      <c r="BZ439" s="28"/>
      <c r="CA439" s="28"/>
      <c r="CB439" s="28"/>
      <c r="CC439" s="28"/>
      <c r="CD439" s="28"/>
      <c r="CE439" s="28"/>
      <c r="CF439" s="28"/>
      <c r="CG439" s="28"/>
      <c r="CH439" s="28"/>
      <c r="CI439" s="28"/>
      <c r="CJ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9"/>
      <c r="BW440" s="28"/>
      <c r="BX440" s="28"/>
      <c r="BY440" s="28"/>
      <c r="BZ440" s="28"/>
      <c r="CA440" s="28"/>
      <c r="CB440" s="28"/>
      <c r="CC440" s="28"/>
      <c r="CD440" s="28"/>
      <c r="CE440" s="28"/>
      <c r="CF440" s="28"/>
      <c r="CG440" s="28"/>
      <c r="CH440" s="28"/>
      <c r="CI440" s="28"/>
      <c r="CJ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c r="BG441" s="28"/>
      <c r="BH441" s="28"/>
      <c r="BI441" s="28"/>
      <c r="BJ441" s="28"/>
      <c r="BK441" s="28"/>
      <c r="BL441" s="28"/>
      <c r="BM441" s="28"/>
      <c r="BN441" s="28"/>
      <c r="BO441" s="28"/>
      <c r="BP441" s="28"/>
      <c r="BQ441" s="28"/>
      <c r="BR441" s="28"/>
      <c r="BS441" s="28"/>
      <c r="BT441" s="28"/>
      <c r="BU441" s="28"/>
      <c r="BV441" s="29"/>
      <c r="BW441" s="28"/>
      <c r="BX441" s="28"/>
      <c r="BY441" s="28"/>
      <c r="BZ441" s="28"/>
      <c r="CA441" s="28"/>
      <c r="CB441" s="28"/>
      <c r="CC441" s="28"/>
      <c r="CD441" s="28"/>
      <c r="CE441" s="28"/>
      <c r="CF441" s="28"/>
      <c r="CG441" s="28"/>
      <c r="CH441" s="28"/>
      <c r="CI441" s="28"/>
      <c r="CJ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9"/>
      <c r="BW442" s="28"/>
      <c r="BX442" s="28"/>
      <c r="BY442" s="28"/>
      <c r="BZ442" s="28"/>
      <c r="CA442" s="28"/>
      <c r="CB442" s="28"/>
      <c r="CC442" s="28"/>
      <c r="CD442" s="28"/>
      <c r="CE442" s="28"/>
      <c r="CF442" s="28"/>
      <c r="CG442" s="28"/>
      <c r="CH442" s="28"/>
      <c r="CI442" s="28"/>
      <c r="CJ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28"/>
      <c r="BP443" s="28"/>
      <c r="BQ443" s="28"/>
      <c r="BR443" s="28"/>
      <c r="BS443" s="28"/>
      <c r="BT443" s="28"/>
      <c r="BU443" s="28"/>
      <c r="BV443" s="29"/>
      <c r="BW443" s="28"/>
      <c r="BX443" s="28"/>
      <c r="BY443" s="28"/>
      <c r="BZ443" s="28"/>
      <c r="CA443" s="28"/>
      <c r="CB443" s="28"/>
      <c r="CC443" s="28"/>
      <c r="CD443" s="28"/>
      <c r="CE443" s="28"/>
      <c r="CF443" s="28"/>
      <c r="CG443" s="28"/>
      <c r="CH443" s="28"/>
      <c r="CI443" s="28"/>
      <c r="CJ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9"/>
      <c r="BW444" s="28"/>
      <c r="BX444" s="28"/>
      <c r="BY444" s="28"/>
      <c r="BZ444" s="28"/>
      <c r="CA444" s="28"/>
      <c r="CB444" s="28"/>
      <c r="CC444" s="28"/>
      <c r="CD444" s="28"/>
      <c r="CE444" s="28"/>
      <c r="CF444" s="28"/>
      <c r="CG444" s="28"/>
      <c r="CH444" s="28"/>
      <c r="CI444" s="28"/>
      <c r="CJ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c r="BG445" s="28"/>
      <c r="BH445" s="28"/>
      <c r="BI445" s="28"/>
      <c r="BJ445" s="28"/>
      <c r="BK445" s="28"/>
      <c r="BL445" s="28"/>
      <c r="BM445" s="28"/>
      <c r="BN445" s="28"/>
      <c r="BO445" s="28"/>
      <c r="BP445" s="28"/>
      <c r="BQ445" s="28"/>
      <c r="BR445" s="28"/>
      <c r="BS445" s="28"/>
      <c r="BT445" s="28"/>
      <c r="BU445" s="28"/>
      <c r="BV445" s="29"/>
      <c r="BW445" s="28"/>
      <c r="BX445" s="28"/>
      <c r="BY445" s="28"/>
      <c r="BZ445" s="28"/>
      <c r="CA445" s="28"/>
      <c r="CB445" s="28"/>
      <c r="CC445" s="28"/>
      <c r="CD445" s="28"/>
      <c r="CE445" s="28"/>
      <c r="CF445" s="28"/>
      <c r="CG445" s="28"/>
      <c r="CH445" s="28"/>
      <c r="CI445" s="28"/>
      <c r="CJ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9"/>
      <c r="BW446" s="28"/>
      <c r="BX446" s="28"/>
      <c r="BY446" s="28"/>
      <c r="BZ446" s="28"/>
      <c r="CA446" s="28"/>
      <c r="CB446" s="28"/>
      <c r="CC446" s="28"/>
      <c r="CD446" s="28"/>
      <c r="CE446" s="28"/>
      <c r="CF446" s="28"/>
      <c r="CG446" s="28"/>
      <c r="CH446" s="28"/>
      <c r="CI446" s="28"/>
      <c r="CJ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c r="BG447" s="28"/>
      <c r="BH447" s="28"/>
      <c r="BI447" s="28"/>
      <c r="BJ447" s="28"/>
      <c r="BK447" s="28"/>
      <c r="BL447" s="28"/>
      <c r="BM447" s="28"/>
      <c r="BN447" s="28"/>
      <c r="BO447" s="28"/>
      <c r="BP447" s="28"/>
      <c r="BQ447" s="28"/>
      <c r="BR447" s="28"/>
      <c r="BS447" s="28"/>
      <c r="BT447" s="28"/>
      <c r="BU447" s="28"/>
      <c r="BV447" s="29"/>
      <c r="BW447" s="28"/>
      <c r="BX447" s="28"/>
      <c r="BY447" s="28"/>
      <c r="BZ447" s="28"/>
      <c r="CA447" s="28"/>
      <c r="CB447" s="28"/>
      <c r="CC447" s="28"/>
      <c r="CD447" s="28"/>
      <c r="CE447" s="28"/>
      <c r="CF447" s="28"/>
      <c r="CG447" s="28"/>
      <c r="CH447" s="28"/>
      <c r="CI447" s="28"/>
      <c r="CJ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9"/>
      <c r="BW448" s="28"/>
      <c r="BX448" s="28"/>
      <c r="BY448" s="28"/>
      <c r="BZ448" s="28"/>
      <c r="CA448" s="28"/>
      <c r="CB448" s="28"/>
      <c r="CC448" s="28"/>
      <c r="CD448" s="28"/>
      <c r="CE448" s="28"/>
      <c r="CF448" s="28"/>
      <c r="CG448" s="28"/>
      <c r="CH448" s="28"/>
      <c r="CI448" s="28"/>
      <c r="CJ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8"/>
      <c r="BJ449" s="28"/>
      <c r="BK449" s="28"/>
      <c r="BL449" s="28"/>
      <c r="BM449" s="28"/>
      <c r="BN449" s="28"/>
      <c r="BO449" s="28"/>
      <c r="BP449" s="28"/>
      <c r="BQ449" s="28"/>
      <c r="BR449" s="28"/>
      <c r="BS449" s="28"/>
      <c r="BT449" s="28"/>
      <c r="BU449" s="28"/>
      <c r="BV449" s="29"/>
      <c r="BW449" s="28"/>
      <c r="BX449" s="28"/>
      <c r="BY449" s="28"/>
      <c r="BZ449" s="28"/>
      <c r="CA449" s="28"/>
      <c r="CB449" s="28"/>
      <c r="CC449" s="28"/>
      <c r="CD449" s="28"/>
      <c r="CE449" s="28"/>
      <c r="CF449" s="28"/>
      <c r="CG449" s="28"/>
      <c r="CH449" s="28"/>
      <c r="CI449" s="28"/>
      <c r="CJ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9"/>
      <c r="BW450" s="28"/>
      <c r="BX450" s="28"/>
      <c r="BY450" s="28"/>
      <c r="BZ450" s="28"/>
      <c r="CA450" s="28"/>
      <c r="CB450" s="28"/>
      <c r="CC450" s="28"/>
      <c r="CD450" s="28"/>
      <c r="CE450" s="28"/>
      <c r="CF450" s="28"/>
      <c r="CG450" s="28"/>
      <c r="CH450" s="28"/>
      <c r="CI450" s="28"/>
      <c r="CJ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c r="BG451" s="28"/>
      <c r="BH451" s="28"/>
      <c r="BI451" s="28"/>
      <c r="BJ451" s="28"/>
      <c r="BK451" s="28"/>
      <c r="BL451" s="28"/>
      <c r="BM451" s="28"/>
      <c r="BN451" s="28"/>
      <c r="BO451" s="28"/>
      <c r="BP451" s="28"/>
      <c r="BQ451" s="28"/>
      <c r="BR451" s="28"/>
      <c r="BS451" s="28"/>
      <c r="BT451" s="28"/>
      <c r="BU451" s="28"/>
      <c r="BV451" s="29"/>
      <c r="BW451" s="28"/>
      <c r="BX451" s="28"/>
      <c r="BY451" s="28"/>
      <c r="BZ451" s="28"/>
      <c r="CA451" s="28"/>
      <c r="CB451" s="28"/>
      <c r="CC451" s="28"/>
      <c r="CD451" s="28"/>
      <c r="CE451" s="28"/>
      <c r="CF451" s="28"/>
      <c r="CG451" s="28"/>
      <c r="CH451" s="28"/>
      <c r="CI451" s="28"/>
      <c r="CJ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9"/>
      <c r="BW452" s="28"/>
      <c r="BX452" s="28"/>
      <c r="BY452" s="28"/>
      <c r="BZ452" s="28"/>
      <c r="CA452" s="28"/>
      <c r="CB452" s="28"/>
      <c r="CC452" s="28"/>
      <c r="CD452" s="28"/>
      <c r="CE452" s="28"/>
      <c r="CF452" s="28"/>
      <c r="CG452" s="28"/>
      <c r="CH452" s="28"/>
      <c r="CI452" s="28"/>
      <c r="CJ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28"/>
      <c r="BP453" s="28"/>
      <c r="BQ453" s="28"/>
      <c r="BR453" s="28"/>
      <c r="BS453" s="28"/>
      <c r="BT453" s="28"/>
      <c r="BU453" s="28"/>
      <c r="BV453" s="29"/>
      <c r="BW453" s="28"/>
      <c r="BX453" s="28"/>
      <c r="BY453" s="28"/>
      <c r="BZ453" s="28"/>
      <c r="CA453" s="28"/>
      <c r="CB453" s="28"/>
      <c r="CC453" s="28"/>
      <c r="CD453" s="28"/>
      <c r="CE453" s="28"/>
      <c r="CF453" s="28"/>
      <c r="CG453" s="28"/>
      <c r="CH453" s="28"/>
      <c r="CI453" s="28"/>
      <c r="CJ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9"/>
      <c r="BW454" s="28"/>
      <c r="BX454" s="28"/>
      <c r="BY454" s="28"/>
      <c r="BZ454" s="28"/>
      <c r="CA454" s="28"/>
      <c r="CB454" s="28"/>
      <c r="CC454" s="28"/>
      <c r="CD454" s="28"/>
      <c r="CE454" s="28"/>
      <c r="CF454" s="28"/>
      <c r="CG454" s="28"/>
      <c r="CH454" s="28"/>
      <c r="CI454" s="28"/>
      <c r="CJ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9"/>
      <c r="BW455" s="28"/>
      <c r="BX455" s="28"/>
      <c r="BY455" s="28"/>
      <c r="BZ455" s="28"/>
      <c r="CA455" s="28"/>
      <c r="CB455" s="28"/>
      <c r="CC455" s="28"/>
      <c r="CD455" s="28"/>
      <c r="CE455" s="28"/>
      <c r="CF455" s="28"/>
      <c r="CG455" s="28"/>
      <c r="CH455" s="28"/>
      <c r="CI455" s="28"/>
      <c r="CJ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9"/>
      <c r="BW456" s="28"/>
      <c r="BX456" s="28"/>
      <c r="BY456" s="28"/>
      <c r="BZ456" s="28"/>
      <c r="CA456" s="28"/>
      <c r="CB456" s="28"/>
      <c r="CC456" s="28"/>
      <c r="CD456" s="28"/>
      <c r="CE456" s="28"/>
      <c r="CF456" s="28"/>
      <c r="CG456" s="28"/>
      <c r="CH456" s="28"/>
      <c r="CI456" s="28"/>
      <c r="CJ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28"/>
      <c r="BP457" s="28"/>
      <c r="BQ457" s="28"/>
      <c r="BR457" s="28"/>
      <c r="BS457" s="28"/>
      <c r="BT457" s="28"/>
      <c r="BU457" s="28"/>
      <c r="BV457" s="29"/>
      <c r="BW457" s="28"/>
      <c r="BX457" s="28"/>
      <c r="BY457" s="28"/>
      <c r="BZ457" s="28"/>
      <c r="CA457" s="28"/>
      <c r="CB457" s="28"/>
      <c r="CC457" s="28"/>
      <c r="CD457" s="28"/>
      <c r="CE457" s="28"/>
      <c r="CF457" s="28"/>
      <c r="CG457" s="28"/>
      <c r="CH457" s="28"/>
      <c r="CI457" s="28"/>
      <c r="CJ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9"/>
      <c r="BW458" s="28"/>
      <c r="BX458" s="28"/>
      <c r="BY458" s="28"/>
      <c r="BZ458" s="28"/>
      <c r="CA458" s="28"/>
      <c r="CB458" s="28"/>
      <c r="CC458" s="28"/>
      <c r="CD458" s="28"/>
      <c r="CE458" s="28"/>
      <c r="CF458" s="28"/>
      <c r="CG458" s="28"/>
      <c r="CH458" s="28"/>
      <c r="CI458" s="28"/>
      <c r="CJ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28"/>
      <c r="BR459" s="28"/>
      <c r="BS459" s="28"/>
      <c r="BT459" s="28"/>
      <c r="BU459" s="28"/>
      <c r="BV459" s="29"/>
      <c r="BW459" s="28"/>
      <c r="BX459" s="28"/>
      <c r="BY459" s="28"/>
      <c r="BZ459" s="28"/>
      <c r="CA459" s="28"/>
      <c r="CB459" s="28"/>
      <c r="CC459" s="28"/>
      <c r="CD459" s="28"/>
      <c r="CE459" s="28"/>
      <c r="CF459" s="28"/>
      <c r="CG459" s="28"/>
      <c r="CH459" s="28"/>
      <c r="CI459" s="28"/>
      <c r="CJ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9"/>
      <c r="BW460" s="28"/>
      <c r="BX460" s="28"/>
      <c r="BY460" s="28"/>
      <c r="BZ460" s="28"/>
      <c r="CA460" s="28"/>
      <c r="CB460" s="28"/>
      <c r="CC460" s="28"/>
      <c r="CD460" s="28"/>
      <c r="CE460" s="28"/>
      <c r="CF460" s="28"/>
      <c r="CG460" s="28"/>
      <c r="CH460" s="28"/>
      <c r="CI460" s="28"/>
      <c r="CJ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28"/>
      <c r="BR461" s="28"/>
      <c r="BS461" s="28"/>
      <c r="BT461" s="28"/>
      <c r="BU461" s="28"/>
      <c r="BV461" s="29"/>
      <c r="BW461" s="28"/>
      <c r="BX461" s="28"/>
      <c r="BY461" s="28"/>
      <c r="BZ461" s="28"/>
      <c r="CA461" s="28"/>
      <c r="CB461" s="28"/>
      <c r="CC461" s="28"/>
      <c r="CD461" s="28"/>
      <c r="CE461" s="28"/>
      <c r="CF461" s="28"/>
      <c r="CG461" s="28"/>
      <c r="CH461" s="28"/>
      <c r="CI461" s="28"/>
      <c r="CJ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9"/>
      <c r="BW462" s="28"/>
      <c r="BX462" s="28"/>
      <c r="BY462" s="28"/>
      <c r="BZ462" s="28"/>
      <c r="CA462" s="28"/>
      <c r="CB462" s="28"/>
      <c r="CC462" s="28"/>
      <c r="CD462" s="28"/>
      <c r="CE462" s="28"/>
      <c r="CF462" s="28"/>
      <c r="CG462" s="28"/>
      <c r="CH462" s="28"/>
      <c r="CI462" s="28"/>
      <c r="CJ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c r="BG463" s="28"/>
      <c r="BH463" s="28"/>
      <c r="BI463" s="28"/>
      <c r="BJ463" s="28"/>
      <c r="BK463" s="28"/>
      <c r="BL463" s="28"/>
      <c r="BM463" s="28"/>
      <c r="BN463" s="28"/>
      <c r="BO463" s="28"/>
      <c r="BP463" s="28"/>
      <c r="BQ463" s="28"/>
      <c r="BR463" s="28"/>
      <c r="BS463" s="28"/>
      <c r="BT463" s="28"/>
      <c r="BU463" s="28"/>
      <c r="BV463" s="29"/>
      <c r="BW463" s="28"/>
      <c r="BX463" s="28"/>
      <c r="BY463" s="28"/>
      <c r="BZ463" s="28"/>
      <c r="CA463" s="28"/>
      <c r="CB463" s="28"/>
      <c r="CC463" s="28"/>
      <c r="CD463" s="28"/>
      <c r="CE463" s="28"/>
      <c r="CF463" s="28"/>
      <c r="CG463" s="28"/>
      <c r="CH463" s="28"/>
      <c r="CI463" s="28"/>
      <c r="CJ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9"/>
      <c r="BW464" s="28"/>
      <c r="BX464" s="28"/>
      <c r="BY464" s="28"/>
      <c r="BZ464" s="28"/>
      <c r="CA464" s="28"/>
      <c r="CB464" s="28"/>
      <c r="CC464" s="28"/>
      <c r="CD464" s="28"/>
      <c r="CE464" s="28"/>
      <c r="CF464" s="28"/>
      <c r="CG464" s="28"/>
      <c r="CH464" s="28"/>
      <c r="CI464" s="28"/>
      <c r="CJ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c r="BG465" s="28"/>
      <c r="BH465" s="28"/>
      <c r="BI465" s="28"/>
      <c r="BJ465" s="28"/>
      <c r="BK465" s="28"/>
      <c r="BL465" s="28"/>
      <c r="BM465" s="28"/>
      <c r="BN465" s="28"/>
      <c r="BO465" s="28"/>
      <c r="BP465" s="28"/>
      <c r="BQ465" s="28"/>
      <c r="BR465" s="28"/>
      <c r="BS465" s="28"/>
      <c r="BT465" s="28"/>
      <c r="BU465" s="28"/>
      <c r="BV465" s="29"/>
      <c r="BW465" s="28"/>
      <c r="BX465" s="28"/>
      <c r="BY465" s="28"/>
      <c r="BZ465" s="28"/>
      <c r="CA465" s="28"/>
      <c r="CB465" s="28"/>
      <c r="CC465" s="28"/>
      <c r="CD465" s="28"/>
      <c r="CE465" s="28"/>
      <c r="CF465" s="28"/>
      <c r="CG465" s="28"/>
      <c r="CH465" s="28"/>
      <c r="CI465" s="28"/>
      <c r="CJ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9"/>
      <c r="BW466" s="28"/>
      <c r="BX466" s="28"/>
      <c r="BY466" s="28"/>
      <c r="BZ466" s="28"/>
      <c r="CA466" s="28"/>
      <c r="CB466" s="28"/>
      <c r="CC466" s="28"/>
      <c r="CD466" s="28"/>
      <c r="CE466" s="28"/>
      <c r="CF466" s="28"/>
      <c r="CG466" s="28"/>
      <c r="CH466" s="28"/>
      <c r="CI466" s="28"/>
      <c r="CJ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9"/>
      <c r="BW467" s="28"/>
      <c r="BX467" s="28"/>
      <c r="BY467" s="28"/>
      <c r="BZ467" s="28"/>
      <c r="CA467" s="28"/>
      <c r="CB467" s="28"/>
      <c r="CC467" s="28"/>
      <c r="CD467" s="28"/>
      <c r="CE467" s="28"/>
      <c r="CF467" s="28"/>
      <c r="CG467" s="28"/>
      <c r="CH467" s="28"/>
      <c r="CI467" s="28"/>
      <c r="CJ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9"/>
      <c r="BW468" s="28"/>
      <c r="BX468" s="28"/>
      <c r="BY468" s="28"/>
      <c r="BZ468" s="28"/>
      <c r="CA468" s="28"/>
      <c r="CB468" s="28"/>
      <c r="CC468" s="28"/>
      <c r="CD468" s="28"/>
      <c r="CE468" s="28"/>
      <c r="CF468" s="28"/>
      <c r="CG468" s="28"/>
      <c r="CH468" s="28"/>
      <c r="CI468" s="28"/>
      <c r="CJ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c r="BG469" s="28"/>
      <c r="BH469" s="28"/>
      <c r="BI469" s="28"/>
      <c r="BJ469" s="28"/>
      <c r="BK469" s="28"/>
      <c r="BL469" s="28"/>
      <c r="BM469" s="28"/>
      <c r="BN469" s="28"/>
      <c r="BO469" s="28"/>
      <c r="BP469" s="28"/>
      <c r="BQ469" s="28"/>
      <c r="BR469" s="28"/>
      <c r="BS469" s="28"/>
      <c r="BT469" s="28"/>
      <c r="BU469" s="28"/>
      <c r="BV469" s="29"/>
      <c r="BW469" s="28"/>
      <c r="BX469" s="28"/>
      <c r="BY469" s="28"/>
      <c r="BZ469" s="28"/>
      <c r="CA469" s="28"/>
      <c r="CB469" s="28"/>
      <c r="CC469" s="28"/>
      <c r="CD469" s="28"/>
      <c r="CE469" s="28"/>
      <c r="CF469" s="28"/>
      <c r="CG469" s="28"/>
      <c r="CH469" s="28"/>
      <c r="CI469" s="28"/>
      <c r="CJ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9"/>
      <c r="BW470" s="28"/>
      <c r="BX470" s="28"/>
      <c r="BY470" s="28"/>
      <c r="BZ470" s="28"/>
      <c r="CA470" s="28"/>
      <c r="CB470" s="28"/>
      <c r="CC470" s="28"/>
      <c r="CD470" s="28"/>
      <c r="CE470" s="28"/>
      <c r="CF470" s="28"/>
      <c r="CG470" s="28"/>
      <c r="CH470" s="28"/>
      <c r="CI470" s="28"/>
      <c r="CJ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c r="BG471" s="28"/>
      <c r="BH471" s="28"/>
      <c r="BI471" s="28"/>
      <c r="BJ471" s="28"/>
      <c r="BK471" s="28"/>
      <c r="BL471" s="28"/>
      <c r="BM471" s="28"/>
      <c r="BN471" s="28"/>
      <c r="BO471" s="28"/>
      <c r="BP471" s="28"/>
      <c r="BQ471" s="28"/>
      <c r="BR471" s="28"/>
      <c r="BS471" s="28"/>
      <c r="BT471" s="28"/>
      <c r="BU471" s="28"/>
      <c r="BV471" s="29"/>
      <c r="BW471" s="28"/>
      <c r="BX471" s="28"/>
      <c r="BY471" s="28"/>
      <c r="BZ471" s="28"/>
      <c r="CA471" s="28"/>
      <c r="CB471" s="28"/>
      <c r="CC471" s="28"/>
      <c r="CD471" s="28"/>
      <c r="CE471" s="28"/>
      <c r="CF471" s="28"/>
      <c r="CG471" s="28"/>
      <c r="CH471" s="28"/>
      <c r="CI471" s="28"/>
      <c r="CJ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9"/>
      <c r="BW472" s="28"/>
      <c r="BX472" s="28"/>
      <c r="BY472" s="28"/>
      <c r="BZ472" s="28"/>
      <c r="CA472" s="28"/>
      <c r="CB472" s="28"/>
      <c r="CC472" s="28"/>
      <c r="CD472" s="28"/>
      <c r="CE472" s="28"/>
      <c r="CF472" s="28"/>
      <c r="CG472" s="28"/>
      <c r="CH472" s="28"/>
      <c r="CI472" s="28"/>
      <c r="CJ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c r="BG473" s="28"/>
      <c r="BH473" s="28"/>
      <c r="BI473" s="28"/>
      <c r="BJ473" s="28"/>
      <c r="BK473" s="28"/>
      <c r="BL473" s="28"/>
      <c r="BM473" s="28"/>
      <c r="BN473" s="28"/>
      <c r="BO473" s="28"/>
      <c r="BP473" s="28"/>
      <c r="BQ473" s="28"/>
      <c r="BR473" s="28"/>
      <c r="BS473" s="28"/>
      <c r="BT473" s="28"/>
      <c r="BU473" s="28"/>
      <c r="BV473" s="29"/>
      <c r="BW473" s="28"/>
      <c r="BX473" s="28"/>
      <c r="BY473" s="28"/>
      <c r="BZ473" s="28"/>
      <c r="CA473" s="28"/>
      <c r="CB473" s="28"/>
      <c r="CC473" s="28"/>
      <c r="CD473" s="28"/>
      <c r="CE473" s="28"/>
      <c r="CF473" s="28"/>
      <c r="CG473" s="28"/>
      <c r="CH473" s="28"/>
      <c r="CI473" s="28"/>
      <c r="CJ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9"/>
      <c r="BW474" s="28"/>
      <c r="BX474" s="28"/>
      <c r="BY474" s="28"/>
      <c r="BZ474" s="28"/>
      <c r="CA474" s="28"/>
      <c r="CB474" s="28"/>
      <c r="CC474" s="28"/>
      <c r="CD474" s="28"/>
      <c r="CE474" s="28"/>
      <c r="CF474" s="28"/>
      <c r="CG474" s="28"/>
      <c r="CH474" s="28"/>
      <c r="CI474" s="28"/>
      <c r="CJ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c r="BG475" s="28"/>
      <c r="BH475" s="28"/>
      <c r="BI475" s="28"/>
      <c r="BJ475" s="28"/>
      <c r="BK475" s="28"/>
      <c r="BL475" s="28"/>
      <c r="BM475" s="28"/>
      <c r="BN475" s="28"/>
      <c r="BO475" s="28"/>
      <c r="BP475" s="28"/>
      <c r="BQ475" s="28"/>
      <c r="BR475" s="28"/>
      <c r="BS475" s="28"/>
      <c r="BT475" s="28"/>
      <c r="BU475" s="28"/>
      <c r="BV475" s="29"/>
      <c r="BW475" s="28"/>
      <c r="BX475" s="28"/>
      <c r="BY475" s="28"/>
      <c r="BZ475" s="28"/>
      <c r="CA475" s="28"/>
      <c r="CB475" s="28"/>
      <c r="CC475" s="28"/>
      <c r="CD475" s="28"/>
      <c r="CE475" s="28"/>
      <c r="CF475" s="28"/>
      <c r="CG475" s="28"/>
      <c r="CH475" s="28"/>
      <c r="CI475" s="28"/>
      <c r="CJ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9"/>
      <c r="BW476" s="28"/>
      <c r="BX476" s="28"/>
      <c r="BY476" s="28"/>
      <c r="BZ476" s="28"/>
      <c r="CA476" s="28"/>
      <c r="CB476" s="28"/>
      <c r="CC476" s="28"/>
      <c r="CD476" s="28"/>
      <c r="CE476" s="28"/>
      <c r="CF476" s="28"/>
      <c r="CG476" s="28"/>
      <c r="CH476" s="28"/>
      <c r="CI476" s="28"/>
      <c r="CJ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9"/>
      <c r="BW477" s="28"/>
      <c r="BX477" s="28"/>
      <c r="BY477" s="28"/>
      <c r="BZ477" s="28"/>
      <c r="CA477" s="28"/>
      <c r="CB477" s="28"/>
      <c r="CC477" s="28"/>
      <c r="CD477" s="28"/>
      <c r="CE477" s="28"/>
      <c r="CF477" s="28"/>
      <c r="CG477" s="28"/>
      <c r="CH477" s="28"/>
      <c r="CI477" s="28"/>
      <c r="CJ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9"/>
      <c r="BW478" s="28"/>
      <c r="BX478" s="28"/>
      <c r="BY478" s="28"/>
      <c r="BZ478" s="28"/>
      <c r="CA478" s="28"/>
      <c r="CB478" s="28"/>
      <c r="CC478" s="28"/>
      <c r="CD478" s="28"/>
      <c r="CE478" s="28"/>
      <c r="CF478" s="28"/>
      <c r="CG478" s="28"/>
      <c r="CH478" s="28"/>
      <c r="CI478" s="28"/>
      <c r="CJ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9"/>
      <c r="BW479" s="28"/>
      <c r="BX479" s="28"/>
      <c r="BY479" s="28"/>
      <c r="BZ479" s="28"/>
      <c r="CA479" s="28"/>
      <c r="CB479" s="28"/>
      <c r="CC479" s="28"/>
      <c r="CD479" s="28"/>
      <c r="CE479" s="28"/>
      <c r="CF479" s="28"/>
      <c r="CG479" s="28"/>
      <c r="CH479" s="28"/>
      <c r="CI479" s="28"/>
      <c r="CJ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9"/>
      <c r="BW480" s="28"/>
      <c r="BX480" s="28"/>
      <c r="BY480" s="28"/>
      <c r="BZ480" s="28"/>
      <c r="CA480" s="28"/>
      <c r="CB480" s="28"/>
      <c r="CC480" s="28"/>
      <c r="CD480" s="28"/>
      <c r="CE480" s="28"/>
      <c r="CF480" s="28"/>
      <c r="CG480" s="28"/>
      <c r="CH480" s="28"/>
      <c r="CI480" s="28"/>
      <c r="CJ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c r="BG481" s="28"/>
      <c r="BH481" s="28"/>
      <c r="BI481" s="28"/>
      <c r="BJ481" s="28"/>
      <c r="BK481" s="28"/>
      <c r="BL481" s="28"/>
      <c r="BM481" s="28"/>
      <c r="BN481" s="28"/>
      <c r="BO481" s="28"/>
      <c r="BP481" s="28"/>
      <c r="BQ481" s="28"/>
      <c r="BR481" s="28"/>
      <c r="BS481" s="28"/>
      <c r="BT481" s="28"/>
      <c r="BU481" s="28"/>
      <c r="BV481" s="29"/>
      <c r="BW481" s="28"/>
      <c r="BX481" s="28"/>
      <c r="BY481" s="28"/>
      <c r="BZ481" s="28"/>
      <c r="CA481" s="28"/>
      <c r="CB481" s="28"/>
      <c r="CC481" s="28"/>
      <c r="CD481" s="28"/>
      <c r="CE481" s="28"/>
      <c r="CF481" s="28"/>
      <c r="CG481" s="28"/>
      <c r="CH481" s="28"/>
      <c r="CI481" s="28"/>
      <c r="CJ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9"/>
      <c r="BW482" s="28"/>
      <c r="BX482" s="28"/>
      <c r="BY482" s="28"/>
      <c r="BZ482" s="28"/>
      <c r="CA482" s="28"/>
      <c r="CB482" s="28"/>
      <c r="CC482" s="28"/>
      <c r="CD482" s="28"/>
      <c r="CE482" s="28"/>
      <c r="CF482" s="28"/>
      <c r="CG482" s="28"/>
      <c r="CH482" s="28"/>
      <c r="CI482" s="28"/>
      <c r="CJ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c r="BF483" s="28"/>
      <c r="BG483" s="28"/>
      <c r="BH483" s="28"/>
      <c r="BI483" s="28"/>
      <c r="BJ483" s="28"/>
      <c r="BK483" s="28"/>
      <c r="BL483" s="28"/>
      <c r="BM483" s="28"/>
      <c r="BN483" s="28"/>
      <c r="BO483" s="28"/>
      <c r="BP483" s="28"/>
      <c r="BQ483" s="28"/>
      <c r="BR483" s="28"/>
      <c r="BS483" s="28"/>
      <c r="BT483" s="28"/>
      <c r="BU483" s="28"/>
      <c r="BV483" s="29"/>
      <c r="BW483" s="28"/>
      <c r="BX483" s="28"/>
      <c r="BY483" s="28"/>
      <c r="BZ483" s="28"/>
      <c r="CA483" s="28"/>
      <c r="CB483" s="28"/>
      <c r="CC483" s="28"/>
      <c r="CD483" s="28"/>
      <c r="CE483" s="28"/>
      <c r="CF483" s="28"/>
      <c r="CG483" s="28"/>
      <c r="CH483" s="28"/>
      <c r="CI483" s="28"/>
      <c r="CJ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9"/>
      <c r="BW484" s="28"/>
      <c r="BX484" s="28"/>
      <c r="BY484" s="28"/>
      <c r="BZ484" s="28"/>
      <c r="CA484" s="28"/>
      <c r="CB484" s="28"/>
      <c r="CC484" s="28"/>
      <c r="CD484" s="28"/>
      <c r="CE484" s="28"/>
      <c r="CF484" s="28"/>
      <c r="CG484" s="28"/>
      <c r="CH484" s="28"/>
      <c r="CI484" s="28"/>
      <c r="CJ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c r="BE485" s="28"/>
      <c r="BF485" s="28"/>
      <c r="BG485" s="28"/>
      <c r="BH485" s="28"/>
      <c r="BI485" s="28"/>
      <c r="BJ485" s="28"/>
      <c r="BK485" s="28"/>
      <c r="BL485" s="28"/>
      <c r="BM485" s="28"/>
      <c r="BN485" s="28"/>
      <c r="BO485" s="28"/>
      <c r="BP485" s="28"/>
      <c r="BQ485" s="28"/>
      <c r="BR485" s="28"/>
      <c r="BS485" s="28"/>
      <c r="BT485" s="28"/>
      <c r="BU485" s="28"/>
      <c r="BV485" s="29"/>
      <c r="BW485" s="28"/>
      <c r="BX485" s="28"/>
      <c r="BY485" s="28"/>
      <c r="BZ485" s="28"/>
      <c r="CA485" s="28"/>
      <c r="CB485" s="28"/>
      <c r="CC485" s="28"/>
      <c r="CD485" s="28"/>
      <c r="CE485" s="28"/>
      <c r="CF485" s="28"/>
      <c r="CG485" s="28"/>
      <c r="CH485" s="28"/>
      <c r="CI485" s="28"/>
      <c r="CJ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9"/>
      <c r="BW486" s="28"/>
      <c r="BX486" s="28"/>
      <c r="BY486" s="28"/>
      <c r="BZ486" s="28"/>
      <c r="CA486" s="28"/>
      <c r="CB486" s="28"/>
      <c r="CC486" s="28"/>
      <c r="CD486" s="28"/>
      <c r="CE486" s="28"/>
      <c r="CF486" s="28"/>
      <c r="CG486" s="28"/>
      <c r="CH486" s="28"/>
      <c r="CI486" s="28"/>
      <c r="CJ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c r="BE487" s="28"/>
      <c r="BF487" s="28"/>
      <c r="BG487" s="28"/>
      <c r="BH487" s="28"/>
      <c r="BI487" s="28"/>
      <c r="BJ487" s="28"/>
      <c r="BK487" s="28"/>
      <c r="BL487" s="28"/>
      <c r="BM487" s="28"/>
      <c r="BN487" s="28"/>
      <c r="BO487" s="28"/>
      <c r="BP487" s="28"/>
      <c r="BQ487" s="28"/>
      <c r="BR487" s="28"/>
      <c r="BS487" s="28"/>
      <c r="BT487" s="28"/>
      <c r="BU487" s="28"/>
      <c r="BV487" s="29"/>
      <c r="BW487" s="28"/>
      <c r="BX487" s="28"/>
      <c r="BY487" s="28"/>
      <c r="BZ487" s="28"/>
      <c r="CA487" s="28"/>
      <c r="CB487" s="28"/>
      <c r="CC487" s="28"/>
      <c r="CD487" s="28"/>
      <c r="CE487" s="28"/>
      <c r="CF487" s="28"/>
      <c r="CG487" s="28"/>
      <c r="CH487" s="28"/>
      <c r="CI487" s="28"/>
      <c r="CJ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9"/>
      <c r="BW488" s="28"/>
      <c r="BX488" s="28"/>
      <c r="BY488" s="28"/>
      <c r="BZ488" s="28"/>
      <c r="CA488" s="28"/>
      <c r="CB488" s="28"/>
      <c r="CC488" s="28"/>
      <c r="CD488" s="28"/>
      <c r="CE488" s="28"/>
      <c r="CF488" s="28"/>
      <c r="CG488" s="28"/>
      <c r="CH488" s="28"/>
      <c r="CI488" s="28"/>
      <c r="CJ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c r="BE489" s="28"/>
      <c r="BF489" s="28"/>
      <c r="BG489" s="28"/>
      <c r="BH489" s="28"/>
      <c r="BI489" s="28"/>
      <c r="BJ489" s="28"/>
      <c r="BK489" s="28"/>
      <c r="BL489" s="28"/>
      <c r="BM489" s="28"/>
      <c r="BN489" s="28"/>
      <c r="BO489" s="28"/>
      <c r="BP489" s="28"/>
      <c r="BQ489" s="28"/>
      <c r="BR489" s="28"/>
      <c r="BS489" s="28"/>
      <c r="BT489" s="28"/>
      <c r="BU489" s="28"/>
      <c r="BV489" s="29"/>
      <c r="BW489" s="28"/>
      <c r="BX489" s="28"/>
      <c r="BY489" s="28"/>
      <c r="BZ489" s="28"/>
      <c r="CA489" s="28"/>
      <c r="CB489" s="28"/>
      <c r="CC489" s="28"/>
      <c r="CD489" s="28"/>
      <c r="CE489" s="28"/>
      <c r="CF489" s="28"/>
      <c r="CG489" s="28"/>
      <c r="CH489" s="28"/>
      <c r="CI489" s="28"/>
      <c r="CJ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9"/>
      <c r="BW490" s="28"/>
      <c r="BX490" s="28"/>
      <c r="BY490" s="28"/>
      <c r="BZ490" s="28"/>
      <c r="CA490" s="28"/>
      <c r="CB490" s="28"/>
      <c r="CC490" s="28"/>
      <c r="CD490" s="28"/>
      <c r="CE490" s="28"/>
      <c r="CF490" s="28"/>
      <c r="CG490" s="28"/>
      <c r="CH490" s="28"/>
      <c r="CI490" s="28"/>
      <c r="CJ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8"/>
      <c r="BF491" s="28"/>
      <c r="BG491" s="28"/>
      <c r="BH491" s="28"/>
      <c r="BI491" s="28"/>
      <c r="BJ491" s="28"/>
      <c r="BK491" s="28"/>
      <c r="BL491" s="28"/>
      <c r="BM491" s="28"/>
      <c r="BN491" s="28"/>
      <c r="BO491" s="28"/>
      <c r="BP491" s="28"/>
      <c r="BQ491" s="28"/>
      <c r="BR491" s="28"/>
      <c r="BS491" s="28"/>
      <c r="BT491" s="28"/>
      <c r="BU491" s="28"/>
      <c r="BV491" s="29"/>
      <c r="BW491" s="28"/>
      <c r="BX491" s="28"/>
      <c r="BY491" s="28"/>
      <c r="BZ491" s="28"/>
      <c r="CA491" s="28"/>
      <c r="CB491" s="28"/>
      <c r="CC491" s="28"/>
      <c r="CD491" s="28"/>
      <c r="CE491" s="28"/>
      <c r="CF491" s="28"/>
      <c r="CG491" s="28"/>
      <c r="CH491" s="28"/>
      <c r="CI491" s="28"/>
      <c r="CJ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9"/>
      <c r="BW492" s="28"/>
      <c r="BX492" s="28"/>
      <c r="BY492" s="28"/>
      <c r="BZ492" s="28"/>
      <c r="CA492" s="28"/>
      <c r="CB492" s="28"/>
      <c r="CC492" s="28"/>
      <c r="CD492" s="28"/>
      <c r="CE492" s="28"/>
      <c r="CF492" s="28"/>
      <c r="CG492" s="28"/>
      <c r="CH492" s="28"/>
      <c r="CI492" s="28"/>
      <c r="CJ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c r="BE493" s="28"/>
      <c r="BF493" s="28"/>
      <c r="BG493" s="28"/>
      <c r="BH493" s="28"/>
      <c r="BI493" s="28"/>
      <c r="BJ493" s="28"/>
      <c r="BK493" s="28"/>
      <c r="BL493" s="28"/>
      <c r="BM493" s="28"/>
      <c r="BN493" s="28"/>
      <c r="BO493" s="28"/>
      <c r="BP493" s="28"/>
      <c r="BQ493" s="28"/>
      <c r="BR493" s="28"/>
      <c r="BS493" s="28"/>
      <c r="BT493" s="28"/>
      <c r="BU493" s="28"/>
      <c r="BV493" s="29"/>
      <c r="BW493" s="28"/>
      <c r="BX493" s="28"/>
      <c r="BY493" s="28"/>
      <c r="BZ493" s="28"/>
      <c r="CA493" s="28"/>
      <c r="CB493" s="28"/>
      <c r="CC493" s="28"/>
      <c r="CD493" s="28"/>
      <c r="CE493" s="28"/>
      <c r="CF493" s="28"/>
      <c r="CG493" s="28"/>
      <c r="CH493" s="28"/>
      <c r="CI493" s="28"/>
      <c r="CJ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9"/>
      <c r="BW494" s="28"/>
      <c r="BX494" s="28"/>
      <c r="BY494" s="28"/>
      <c r="BZ494" s="28"/>
      <c r="CA494" s="28"/>
      <c r="CB494" s="28"/>
      <c r="CC494" s="28"/>
      <c r="CD494" s="28"/>
      <c r="CE494" s="28"/>
      <c r="CF494" s="28"/>
      <c r="CG494" s="28"/>
      <c r="CH494" s="28"/>
      <c r="CI494" s="28"/>
      <c r="CJ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c r="BE495" s="28"/>
      <c r="BF495" s="28"/>
      <c r="BG495" s="28"/>
      <c r="BH495" s="28"/>
      <c r="BI495" s="28"/>
      <c r="BJ495" s="28"/>
      <c r="BK495" s="28"/>
      <c r="BL495" s="28"/>
      <c r="BM495" s="28"/>
      <c r="BN495" s="28"/>
      <c r="BO495" s="28"/>
      <c r="BP495" s="28"/>
      <c r="BQ495" s="28"/>
      <c r="BR495" s="28"/>
      <c r="BS495" s="28"/>
      <c r="BT495" s="28"/>
      <c r="BU495" s="28"/>
      <c r="BV495" s="29"/>
      <c r="BW495" s="28"/>
      <c r="BX495" s="28"/>
      <c r="BY495" s="28"/>
      <c r="BZ495" s="28"/>
      <c r="CA495" s="28"/>
      <c r="CB495" s="28"/>
      <c r="CC495" s="28"/>
      <c r="CD495" s="28"/>
      <c r="CE495" s="28"/>
      <c r="CF495" s="28"/>
      <c r="CG495" s="28"/>
      <c r="CH495" s="28"/>
      <c r="CI495" s="28"/>
      <c r="CJ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9"/>
      <c r="BW496" s="28"/>
      <c r="BX496" s="28"/>
      <c r="BY496" s="28"/>
      <c r="BZ496" s="28"/>
      <c r="CA496" s="28"/>
      <c r="CB496" s="28"/>
      <c r="CC496" s="28"/>
      <c r="CD496" s="28"/>
      <c r="CE496" s="28"/>
      <c r="CF496" s="28"/>
      <c r="CG496" s="28"/>
      <c r="CH496" s="28"/>
      <c r="CI496" s="28"/>
      <c r="CJ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9"/>
      <c r="BW497" s="28"/>
      <c r="BX497" s="28"/>
      <c r="BY497" s="28"/>
      <c r="BZ497" s="28"/>
      <c r="CA497" s="28"/>
      <c r="CB497" s="28"/>
      <c r="CC497" s="28"/>
      <c r="CD497" s="28"/>
      <c r="CE497" s="28"/>
      <c r="CF497" s="28"/>
      <c r="CG497" s="28"/>
      <c r="CH497" s="28"/>
      <c r="CI497" s="28"/>
      <c r="CJ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9"/>
      <c r="BW498" s="28"/>
      <c r="BX498" s="28"/>
      <c r="BY498" s="28"/>
      <c r="BZ498" s="28"/>
      <c r="CA498" s="28"/>
      <c r="CB498" s="28"/>
      <c r="CC498" s="28"/>
      <c r="CD498" s="28"/>
      <c r="CE498" s="28"/>
      <c r="CF498" s="28"/>
      <c r="CG498" s="28"/>
      <c r="CH498" s="28"/>
      <c r="CI498" s="28"/>
      <c r="CJ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c r="BE499" s="28"/>
      <c r="BF499" s="28"/>
      <c r="BG499" s="28"/>
      <c r="BH499" s="28"/>
      <c r="BI499" s="28"/>
      <c r="BJ499" s="28"/>
      <c r="BK499" s="28"/>
      <c r="BL499" s="28"/>
      <c r="BM499" s="28"/>
      <c r="BN499" s="28"/>
      <c r="BO499" s="28"/>
      <c r="BP499" s="28"/>
      <c r="BQ499" s="28"/>
      <c r="BR499" s="28"/>
      <c r="BS499" s="28"/>
      <c r="BT499" s="28"/>
      <c r="BU499" s="28"/>
      <c r="BV499" s="29"/>
      <c r="BW499" s="28"/>
      <c r="BX499" s="28"/>
      <c r="BY499" s="28"/>
      <c r="BZ499" s="28"/>
      <c r="CA499" s="28"/>
      <c r="CB499" s="28"/>
      <c r="CC499" s="28"/>
      <c r="CD499" s="28"/>
      <c r="CE499" s="28"/>
      <c r="CF499" s="28"/>
      <c r="CG499" s="28"/>
      <c r="CH499" s="28"/>
      <c r="CI499" s="28"/>
      <c r="CJ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9"/>
      <c r="BW500" s="28"/>
      <c r="BX500" s="28"/>
      <c r="BY500" s="28"/>
      <c r="BZ500" s="28"/>
      <c r="CA500" s="28"/>
      <c r="CB500" s="28"/>
      <c r="CC500" s="28"/>
      <c r="CD500" s="28"/>
      <c r="CE500" s="28"/>
      <c r="CF500" s="28"/>
      <c r="CG500" s="28"/>
      <c r="CH500" s="28"/>
      <c r="CI500" s="28"/>
      <c r="CJ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c r="BE501" s="28"/>
      <c r="BF501" s="28"/>
      <c r="BG501" s="28"/>
      <c r="BH501" s="28"/>
      <c r="BI501" s="28"/>
      <c r="BJ501" s="28"/>
      <c r="BK501" s="28"/>
      <c r="BL501" s="28"/>
      <c r="BM501" s="28"/>
      <c r="BN501" s="28"/>
      <c r="BO501" s="28"/>
      <c r="BP501" s="28"/>
      <c r="BQ501" s="28"/>
      <c r="BR501" s="28"/>
      <c r="BS501" s="28"/>
      <c r="BT501" s="28"/>
      <c r="BU501" s="28"/>
      <c r="BV501" s="29"/>
      <c r="BW501" s="28"/>
      <c r="BX501" s="28"/>
      <c r="BY501" s="28"/>
      <c r="BZ501" s="28"/>
      <c r="CA501" s="28"/>
      <c r="CB501" s="28"/>
      <c r="CC501" s="28"/>
      <c r="CD501" s="28"/>
      <c r="CE501" s="28"/>
      <c r="CF501" s="28"/>
      <c r="CG501" s="28"/>
      <c r="CH501" s="28"/>
      <c r="CI501" s="28"/>
      <c r="CJ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9"/>
      <c r="BW502" s="28"/>
      <c r="BX502" s="28"/>
      <c r="BY502" s="28"/>
      <c r="BZ502" s="28"/>
      <c r="CA502" s="28"/>
      <c r="CB502" s="28"/>
      <c r="CC502" s="28"/>
      <c r="CD502" s="28"/>
      <c r="CE502" s="28"/>
      <c r="CF502" s="28"/>
      <c r="CG502" s="28"/>
      <c r="CH502" s="28"/>
      <c r="CI502" s="28"/>
      <c r="CJ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c r="BE503" s="28"/>
      <c r="BF503" s="28"/>
      <c r="BG503" s="28"/>
      <c r="BH503" s="28"/>
      <c r="BI503" s="28"/>
      <c r="BJ503" s="28"/>
      <c r="BK503" s="28"/>
      <c r="BL503" s="28"/>
      <c r="BM503" s="28"/>
      <c r="BN503" s="28"/>
      <c r="BO503" s="28"/>
      <c r="BP503" s="28"/>
      <c r="BQ503" s="28"/>
      <c r="BR503" s="28"/>
      <c r="BS503" s="28"/>
      <c r="BT503" s="28"/>
      <c r="BU503" s="28"/>
      <c r="BV503" s="29"/>
      <c r="BW503" s="28"/>
      <c r="BX503" s="28"/>
      <c r="BY503" s="28"/>
      <c r="BZ503" s="28"/>
      <c r="CA503" s="28"/>
      <c r="CB503" s="28"/>
      <c r="CC503" s="28"/>
      <c r="CD503" s="28"/>
      <c r="CE503" s="28"/>
      <c r="CF503" s="28"/>
      <c r="CG503" s="28"/>
      <c r="CH503" s="28"/>
      <c r="CI503" s="28"/>
      <c r="CJ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9"/>
      <c r="BW504" s="28"/>
      <c r="BX504" s="28"/>
      <c r="BY504" s="28"/>
      <c r="BZ504" s="28"/>
      <c r="CA504" s="28"/>
      <c r="CB504" s="28"/>
      <c r="CC504" s="28"/>
      <c r="CD504" s="28"/>
      <c r="CE504" s="28"/>
      <c r="CF504" s="28"/>
      <c r="CG504" s="28"/>
      <c r="CH504" s="28"/>
      <c r="CI504" s="28"/>
      <c r="CJ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c r="BE505" s="28"/>
      <c r="BF505" s="28"/>
      <c r="BG505" s="28"/>
      <c r="BH505" s="28"/>
      <c r="BI505" s="28"/>
      <c r="BJ505" s="28"/>
      <c r="BK505" s="28"/>
      <c r="BL505" s="28"/>
      <c r="BM505" s="28"/>
      <c r="BN505" s="28"/>
      <c r="BO505" s="28"/>
      <c r="BP505" s="28"/>
      <c r="BQ505" s="28"/>
      <c r="BR505" s="28"/>
      <c r="BS505" s="28"/>
      <c r="BT505" s="28"/>
      <c r="BU505" s="28"/>
      <c r="BV505" s="29"/>
      <c r="BW505" s="28"/>
      <c r="BX505" s="28"/>
      <c r="BY505" s="28"/>
      <c r="BZ505" s="28"/>
      <c r="CA505" s="28"/>
      <c r="CB505" s="28"/>
      <c r="CC505" s="28"/>
      <c r="CD505" s="28"/>
      <c r="CE505" s="28"/>
      <c r="CF505" s="28"/>
      <c r="CG505" s="28"/>
      <c r="CH505" s="28"/>
      <c r="CI505" s="28"/>
      <c r="CJ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9"/>
      <c r="BW506" s="28"/>
      <c r="BX506" s="28"/>
      <c r="BY506" s="28"/>
      <c r="BZ506" s="28"/>
      <c r="CA506" s="28"/>
      <c r="CB506" s="28"/>
      <c r="CC506" s="28"/>
      <c r="CD506" s="28"/>
      <c r="CE506" s="28"/>
      <c r="CF506" s="28"/>
      <c r="CG506" s="28"/>
      <c r="CH506" s="28"/>
      <c r="CI506" s="28"/>
      <c r="CJ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c r="BE507" s="28"/>
      <c r="BF507" s="28"/>
      <c r="BG507" s="28"/>
      <c r="BH507" s="28"/>
      <c r="BI507" s="28"/>
      <c r="BJ507" s="28"/>
      <c r="BK507" s="28"/>
      <c r="BL507" s="28"/>
      <c r="BM507" s="28"/>
      <c r="BN507" s="28"/>
      <c r="BO507" s="28"/>
      <c r="BP507" s="28"/>
      <c r="BQ507" s="28"/>
      <c r="BR507" s="28"/>
      <c r="BS507" s="28"/>
      <c r="BT507" s="28"/>
      <c r="BU507" s="28"/>
      <c r="BV507" s="29"/>
      <c r="BW507" s="28"/>
      <c r="BX507" s="28"/>
      <c r="BY507" s="28"/>
      <c r="BZ507" s="28"/>
      <c r="CA507" s="28"/>
      <c r="CB507" s="28"/>
      <c r="CC507" s="28"/>
      <c r="CD507" s="28"/>
      <c r="CE507" s="28"/>
      <c r="CF507" s="28"/>
      <c r="CG507" s="28"/>
      <c r="CH507" s="28"/>
      <c r="CI507" s="28"/>
      <c r="CJ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9"/>
      <c r="BW508" s="28"/>
      <c r="BX508" s="28"/>
      <c r="BY508" s="28"/>
      <c r="BZ508" s="28"/>
      <c r="CA508" s="28"/>
      <c r="CB508" s="28"/>
      <c r="CC508" s="28"/>
      <c r="CD508" s="28"/>
      <c r="CE508" s="28"/>
      <c r="CF508" s="28"/>
      <c r="CG508" s="28"/>
      <c r="CH508" s="28"/>
      <c r="CI508" s="28"/>
      <c r="CJ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9"/>
      <c r="BW509" s="28"/>
      <c r="BX509" s="28"/>
      <c r="BY509" s="28"/>
      <c r="BZ509" s="28"/>
      <c r="CA509" s="28"/>
      <c r="CB509" s="28"/>
      <c r="CC509" s="28"/>
      <c r="CD509" s="28"/>
      <c r="CE509" s="28"/>
      <c r="CF509" s="28"/>
      <c r="CG509" s="28"/>
      <c r="CH509" s="28"/>
      <c r="CI509" s="28"/>
      <c r="CJ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9"/>
      <c r="BW510" s="28"/>
      <c r="BX510" s="28"/>
      <c r="BY510" s="28"/>
      <c r="BZ510" s="28"/>
      <c r="CA510" s="28"/>
      <c r="CB510" s="28"/>
      <c r="CC510" s="28"/>
      <c r="CD510" s="28"/>
      <c r="CE510" s="28"/>
      <c r="CF510" s="28"/>
      <c r="CG510" s="28"/>
      <c r="CH510" s="28"/>
      <c r="CI510" s="28"/>
      <c r="CJ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c r="BE511" s="28"/>
      <c r="BF511" s="28"/>
      <c r="BG511" s="28"/>
      <c r="BH511" s="28"/>
      <c r="BI511" s="28"/>
      <c r="BJ511" s="28"/>
      <c r="BK511" s="28"/>
      <c r="BL511" s="28"/>
      <c r="BM511" s="28"/>
      <c r="BN511" s="28"/>
      <c r="BO511" s="28"/>
      <c r="BP511" s="28"/>
      <c r="BQ511" s="28"/>
      <c r="BR511" s="28"/>
      <c r="BS511" s="28"/>
      <c r="BT511" s="28"/>
      <c r="BU511" s="28"/>
      <c r="BV511" s="29"/>
      <c r="BW511" s="28"/>
      <c r="BX511" s="28"/>
      <c r="BY511" s="28"/>
      <c r="BZ511" s="28"/>
      <c r="CA511" s="28"/>
      <c r="CB511" s="28"/>
      <c r="CC511" s="28"/>
      <c r="CD511" s="28"/>
      <c r="CE511" s="28"/>
      <c r="CF511" s="28"/>
      <c r="CG511" s="28"/>
      <c r="CH511" s="28"/>
      <c r="CI511" s="28"/>
      <c r="CJ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9"/>
      <c r="BW512" s="28"/>
      <c r="BX512" s="28"/>
      <c r="BY512" s="28"/>
      <c r="BZ512" s="28"/>
      <c r="CA512" s="28"/>
      <c r="CB512" s="28"/>
      <c r="CC512" s="28"/>
      <c r="CD512" s="28"/>
      <c r="CE512" s="28"/>
      <c r="CF512" s="28"/>
      <c r="CG512" s="28"/>
      <c r="CH512" s="28"/>
      <c r="CI512" s="28"/>
      <c r="CJ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28"/>
      <c r="BP513" s="28"/>
      <c r="BQ513" s="28"/>
      <c r="BR513" s="28"/>
      <c r="BS513" s="28"/>
      <c r="BT513" s="28"/>
      <c r="BU513" s="28"/>
      <c r="BV513" s="29"/>
      <c r="BW513" s="28"/>
      <c r="BX513" s="28"/>
      <c r="BY513" s="28"/>
      <c r="BZ513" s="28"/>
      <c r="CA513" s="28"/>
      <c r="CB513" s="28"/>
      <c r="CC513" s="28"/>
      <c r="CD513" s="28"/>
      <c r="CE513" s="28"/>
      <c r="CF513" s="28"/>
      <c r="CG513" s="28"/>
      <c r="CH513" s="28"/>
      <c r="CI513" s="28"/>
      <c r="CJ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9"/>
      <c r="BW514" s="28"/>
      <c r="BX514" s="28"/>
      <c r="BY514" s="28"/>
      <c r="BZ514" s="28"/>
      <c r="CA514" s="28"/>
      <c r="CB514" s="28"/>
      <c r="CC514" s="28"/>
      <c r="CD514" s="28"/>
      <c r="CE514" s="28"/>
      <c r="CF514" s="28"/>
      <c r="CG514" s="28"/>
      <c r="CH514" s="28"/>
      <c r="CI514" s="28"/>
      <c r="CJ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c r="BE515" s="28"/>
      <c r="BF515" s="28"/>
      <c r="BG515" s="28"/>
      <c r="BH515" s="28"/>
      <c r="BI515" s="28"/>
      <c r="BJ515" s="28"/>
      <c r="BK515" s="28"/>
      <c r="BL515" s="28"/>
      <c r="BM515" s="28"/>
      <c r="BN515" s="28"/>
      <c r="BO515" s="28"/>
      <c r="BP515" s="28"/>
      <c r="BQ515" s="28"/>
      <c r="BR515" s="28"/>
      <c r="BS515" s="28"/>
      <c r="BT515" s="28"/>
      <c r="BU515" s="28"/>
      <c r="BV515" s="29"/>
      <c r="BW515" s="28"/>
      <c r="BX515" s="28"/>
      <c r="BY515" s="28"/>
      <c r="BZ515" s="28"/>
      <c r="CA515" s="28"/>
      <c r="CB515" s="28"/>
      <c r="CC515" s="28"/>
      <c r="CD515" s="28"/>
      <c r="CE515" s="28"/>
      <c r="CF515" s="28"/>
      <c r="CG515" s="28"/>
      <c r="CH515" s="28"/>
      <c r="CI515" s="28"/>
      <c r="CJ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9"/>
      <c r="BW516" s="28"/>
      <c r="BX516" s="28"/>
      <c r="BY516" s="28"/>
      <c r="BZ516" s="28"/>
      <c r="CA516" s="28"/>
      <c r="CB516" s="28"/>
      <c r="CC516" s="28"/>
      <c r="CD516" s="28"/>
      <c r="CE516" s="28"/>
      <c r="CF516" s="28"/>
      <c r="CG516" s="28"/>
      <c r="CH516" s="28"/>
      <c r="CI516" s="28"/>
      <c r="CJ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c r="BE517" s="28"/>
      <c r="BF517" s="28"/>
      <c r="BG517" s="28"/>
      <c r="BH517" s="28"/>
      <c r="BI517" s="28"/>
      <c r="BJ517" s="28"/>
      <c r="BK517" s="28"/>
      <c r="BL517" s="28"/>
      <c r="BM517" s="28"/>
      <c r="BN517" s="28"/>
      <c r="BO517" s="28"/>
      <c r="BP517" s="28"/>
      <c r="BQ517" s="28"/>
      <c r="BR517" s="28"/>
      <c r="BS517" s="28"/>
      <c r="BT517" s="28"/>
      <c r="BU517" s="28"/>
      <c r="BV517" s="29"/>
      <c r="BW517" s="28"/>
      <c r="BX517" s="28"/>
      <c r="BY517" s="28"/>
      <c r="BZ517" s="28"/>
      <c r="CA517" s="28"/>
      <c r="CB517" s="28"/>
      <c r="CC517" s="28"/>
      <c r="CD517" s="28"/>
      <c r="CE517" s="28"/>
      <c r="CF517" s="28"/>
      <c r="CG517" s="28"/>
      <c r="CH517" s="28"/>
      <c r="CI517" s="28"/>
      <c r="CJ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9"/>
      <c r="BW518" s="28"/>
      <c r="BX518" s="28"/>
      <c r="BY518" s="28"/>
      <c r="BZ518" s="28"/>
      <c r="CA518" s="28"/>
      <c r="CB518" s="28"/>
      <c r="CC518" s="28"/>
      <c r="CD518" s="28"/>
      <c r="CE518" s="28"/>
      <c r="CF518" s="28"/>
      <c r="CG518" s="28"/>
      <c r="CH518" s="28"/>
      <c r="CI518" s="28"/>
      <c r="CJ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c r="BE519" s="28"/>
      <c r="BF519" s="28"/>
      <c r="BG519" s="28"/>
      <c r="BH519" s="28"/>
      <c r="BI519" s="28"/>
      <c r="BJ519" s="28"/>
      <c r="BK519" s="28"/>
      <c r="BL519" s="28"/>
      <c r="BM519" s="28"/>
      <c r="BN519" s="28"/>
      <c r="BO519" s="28"/>
      <c r="BP519" s="28"/>
      <c r="BQ519" s="28"/>
      <c r="BR519" s="28"/>
      <c r="BS519" s="28"/>
      <c r="BT519" s="28"/>
      <c r="BU519" s="28"/>
      <c r="BV519" s="29"/>
      <c r="BW519" s="28"/>
      <c r="BX519" s="28"/>
      <c r="BY519" s="28"/>
      <c r="BZ519" s="28"/>
      <c r="CA519" s="28"/>
      <c r="CB519" s="28"/>
      <c r="CC519" s="28"/>
      <c r="CD519" s="28"/>
      <c r="CE519" s="28"/>
      <c r="CF519" s="28"/>
      <c r="CG519" s="28"/>
      <c r="CH519" s="28"/>
      <c r="CI519" s="28"/>
      <c r="CJ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9"/>
      <c r="BW520" s="28"/>
      <c r="BX520" s="28"/>
      <c r="BY520" s="28"/>
      <c r="BZ520" s="28"/>
      <c r="CA520" s="28"/>
      <c r="CB520" s="28"/>
      <c r="CC520" s="28"/>
      <c r="CD520" s="28"/>
      <c r="CE520" s="28"/>
      <c r="CF520" s="28"/>
      <c r="CG520" s="28"/>
      <c r="CH520" s="28"/>
      <c r="CI520" s="28"/>
      <c r="CJ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c r="BE521" s="28"/>
      <c r="BF521" s="28"/>
      <c r="BG521" s="28"/>
      <c r="BH521" s="28"/>
      <c r="BI521" s="28"/>
      <c r="BJ521" s="28"/>
      <c r="BK521" s="28"/>
      <c r="BL521" s="28"/>
      <c r="BM521" s="28"/>
      <c r="BN521" s="28"/>
      <c r="BO521" s="28"/>
      <c r="BP521" s="28"/>
      <c r="BQ521" s="28"/>
      <c r="BR521" s="28"/>
      <c r="BS521" s="28"/>
      <c r="BT521" s="28"/>
      <c r="BU521" s="28"/>
      <c r="BV521" s="29"/>
      <c r="BW521" s="28"/>
      <c r="BX521" s="28"/>
      <c r="BY521" s="28"/>
      <c r="BZ521" s="28"/>
      <c r="CA521" s="28"/>
      <c r="CB521" s="28"/>
      <c r="CC521" s="28"/>
      <c r="CD521" s="28"/>
      <c r="CE521" s="28"/>
      <c r="CF521" s="28"/>
      <c r="CG521" s="28"/>
      <c r="CH521" s="28"/>
      <c r="CI521" s="28"/>
      <c r="CJ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9"/>
      <c r="BW522" s="28"/>
      <c r="BX522" s="28"/>
      <c r="BY522" s="28"/>
      <c r="BZ522" s="28"/>
      <c r="CA522" s="28"/>
      <c r="CB522" s="28"/>
      <c r="CC522" s="28"/>
      <c r="CD522" s="28"/>
      <c r="CE522" s="28"/>
      <c r="CF522" s="28"/>
      <c r="CG522" s="28"/>
      <c r="CH522" s="28"/>
      <c r="CI522" s="28"/>
      <c r="CJ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c r="BE523" s="28"/>
      <c r="BF523" s="28"/>
      <c r="BG523" s="28"/>
      <c r="BH523" s="28"/>
      <c r="BI523" s="28"/>
      <c r="BJ523" s="28"/>
      <c r="BK523" s="28"/>
      <c r="BL523" s="28"/>
      <c r="BM523" s="28"/>
      <c r="BN523" s="28"/>
      <c r="BO523" s="28"/>
      <c r="BP523" s="28"/>
      <c r="BQ523" s="28"/>
      <c r="BR523" s="28"/>
      <c r="BS523" s="28"/>
      <c r="BT523" s="28"/>
      <c r="BU523" s="28"/>
      <c r="BV523" s="29"/>
      <c r="BW523" s="28"/>
      <c r="BX523" s="28"/>
      <c r="BY523" s="28"/>
      <c r="BZ523" s="28"/>
      <c r="CA523" s="28"/>
      <c r="CB523" s="28"/>
      <c r="CC523" s="28"/>
      <c r="CD523" s="28"/>
      <c r="CE523" s="28"/>
      <c r="CF523" s="28"/>
      <c r="CG523" s="28"/>
      <c r="CH523" s="28"/>
      <c r="CI523" s="28"/>
      <c r="CJ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9"/>
      <c r="BW524" s="28"/>
      <c r="BX524" s="28"/>
      <c r="BY524" s="28"/>
      <c r="BZ524" s="28"/>
      <c r="CA524" s="28"/>
      <c r="CB524" s="28"/>
      <c r="CC524" s="28"/>
      <c r="CD524" s="28"/>
      <c r="CE524" s="28"/>
      <c r="CF524" s="28"/>
      <c r="CG524" s="28"/>
      <c r="CH524" s="28"/>
      <c r="CI524" s="28"/>
      <c r="CJ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c r="BE525" s="28"/>
      <c r="BF525" s="28"/>
      <c r="BG525" s="28"/>
      <c r="BH525" s="28"/>
      <c r="BI525" s="28"/>
      <c r="BJ525" s="28"/>
      <c r="BK525" s="28"/>
      <c r="BL525" s="28"/>
      <c r="BM525" s="28"/>
      <c r="BN525" s="28"/>
      <c r="BO525" s="28"/>
      <c r="BP525" s="28"/>
      <c r="BQ525" s="28"/>
      <c r="BR525" s="28"/>
      <c r="BS525" s="28"/>
      <c r="BT525" s="28"/>
      <c r="BU525" s="28"/>
      <c r="BV525" s="29"/>
      <c r="BW525" s="28"/>
      <c r="BX525" s="28"/>
      <c r="BY525" s="28"/>
      <c r="BZ525" s="28"/>
      <c r="CA525" s="28"/>
      <c r="CB525" s="28"/>
      <c r="CC525" s="28"/>
      <c r="CD525" s="28"/>
      <c r="CE525" s="28"/>
      <c r="CF525" s="28"/>
      <c r="CG525" s="28"/>
      <c r="CH525" s="28"/>
      <c r="CI525" s="28"/>
      <c r="CJ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9"/>
      <c r="BW526" s="28"/>
      <c r="BX526" s="28"/>
      <c r="BY526" s="28"/>
      <c r="BZ526" s="28"/>
      <c r="CA526" s="28"/>
      <c r="CB526" s="28"/>
      <c r="CC526" s="28"/>
      <c r="CD526" s="28"/>
      <c r="CE526" s="28"/>
      <c r="CF526" s="28"/>
      <c r="CG526" s="28"/>
      <c r="CH526" s="28"/>
      <c r="CI526" s="28"/>
      <c r="CJ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c r="BE527" s="28"/>
      <c r="BF527" s="28"/>
      <c r="BG527" s="28"/>
      <c r="BH527" s="28"/>
      <c r="BI527" s="28"/>
      <c r="BJ527" s="28"/>
      <c r="BK527" s="28"/>
      <c r="BL527" s="28"/>
      <c r="BM527" s="28"/>
      <c r="BN527" s="28"/>
      <c r="BO527" s="28"/>
      <c r="BP527" s="28"/>
      <c r="BQ527" s="28"/>
      <c r="BR527" s="28"/>
      <c r="BS527" s="28"/>
      <c r="BT527" s="28"/>
      <c r="BU527" s="28"/>
      <c r="BV527" s="29"/>
      <c r="BW527" s="28"/>
      <c r="BX527" s="28"/>
      <c r="BY527" s="28"/>
      <c r="BZ527" s="28"/>
      <c r="CA527" s="28"/>
      <c r="CB527" s="28"/>
      <c r="CC527" s="28"/>
      <c r="CD527" s="28"/>
      <c r="CE527" s="28"/>
      <c r="CF527" s="28"/>
      <c r="CG527" s="28"/>
      <c r="CH527" s="28"/>
      <c r="CI527" s="28"/>
      <c r="CJ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9"/>
      <c r="BW528" s="28"/>
      <c r="BX528" s="28"/>
      <c r="BY528" s="28"/>
      <c r="BZ528" s="28"/>
      <c r="CA528" s="28"/>
      <c r="CB528" s="28"/>
      <c r="CC528" s="28"/>
      <c r="CD528" s="28"/>
      <c r="CE528" s="28"/>
      <c r="CF528" s="28"/>
      <c r="CG528" s="28"/>
      <c r="CH528" s="28"/>
      <c r="CI528" s="28"/>
      <c r="CJ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c r="BE529" s="28"/>
      <c r="BF529" s="28"/>
      <c r="BG529" s="28"/>
      <c r="BH529" s="28"/>
      <c r="BI529" s="28"/>
      <c r="BJ529" s="28"/>
      <c r="BK529" s="28"/>
      <c r="BL529" s="28"/>
      <c r="BM529" s="28"/>
      <c r="BN529" s="28"/>
      <c r="BO529" s="28"/>
      <c r="BP529" s="28"/>
      <c r="BQ529" s="28"/>
      <c r="BR529" s="28"/>
      <c r="BS529" s="28"/>
      <c r="BT529" s="28"/>
      <c r="BU529" s="28"/>
      <c r="BV529" s="29"/>
      <c r="BW529" s="28"/>
      <c r="BX529" s="28"/>
      <c r="BY529" s="28"/>
      <c r="BZ529" s="28"/>
      <c r="CA529" s="28"/>
      <c r="CB529" s="28"/>
      <c r="CC529" s="28"/>
      <c r="CD529" s="28"/>
      <c r="CE529" s="28"/>
      <c r="CF529" s="28"/>
      <c r="CG529" s="28"/>
      <c r="CH529" s="28"/>
      <c r="CI529" s="28"/>
      <c r="CJ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9"/>
      <c r="BW530" s="28"/>
      <c r="BX530" s="28"/>
      <c r="BY530" s="28"/>
      <c r="BZ530" s="28"/>
      <c r="CA530" s="28"/>
      <c r="CB530" s="28"/>
      <c r="CC530" s="28"/>
      <c r="CD530" s="28"/>
      <c r="CE530" s="28"/>
      <c r="CF530" s="28"/>
      <c r="CG530" s="28"/>
      <c r="CH530" s="28"/>
      <c r="CI530" s="28"/>
      <c r="CJ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c r="BE531" s="28"/>
      <c r="BF531" s="28"/>
      <c r="BG531" s="28"/>
      <c r="BH531" s="28"/>
      <c r="BI531" s="28"/>
      <c r="BJ531" s="28"/>
      <c r="BK531" s="28"/>
      <c r="BL531" s="28"/>
      <c r="BM531" s="28"/>
      <c r="BN531" s="28"/>
      <c r="BO531" s="28"/>
      <c r="BP531" s="28"/>
      <c r="BQ531" s="28"/>
      <c r="BR531" s="28"/>
      <c r="BS531" s="28"/>
      <c r="BT531" s="28"/>
      <c r="BU531" s="28"/>
      <c r="BV531" s="29"/>
      <c r="BW531" s="28"/>
      <c r="BX531" s="28"/>
      <c r="BY531" s="28"/>
      <c r="BZ531" s="28"/>
      <c r="CA531" s="28"/>
      <c r="CB531" s="28"/>
      <c r="CC531" s="28"/>
      <c r="CD531" s="28"/>
      <c r="CE531" s="28"/>
      <c r="CF531" s="28"/>
      <c r="CG531" s="28"/>
      <c r="CH531" s="28"/>
      <c r="CI531" s="28"/>
      <c r="CJ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9"/>
      <c r="BW532" s="28"/>
      <c r="BX532" s="28"/>
      <c r="BY532" s="28"/>
      <c r="BZ532" s="28"/>
      <c r="CA532" s="28"/>
      <c r="CB532" s="28"/>
      <c r="CC532" s="28"/>
      <c r="CD532" s="28"/>
      <c r="CE532" s="28"/>
      <c r="CF532" s="28"/>
      <c r="CG532" s="28"/>
      <c r="CH532" s="28"/>
      <c r="CI532" s="28"/>
      <c r="CJ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9"/>
      <c r="BW533" s="28"/>
      <c r="BX533" s="28"/>
      <c r="BY533" s="28"/>
      <c r="BZ533" s="28"/>
      <c r="CA533" s="28"/>
      <c r="CB533" s="28"/>
      <c r="CC533" s="28"/>
      <c r="CD533" s="28"/>
      <c r="CE533" s="28"/>
      <c r="CF533" s="28"/>
      <c r="CG533" s="28"/>
      <c r="CH533" s="28"/>
      <c r="CI533" s="28"/>
      <c r="CJ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9"/>
      <c r="BW534" s="28"/>
      <c r="BX534" s="28"/>
      <c r="BY534" s="28"/>
      <c r="BZ534" s="28"/>
      <c r="CA534" s="28"/>
      <c r="CB534" s="28"/>
      <c r="CC534" s="28"/>
      <c r="CD534" s="28"/>
      <c r="CE534" s="28"/>
      <c r="CF534" s="28"/>
      <c r="CG534" s="28"/>
      <c r="CH534" s="28"/>
      <c r="CI534" s="28"/>
      <c r="CJ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c r="BE535" s="28"/>
      <c r="BF535" s="28"/>
      <c r="BG535" s="28"/>
      <c r="BH535" s="28"/>
      <c r="BI535" s="28"/>
      <c r="BJ535" s="28"/>
      <c r="BK535" s="28"/>
      <c r="BL535" s="28"/>
      <c r="BM535" s="28"/>
      <c r="BN535" s="28"/>
      <c r="BO535" s="28"/>
      <c r="BP535" s="28"/>
      <c r="BQ535" s="28"/>
      <c r="BR535" s="28"/>
      <c r="BS535" s="28"/>
      <c r="BT535" s="28"/>
      <c r="BU535" s="28"/>
      <c r="BV535" s="29"/>
      <c r="BW535" s="28"/>
      <c r="BX535" s="28"/>
      <c r="BY535" s="28"/>
      <c r="BZ535" s="28"/>
      <c r="CA535" s="28"/>
      <c r="CB535" s="28"/>
      <c r="CC535" s="28"/>
      <c r="CD535" s="28"/>
      <c r="CE535" s="28"/>
      <c r="CF535" s="28"/>
      <c r="CG535" s="28"/>
      <c r="CH535" s="28"/>
      <c r="CI535" s="28"/>
      <c r="CJ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9"/>
      <c r="BW536" s="28"/>
      <c r="BX536" s="28"/>
      <c r="BY536" s="28"/>
      <c r="BZ536" s="28"/>
      <c r="CA536" s="28"/>
      <c r="CB536" s="28"/>
      <c r="CC536" s="28"/>
      <c r="CD536" s="28"/>
      <c r="CE536" s="28"/>
      <c r="CF536" s="28"/>
      <c r="CG536" s="28"/>
      <c r="CH536" s="28"/>
      <c r="CI536" s="28"/>
      <c r="CJ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c r="BE537" s="28"/>
      <c r="BF537" s="28"/>
      <c r="BG537" s="28"/>
      <c r="BH537" s="28"/>
      <c r="BI537" s="28"/>
      <c r="BJ537" s="28"/>
      <c r="BK537" s="28"/>
      <c r="BL537" s="28"/>
      <c r="BM537" s="28"/>
      <c r="BN537" s="28"/>
      <c r="BO537" s="28"/>
      <c r="BP537" s="28"/>
      <c r="BQ537" s="28"/>
      <c r="BR537" s="28"/>
      <c r="BS537" s="28"/>
      <c r="BT537" s="28"/>
      <c r="BU537" s="28"/>
      <c r="BV537" s="29"/>
      <c r="BW537" s="28"/>
      <c r="BX537" s="28"/>
      <c r="BY537" s="28"/>
      <c r="BZ537" s="28"/>
      <c r="CA537" s="28"/>
      <c r="CB537" s="28"/>
      <c r="CC537" s="28"/>
      <c r="CD537" s="28"/>
      <c r="CE537" s="28"/>
      <c r="CF537" s="28"/>
      <c r="CG537" s="28"/>
      <c r="CH537" s="28"/>
      <c r="CI537" s="28"/>
      <c r="CJ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9"/>
      <c r="BW538" s="28"/>
      <c r="BX538" s="28"/>
      <c r="BY538" s="28"/>
      <c r="BZ538" s="28"/>
      <c r="CA538" s="28"/>
      <c r="CB538" s="28"/>
      <c r="CC538" s="28"/>
      <c r="CD538" s="28"/>
      <c r="CE538" s="28"/>
      <c r="CF538" s="28"/>
      <c r="CG538" s="28"/>
      <c r="CH538" s="28"/>
      <c r="CI538" s="28"/>
      <c r="CJ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c r="BE539" s="28"/>
      <c r="BF539" s="28"/>
      <c r="BG539" s="28"/>
      <c r="BH539" s="28"/>
      <c r="BI539" s="28"/>
      <c r="BJ539" s="28"/>
      <c r="BK539" s="28"/>
      <c r="BL539" s="28"/>
      <c r="BM539" s="28"/>
      <c r="BN539" s="28"/>
      <c r="BO539" s="28"/>
      <c r="BP539" s="28"/>
      <c r="BQ539" s="28"/>
      <c r="BR539" s="28"/>
      <c r="BS539" s="28"/>
      <c r="BT539" s="28"/>
      <c r="BU539" s="28"/>
      <c r="BV539" s="29"/>
      <c r="BW539" s="28"/>
      <c r="BX539" s="28"/>
      <c r="BY539" s="28"/>
      <c r="BZ539" s="28"/>
      <c r="CA539" s="28"/>
      <c r="CB539" s="28"/>
      <c r="CC539" s="28"/>
      <c r="CD539" s="28"/>
      <c r="CE539" s="28"/>
      <c r="CF539" s="28"/>
      <c r="CG539" s="28"/>
      <c r="CH539" s="28"/>
      <c r="CI539" s="28"/>
      <c r="CJ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9"/>
      <c r="BW540" s="28"/>
      <c r="BX540" s="28"/>
      <c r="BY540" s="28"/>
      <c r="BZ540" s="28"/>
      <c r="CA540" s="28"/>
      <c r="CB540" s="28"/>
      <c r="CC540" s="28"/>
      <c r="CD540" s="28"/>
      <c r="CE540" s="28"/>
      <c r="CF540" s="28"/>
      <c r="CG540" s="28"/>
      <c r="CH540" s="28"/>
      <c r="CI540" s="28"/>
      <c r="CJ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c r="BE541" s="28"/>
      <c r="BF541" s="28"/>
      <c r="BG541" s="28"/>
      <c r="BH541" s="28"/>
      <c r="BI541" s="28"/>
      <c r="BJ541" s="28"/>
      <c r="BK541" s="28"/>
      <c r="BL541" s="28"/>
      <c r="BM541" s="28"/>
      <c r="BN541" s="28"/>
      <c r="BO541" s="28"/>
      <c r="BP541" s="28"/>
      <c r="BQ541" s="28"/>
      <c r="BR541" s="28"/>
      <c r="BS541" s="28"/>
      <c r="BT541" s="28"/>
      <c r="BU541" s="28"/>
      <c r="BV541" s="29"/>
      <c r="BW541" s="28"/>
      <c r="BX541" s="28"/>
      <c r="BY541" s="28"/>
      <c r="BZ541" s="28"/>
      <c r="CA541" s="28"/>
      <c r="CB541" s="28"/>
      <c r="CC541" s="28"/>
      <c r="CD541" s="28"/>
      <c r="CE541" s="28"/>
      <c r="CF541" s="28"/>
      <c r="CG541" s="28"/>
      <c r="CH541" s="28"/>
      <c r="CI541" s="28"/>
      <c r="CJ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9"/>
      <c r="BW542" s="28"/>
      <c r="BX542" s="28"/>
      <c r="BY542" s="28"/>
      <c r="BZ542" s="28"/>
      <c r="CA542" s="28"/>
      <c r="CB542" s="28"/>
      <c r="CC542" s="28"/>
      <c r="CD542" s="28"/>
      <c r="CE542" s="28"/>
      <c r="CF542" s="28"/>
      <c r="CG542" s="28"/>
      <c r="CH542" s="28"/>
      <c r="CI542" s="28"/>
      <c r="CJ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c r="BE543" s="28"/>
      <c r="BF543" s="28"/>
      <c r="BG543" s="28"/>
      <c r="BH543" s="28"/>
      <c r="BI543" s="28"/>
      <c r="BJ543" s="28"/>
      <c r="BK543" s="28"/>
      <c r="BL543" s="28"/>
      <c r="BM543" s="28"/>
      <c r="BN543" s="28"/>
      <c r="BO543" s="28"/>
      <c r="BP543" s="28"/>
      <c r="BQ543" s="28"/>
      <c r="BR543" s="28"/>
      <c r="BS543" s="28"/>
      <c r="BT543" s="28"/>
      <c r="BU543" s="28"/>
      <c r="BV543" s="29"/>
      <c r="BW543" s="28"/>
      <c r="BX543" s="28"/>
      <c r="BY543" s="28"/>
      <c r="BZ543" s="28"/>
      <c r="CA543" s="28"/>
      <c r="CB543" s="28"/>
      <c r="CC543" s="28"/>
      <c r="CD543" s="28"/>
      <c r="CE543" s="28"/>
      <c r="CF543" s="28"/>
      <c r="CG543" s="28"/>
      <c r="CH543" s="28"/>
      <c r="CI543" s="28"/>
      <c r="CJ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9"/>
      <c r="BW544" s="28"/>
      <c r="BX544" s="28"/>
      <c r="BY544" s="28"/>
      <c r="BZ544" s="28"/>
      <c r="CA544" s="28"/>
      <c r="CB544" s="28"/>
      <c r="CC544" s="28"/>
      <c r="CD544" s="28"/>
      <c r="CE544" s="28"/>
      <c r="CF544" s="28"/>
      <c r="CG544" s="28"/>
      <c r="CH544" s="28"/>
      <c r="CI544" s="28"/>
      <c r="CJ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c r="BE545" s="28"/>
      <c r="BF545" s="28"/>
      <c r="BG545" s="28"/>
      <c r="BH545" s="28"/>
      <c r="BI545" s="28"/>
      <c r="BJ545" s="28"/>
      <c r="BK545" s="28"/>
      <c r="BL545" s="28"/>
      <c r="BM545" s="28"/>
      <c r="BN545" s="28"/>
      <c r="BO545" s="28"/>
      <c r="BP545" s="28"/>
      <c r="BQ545" s="28"/>
      <c r="BR545" s="28"/>
      <c r="BS545" s="28"/>
      <c r="BT545" s="28"/>
      <c r="BU545" s="28"/>
      <c r="BV545" s="29"/>
      <c r="BW545" s="28"/>
      <c r="BX545" s="28"/>
      <c r="BY545" s="28"/>
      <c r="BZ545" s="28"/>
      <c r="CA545" s="28"/>
      <c r="CB545" s="28"/>
      <c r="CC545" s="28"/>
      <c r="CD545" s="28"/>
      <c r="CE545" s="28"/>
      <c r="CF545" s="28"/>
      <c r="CG545" s="28"/>
      <c r="CH545" s="28"/>
      <c r="CI545" s="28"/>
      <c r="CJ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9"/>
      <c r="BW546" s="28"/>
      <c r="BX546" s="28"/>
      <c r="BY546" s="28"/>
      <c r="BZ546" s="28"/>
      <c r="CA546" s="28"/>
      <c r="CB546" s="28"/>
      <c r="CC546" s="28"/>
      <c r="CD546" s="28"/>
      <c r="CE546" s="28"/>
      <c r="CF546" s="28"/>
      <c r="CG546" s="28"/>
      <c r="CH546" s="28"/>
      <c r="CI546" s="28"/>
      <c r="CJ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c r="BE547" s="28"/>
      <c r="BF547" s="28"/>
      <c r="BG547" s="28"/>
      <c r="BH547" s="28"/>
      <c r="BI547" s="28"/>
      <c r="BJ547" s="28"/>
      <c r="BK547" s="28"/>
      <c r="BL547" s="28"/>
      <c r="BM547" s="28"/>
      <c r="BN547" s="28"/>
      <c r="BO547" s="28"/>
      <c r="BP547" s="28"/>
      <c r="BQ547" s="28"/>
      <c r="BR547" s="28"/>
      <c r="BS547" s="28"/>
      <c r="BT547" s="28"/>
      <c r="BU547" s="28"/>
      <c r="BV547" s="29"/>
      <c r="BW547" s="28"/>
      <c r="BX547" s="28"/>
      <c r="BY547" s="28"/>
      <c r="BZ547" s="28"/>
      <c r="CA547" s="28"/>
      <c r="CB547" s="28"/>
      <c r="CC547" s="28"/>
      <c r="CD547" s="28"/>
      <c r="CE547" s="28"/>
      <c r="CF547" s="28"/>
      <c r="CG547" s="28"/>
      <c r="CH547" s="28"/>
      <c r="CI547" s="28"/>
      <c r="CJ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9"/>
      <c r="BW548" s="28"/>
      <c r="BX548" s="28"/>
      <c r="BY548" s="28"/>
      <c r="BZ548" s="28"/>
      <c r="CA548" s="28"/>
      <c r="CB548" s="28"/>
      <c r="CC548" s="28"/>
      <c r="CD548" s="28"/>
      <c r="CE548" s="28"/>
      <c r="CF548" s="28"/>
      <c r="CG548" s="28"/>
      <c r="CH548" s="28"/>
      <c r="CI548" s="28"/>
      <c r="CJ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c r="BE549" s="28"/>
      <c r="BF549" s="28"/>
      <c r="BG549" s="28"/>
      <c r="BH549" s="28"/>
      <c r="BI549" s="28"/>
      <c r="BJ549" s="28"/>
      <c r="BK549" s="28"/>
      <c r="BL549" s="28"/>
      <c r="BM549" s="28"/>
      <c r="BN549" s="28"/>
      <c r="BO549" s="28"/>
      <c r="BP549" s="28"/>
      <c r="BQ549" s="28"/>
      <c r="BR549" s="28"/>
      <c r="BS549" s="28"/>
      <c r="BT549" s="28"/>
      <c r="BU549" s="28"/>
      <c r="BV549" s="29"/>
      <c r="BW549" s="28"/>
      <c r="BX549" s="28"/>
      <c r="BY549" s="28"/>
      <c r="BZ549" s="28"/>
      <c r="CA549" s="28"/>
      <c r="CB549" s="28"/>
      <c r="CC549" s="28"/>
      <c r="CD549" s="28"/>
      <c r="CE549" s="28"/>
      <c r="CF549" s="28"/>
      <c r="CG549" s="28"/>
      <c r="CH549" s="28"/>
      <c r="CI549" s="28"/>
      <c r="CJ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9"/>
      <c r="BW550" s="28"/>
      <c r="BX550" s="28"/>
      <c r="BY550" s="28"/>
      <c r="BZ550" s="28"/>
      <c r="CA550" s="28"/>
      <c r="CB550" s="28"/>
      <c r="CC550" s="28"/>
      <c r="CD550" s="28"/>
      <c r="CE550" s="28"/>
      <c r="CF550" s="28"/>
      <c r="CG550" s="28"/>
      <c r="CH550" s="28"/>
      <c r="CI550" s="28"/>
      <c r="CJ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28"/>
      <c r="BP551" s="28"/>
      <c r="BQ551" s="28"/>
      <c r="BR551" s="28"/>
      <c r="BS551" s="28"/>
      <c r="BT551" s="28"/>
      <c r="BU551" s="28"/>
      <c r="BV551" s="29"/>
      <c r="BW551" s="28"/>
      <c r="BX551" s="28"/>
      <c r="BY551" s="28"/>
      <c r="BZ551" s="28"/>
      <c r="CA551" s="28"/>
      <c r="CB551" s="28"/>
      <c r="CC551" s="28"/>
      <c r="CD551" s="28"/>
      <c r="CE551" s="28"/>
      <c r="CF551" s="28"/>
      <c r="CG551" s="28"/>
      <c r="CH551" s="28"/>
      <c r="CI551" s="28"/>
      <c r="CJ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9"/>
      <c r="BW552" s="28"/>
      <c r="BX552" s="28"/>
      <c r="BY552" s="28"/>
      <c r="BZ552" s="28"/>
      <c r="CA552" s="28"/>
      <c r="CB552" s="28"/>
      <c r="CC552" s="28"/>
      <c r="CD552" s="28"/>
      <c r="CE552" s="28"/>
      <c r="CF552" s="28"/>
      <c r="CG552" s="28"/>
      <c r="CH552" s="28"/>
      <c r="CI552" s="28"/>
      <c r="CJ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c r="BE553" s="28"/>
      <c r="BF553" s="28"/>
      <c r="BG553" s="28"/>
      <c r="BH553" s="28"/>
      <c r="BI553" s="28"/>
      <c r="BJ553" s="28"/>
      <c r="BK553" s="28"/>
      <c r="BL553" s="28"/>
      <c r="BM553" s="28"/>
      <c r="BN553" s="28"/>
      <c r="BO553" s="28"/>
      <c r="BP553" s="28"/>
      <c r="BQ553" s="28"/>
      <c r="BR553" s="28"/>
      <c r="BS553" s="28"/>
      <c r="BT553" s="28"/>
      <c r="BU553" s="28"/>
      <c r="BV553" s="29"/>
      <c r="BW553" s="28"/>
      <c r="BX553" s="28"/>
      <c r="BY553" s="28"/>
      <c r="BZ553" s="28"/>
      <c r="CA553" s="28"/>
      <c r="CB553" s="28"/>
      <c r="CC553" s="28"/>
      <c r="CD553" s="28"/>
      <c r="CE553" s="28"/>
      <c r="CF553" s="28"/>
      <c r="CG553" s="28"/>
      <c r="CH553" s="28"/>
      <c r="CI553" s="28"/>
      <c r="CJ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9"/>
      <c r="BW554" s="28"/>
      <c r="BX554" s="28"/>
      <c r="BY554" s="28"/>
      <c r="BZ554" s="28"/>
      <c r="CA554" s="28"/>
      <c r="CB554" s="28"/>
      <c r="CC554" s="28"/>
      <c r="CD554" s="28"/>
      <c r="CE554" s="28"/>
      <c r="CF554" s="28"/>
      <c r="CG554" s="28"/>
      <c r="CH554" s="28"/>
      <c r="CI554" s="28"/>
      <c r="CJ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c r="BE555" s="28"/>
      <c r="BF555" s="28"/>
      <c r="BG555" s="28"/>
      <c r="BH555" s="28"/>
      <c r="BI555" s="28"/>
      <c r="BJ555" s="28"/>
      <c r="BK555" s="28"/>
      <c r="BL555" s="28"/>
      <c r="BM555" s="28"/>
      <c r="BN555" s="28"/>
      <c r="BO555" s="28"/>
      <c r="BP555" s="28"/>
      <c r="BQ555" s="28"/>
      <c r="BR555" s="28"/>
      <c r="BS555" s="28"/>
      <c r="BT555" s="28"/>
      <c r="BU555" s="28"/>
      <c r="BV555" s="29"/>
      <c r="BW555" s="28"/>
      <c r="BX555" s="28"/>
      <c r="BY555" s="28"/>
      <c r="BZ555" s="28"/>
      <c r="CA555" s="28"/>
      <c r="CB555" s="28"/>
      <c r="CC555" s="28"/>
      <c r="CD555" s="28"/>
      <c r="CE555" s="28"/>
      <c r="CF555" s="28"/>
      <c r="CG555" s="28"/>
      <c r="CH555" s="28"/>
      <c r="CI555" s="28"/>
      <c r="CJ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9"/>
      <c r="BW556" s="28"/>
      <c r="BX556" s="28"/>
      <c r="BY556" s="28"/>
      <c r="BZ556" s="28"/>
      <c r="CA556" s="28"/>
      <c r="CB556" s="28"/>
      <c r="CC556" s="28"/>
      <c r="CD556" s="28"/>
      <c r="CE556" s="28"/>
      <c r="CF556" s="28"/>
      <c r="CG556" s="28"/>
      <c r="CH556" s="28"/>
      <c r="CI556" s="28"/>
      <c r="CJ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c r="BE557" s="28"/>
      <c r="BF557" s="28"/>
      <c r="BG557" s="28"/>
      <c r="BH557" s="28"/>
      <c r="BI557" s="28"/>
      <c r="BJ557" s="28"/>
      <c r="BK557" s="28"/>
      <c r="BL557" s="28"/>
      <c r="BM557" s="28"/>
      <c r="BN557" s="28"/>
      <c r="BO557" s="28"/>
      <c r="BP557" s="28"/>
      <c r="BQ557" s="28"/>
      <c r="BR557" s="28"/>
      <c r="BS557" s="28"/>
      <c r="BT557" s="28"/>
      <c r="BU557" s="28"/>
      <c r="BV557" s="29"/>
      <c r="BW557" s="28"/>
      <c r="BX557" s="28"/>
      <c r="BY557" s="28"/>
      <c r="BZ557" s="28"/>
      <c r="CA557" s="28"/>
      <c r="CB557" s="28"/>
      <c r="CC557" s="28"/>
      <c r="CD557" s="28"/>
      <c r="CE557" s="28"/>
      <c r="CF557" s="28"/>
      <c r="CG557" s="28"/>
      <c r="CH557" s="28"/>
      <c r="CI557" s="28"/>
      <c r="CJ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9"/>
      <c r="BW558" s="28"/>
      <c r="BX558" s="28"/>
      <c r="BY558" s="28"/>
      <c r="BZ558" s="28"/>
      <c r="CA558" s="28"/>
      <c r="CB558" s="28"/>
      <c r="CC558" s="28"/>
      <c r="CD558" s="28"/>
      <c r="CE558" s="28"/>
      <c r="CF558" s="28"/>
      <c r="CG558" s="28"/>
      <c r="CH558" s="28"/>
      <c r="CI558" s="28"/>
      <c r="CJ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28"/>
      <c r="BP559" s="28"/>
      <c r="BQ559" s="28"/>
      <c r="BR559" s="28"/>
      <c r="BS559" s="28"/>
      <c r="BT559" s="28"/>
      <c r="BU559" s="28"/>
      <c r="BV559" s="29"/>
      <c r="BW559" s="28"/>
      <c r="BX559" s="28"/>
      <c r="BY559" s="28"/>
      <c r="BZ559" s="28"/>
      <c r="CA559" s="28"/>
      <c r="CB559" s="28"/>
      <c r="CC559" s="28"/>
      <c r="CD559" s="28"/>
      <c r="CE559" s="28"/>
      <c r="CF559" s="28"/>
      <c r="CG559" s="28"/>
      <c r="CH559" s="28"/>
      <c r="CI559" s="28"/>
      <c r="CJ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9"/>
      <c r="BW560" s="28"/>
      <c r="BX560" s="28"/>
      <c r="BY560" s="28"/>
      <c r="BZ560" s="28"/>
      <c r="CA560" s="28"/>
      <c r="CB560" s="28"/>
      <c r="CC560" s="28"/>
      <c r="CD560" s="28"/>
      <c r="CE560" s="28"/>
      <c r="CF560" s="28"/>
      <c r="CG560" s="28"/>
      <c r="CH560" s="28"/>
      <c r="CI560" s="28"/>
      <c r="CJ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c r="BE561" s="28"/>
      <c r="BF561" s="28"/>
      <c r="BG561" s="28"/>
      <c r="BH561" s="28"/>
      <c r="BI561" s="28"/>
      <c r="BJ561" s="28"/>
      <c r="BK561" s="28"/>
      <c r="BL561" s="28"/>
      <c r="BM561" s="28"/>
      <c r="BN561" s="28"/>
      <c r="BO561" s="28"/>
      <c r="BP561" s="28"/>
      <c r="BQ561" s="28"/>
      <c r="BR561" s="28"/>
      <c r="BS561" s="28"/>
      <c r="BT561" s="28"/>
      <c r="BU561" s="28"/>
      <c r="BV561" s="29"/>
      <c r="BW561" s="28"/>
      <c r="BX561" s="28"/>
      <c r="BY561" s="28"/>
      <c r="BZ561" s="28"/>
      <c r="CA561" s="28"/>
      <c r="CB561" s="28"/>
      <c r="CC561" s="28"/>
      <c r="CD561" s="28"/>
      <c r="CE561" s="28"/>
      <c r="CF561" s="28"/>
      <c r="CG561" s="28"/>
      <c r="CH561" s="28"/>
      <c r="CI561" s="28"/>
      <c r="CJ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9"/>
      <c r="BW562" s="28"/>
      <c r="BX562" s="28"/>
      <c r="BY562" s="28"/>
      <c r="BZ562" s="28"/>
      <c r="CA562" s="28"/>
      <c r="CB562" s="28"/>
      <c r="CC562" s="28"/>
      <c r="CD562" s="28"/>
      <c r="CE562" s="28"/>
      <c r="CF562" s="28"/>
      <c r="CG562" s="28"/>
      <c r="CH562" s="28"/>
      <c r="CI562" s="28"/>
      <c r="CJ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c r="BE563" s="28"/>
      <c r="BF563" s="28"/>
      <c r="BG563" s="28"/>
      <c r="BH563" s="28"/>
      <c r="BI563" s="28"/>
      <c r="BJ563" s="28"/>
      <c r="BK563" s="28"/>
      <c r="BL563" s="28"/>
      <c r="BM563" s="28"/>
      <c r="BN563" s="28"/>
      <c r="BO563" s="28"/>
      <c r="BP563" s="28"/>
      <c r="BQ563" s="28"/>
      <c r="BR563" s="28"/>
      <c r="BS563" s="28"/>
      <c r="BT563" s="28"/>
      <c r="BU563" s="28"/>
      <c r="BV563" s="29"/>
      <c r="BW563" s="28"/>
      <c r="BX563" s="28"/>
      <c r="BY563" s="28"/>
      <c r="BZ563" s="28"/>
      <c r="CA563" s="28"/>
      <c r="CB563" s="28"/>
      <c r="CC563" s="28"/>
      <c r="CD563" s="28"/>
      <c r="CE563" s="28"/>
      <c r="CF563" s="28"/>
      <c r="CG563" s="28"/>
      <c r="CH563" s="28"/>
      <c r="CI563" s="28"/>
      <c r="CJ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9"/>
      <c r="BW564" s="28"/>
      <c r="BX564" s="28"/>
      <c r="BY564" s="28"/>
      <c r="BZ564" s="28"/>
      <c r="CA564" s="28"/>
      <c r="CB564" s="28"/>
      <c r="CC564" s="28"/>
      <c r="CD564" s="28"/>
      <c r="CE564" s="28"/>
      <c r="CF564" s="28"/>
      <c r="CG564" s="28"/>
      <c r="CH564" s="28"/>
      <c r="CI564" s="28"/>
      <c r="CJ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c r="BE565" s="28"/>
      <c r="BF565" s="28"/>
      <c r="BG565" s="28"/>
      <c r="BH565" s="28"/>
      <c r="BI565" s="28"/>
      <c r="BJ565" s="28"/>
      <c r="BK565" s="28"/>
      <c r="BL565" s="28"/>
      <c r="BM565" s="28"/>
      <c r="BN565" s="28"/>
      <c r="BO565" s="28"/>
      <c r="BP565" s="28"/>
      <c r="BQ565" s="28"/>
      <c r="BR565" s="28"/>
      <c r="BS565" s="28"/>
      <c r="BT565" s="28"/>
      <c r="BU565" s="28"/>
      <c r="BV565" s="29"/>
      <c r="BW565" s="28"/>
      <c r="BX565" s="28"/>
      <c r="BY565" s="28"/>
      <c r="BZ565" s="28"/>
      <c r="CA565" s="28"/>
      <c r="CB565" s="28"/>
      <c r="CC565" s="28"/>
      <c r="CD565" s="28"/>
      <c r="CE565" s="28"/>
      <c r="CF565" s="28"/>
      <c r="CG565" s="28"/>
      <c r="CH565" s="28"/>
      <c r="CI565" s="28"/>
      <c r="CJ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9"/>
      <c r="BW566" s="28"/>
      <c r="BX566" s="28"/>
      <c r="BY566" s="28"/>
      <c r="BZ566" s="28"/>
      <c r="CA566" s="28"/>
      <c r="CB566" s="28"/>
      <c r="CC566" s="28"/>
      <c r="CD566" s="28"/>
      <c r="CE566" s="28"/>
      <c r="CF566" s="28"/>
      <c r="CG566" s="28"/>
      <c r="CH566" s="28"/>
      <c r="CI566" s="28"/>
      <c r="CJ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c r="BE567" s="28"/>
      <c r="BF567" s="28"/>
      <c r="BG567" s="28"/>
      <c r="BH567" s="28"/>
      <c r="BI567" s="28"/>
      <c r="BJ567" s="28"/>
      <c r="BK567" s="28"/>
      <c r="BL567" s="28"/>
      <c r="BM567" s="28"/>
      <c r="BN567" s="28"/>
      <c r="BO567" s="28"/>
      <c r="BP567" s="28"/>
      <c r="BQ567" s="28"/>
      <c r="BR567" s="28"/>
      <c r="BS567" s="28"/>
      <c r="BT567" s="28"/>
      <c r="BU567" s="28"/>
      <c r="BV567" s="29"/>
      <c r="BW567" s="28"/>
      <c r="BX567" s="28"/>
      <c r="BY567" s="28"/>
      <c r="BZ567" s="28"/>
      <c r="CA567" s="28"/>
      <c r="CB567" s="28"/>
      <c r="CC567" s="28"/>
      <c r="CD567" s="28"/>
      <c r="CE567" s="28"/>
      <c r="CF567" s="28"/>
      <c r="CG567" s="28"/>
      <c r="CH567" s="28"/>
      <c r="CI567" s="28"/>
      <c r="CJ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9"/>
      <c r="BW568" s="28"/>
      <c r="BX568" s="28"/>
      <c r="BY568" s="28"/>
      <c r="BZ568" s="28"/>
      <c r="CA568" s="28"/>
      <c r="CB568" s="28"/>
      <c r="CC568" s="28"/>
      <c r="CD568" s="28"/>
      <c r="CE568" s="28"/>
      <c r="CF568" s="28"/>
      <c r="CG568" s="28"/>
      <c r="CH568" s="28"/>
      <c r="CI568" s="28"/>
      <c r="CJ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c r="BE569" s="28"/>
      <c r="BF569" s="28"/>
      <c r="BG569" s="28"/>
      <c r="BH569" s="28"/>
      <c r="BI569" s="28"/>
      <c r="BJ569" s="28"/>
      <c r="BK569" s="28"/>
      <c r="BL569" s="28"/>
      <c r="BM569" s="28"/>
      <c r="BN569" s="28"/>
      <c r="BO569" s="28"/>
      <c r="BP569" s="28"/>
      <c r="BQ569" s="28"/>
      <c r="BR569" s="28"/>
      <c r="BS569" s="28"/>
      <c r="BT569" s="28"/>
      <c r="BU569" s="28"/>
      <c r="BV569" s="29"/>
      <c r="BW569" s="28"/>
      <c r="BX569" s="28"/>
      <c r="BY569" s="28"/>
      <c r="BZ569" s="28"/>
      <c r="CA569" s="28"/>
      <c r="CB569" s="28"/>
      <c r="CC569" s="28"/>
      <c r="CD569" s="28"/>
      <c r="CE569" s="28"/>
      <c r="CF569" s="28"/>
      <c r="CG569" s="28"/>
      <c r="CH569" s="28"/>
      <c r="CI569" s="28"/>
      <c r="CJ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9"/>
      <c r="BW570" s="28"/>
      <c r="BX570" s="28"/>
      <c r="BY570" s="28"/>
      <c r="BZ570" s="28"/>
      <c r="CA570" s="28"/>
      <c r="CB570" s="28"/>
      <c r="CC570" s="28"/>
      <c r="CD570" s="28"/>
      <c r="CE570" s="28"/>
      <c r="CF570" s="28"/>
      <c r="CG570" s="28"/>
      <c r="CH570" s="28"/>
      <c r="CI570" s="28"/>
      <c r="CJ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c r="BE571" s="28"/>
      <c r="BF571" s="28"/>
      <c r="BG571" s="28"/>
      <c r="BH571" s="28"/>
      <c r="BI571" s="28"/>
      <c r="BJ571" s="28"/>
      <c r="BK571" s="28"/>
      <c r="BL571" s="28"/>
      <c r="BM571" s="28"/>
      <c r="BN571" s="28"/>
      <c r="BO571" s="28"/>
      <c r="BP571" s="28"/>
      <c r="BQ571" s="28"/>
      <c r="BR571" s="28"/>
      <c r="BS571" s="28"/>
      <c r="BT571" s="28"/>
      <c r="BU571" s="28"/>
      <c r="BV571" s="29"/>
      <c r="BW571" s="28"/>
      <c r="BX571" s="28"/>
      <c r="BY571" s="28"/>
      <c r="BZ571" s="28"/>
      <c r="CA571" s="28"/>
      <c r="CB571" s="28"/>
      <c r="CC571" s="28"/>
      <c r="CD571" s="28"/>
      <c r="CE571" s="28"/>
      <c r="CF571" s="28"/>
      <c r="CG571" s="28"/>
      <c r="CH571" s="28"/>
      <c r="CI571" s="28"/>
      <c r="CJ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9"/>
      <c r="BW572" s="28"/>
      <c r="BX572" s="28"/>
      <c r="BY572" s="28"/>
      <c r="BZ572" s="28"/>
      <c r="CA572" s="28"/>
      <c r="CB572" s="28"/>
      <c r="CC572" s="28"/>
      <c r="CD572" s="28"/>
      <c r="CE572" s="28"/>
      <c r="CF572" s="28"/>
      <c r="CG572" s="28"/>
      <c r="CH572" s="28"/>
      <c r="CI572" s="28"/>
      <c r="CJ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c r="BE573" s="28"/>
      <c r="BF573" s="28"/>
      <c r="BG573" s="28"/>
      <c r="BH573" s="28"/>
      <c r="BI573" s="28"/>
      <c r="BJ573" s="28"/>
      <c r="BK573" s="28"/>
      <c r="BL573" s="28"/>
      <c r="BM573" s="28"/>
      <c r="BN573" s="28"/>
      <c r="BO573" s="28"/>
      <c r="BP573" s="28"/>
      <c r="BQ573" s="28"/>
      <c r="BR573" s="28"/>
      <c r="BS573" s="28"/>
      <c r="BT573" s="28"/>
      <c r="BU573" s="28"/>
      <c r="BV573" s="29"/>
      <c r="BW573" s="28"/>
      <c r="BX573" s="28"/>
      <c r="BY573" s="28"/>
      <c r="BZ573" s="28"/>
      <c r="CA573" s="28"/>
      <c r="CB573" s="28"/>
      <c r="CC573" s="28"/>
      <c r="CD573" s="28"/>
      <c r="CE573" s="28"/>
      <c r="CF573" s="28"/>
      <c r="CG573" s="28"/>
      <c r="CH573" s="28"/>
      <c r="CI573" s="28"/>
      <c r="CJ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9"/>
      <c r="BW574" s="28"/>
      <c r="BX574" s="28"/>
      <c r="BY574" s="28"/>
      <c r="BZ574" s="28"/>
      <c r="CA574" s="28"/>
      <c r="CB574" s="28"/>
      <c r="CC574" s="28"/>
      <c r="CD574" s="28"/>
      <c r="CE574" s="28"/>
      <c r="CF574" s="28"/>
      <c r="CG574" s="28"/>
      <c r="CH574" s="28"/>
      <c r="CI574" s="28"/>
      <c r="CJ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c r="BE575" s="28"/>
      <c r="BF575" s="28"/>
      <c r="BG575" s="28"/>
      <c r="BH575" s="28"/>
      <c r="BI575" s="28"/>
      <c r="BJ575" s="28"/>
      <c r="BK575" s="28"/>
      <c r="BL575" s="28"/>
      <c r="BM575" s="28"/>
      <c r="BN575" s="28"/>
      <c r="BO575" s="28"/>
      <c r="BP575" s="28"/>
      <c r="BQ575" s="28"/>
      <c r="BR575" s="28"/>
      <c r="BS575" s="28"/>
      <c r="BT575" s="28"/>
      <c r="BU575" s="28"/>
      <c r="BV575" s="29"/>
      <c r="BW575" s="28"/>
      <c r="BX575" s="28"/>
      <c r="BY575" s="28"/>
      <c r="BZ575" s="28"/>
      <c r="CA575" s="28"/>
      <c r="CB575" s="28"/>
      <c r="CC575" s="28"/>
      <c r="CD575" s="28"/>
      <c r="CE575" s="28"/>
      <c r="CF575" s="28"/>
      <c r="CG575" s="28"/>
      <c r="CH575" s="28"/>
      <c r="CI575" s="28"/>
      <c r="CJ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9"/>
      <c r="BW576" s="28"/>
      <c r="BX576" s="28"/>
      <c r="BY576" s="28"/>
      <c r="BZ576" s="28"/>
      <c r="CA576" s="28"/>
      <c r="CB576" s="28"/>
      <c r="CC576" s="28"/>
      <c r="CD576" s="28"/>
      <c r="CE576" s="28"/>
      <c r="CF576" s="28"/>
      <c r="CG576" s="28"/>
      <c r="CH576" s="28"/>
      <c r="CI576" s="28"/>
      <c r="CJ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c r="BE577" s="28"/>
      <c r="BF577" s="28"/>
      <c r="BG577" s="28"/>
      <c r="BH577" s="28"/>
      <c r="BI577" s="28"/>
      <c r="BJ577" s="28"/>
      <c r="BK577" s="28"/>
      <c r="BL577" s="28"/>
      <c r="BM577" s="28"/>
      <c r="BN577" s="28"/>
      <c r="BO577" s="28"/>
      <c r="BP577" s="28"/>
      <c r="BQ577" s="28"/>
      <c r="BR577" s="28"/>
      <c r="BS577" s="28"/>
      <c r="BT577" s="28"/>
      <c r="BU577" s="28"/>
      <c r="BV577" s="29"/>
      <c r="BW577" s="28"/>
      <c r="BX577" s="28"/>
      <c r="BY577" s="28"/>
      <c r="BZ577" s="28"/>
      <c r="CA577" s="28"/>
      <c r="CB577" s="28"/>
      <c r="CC577" s="28"/>
      <c r="CD577" s="28"/>
      <c r="CE577" s="28"/>
      <c r="CF577" s="28"/>
      <c r="CG577" s="28"/>
      <c r="CH577" s="28"/>
      <c r="CI577" s="28"/>
      <c r="CJ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9"/>
      <c r="BW578" s="28"/>
      <c r="BX578" s="28"/>
      <c r="BY578" s="28"/>
      <c r="BZ578" s="28"/>
      <c r="CA578" s="28"/>
      <c r="CB578" s="28"/>
      <c r="CC578" s="28"/>
      <c r="CD578" s="28"/>
      <c r="CE578" s="28"/>
      <c r="CF578" s="28"/>
      <c r="CG578" s="28"/>
      <c r="CH578" s="28"/>
      <c r="CI578" s="28"/>
      <c r="CJ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28"/>
      <c r="BP579" s="28"/>
      <c r="BQ579" s="28"/>
      <c r="BR579" s="28"/>
      <c r="BS579" s="28"/>
      <c r="BT579" s="28"/>
      <c r="BU579" s="28"/>
      <c r="BV579" s="29"/>
      <c r="BW579" s="28"/>
      <c r="BX579" s="28"/>
      <c r="BY579" s="28"/>
      <c r="BZ579" s="28"/>
      <c r="CA579" s="28"/>
      <c r="CB579" s="28"/>
      <c r="CC579" s="28"/>
      <c r="CD579" s="28"/>
      <c r="CE579" s="28"/>
      <c r="CF579" s="28"/>
      <c r="CG579" s="28"/>
      <c r="CH579" s="28"/>
      <c r="CI579" s="28"/>
      <c r="CJ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9"/>
      <c r="BW580" s="28"/>
      <c r="BX580" s="28"/>
      <c r="BY580" s="28"/>
      <c r="BZ580" s="28"/>
      <c r="CA580" s="28"/>
      <c r="CB580" s="28"/>
      <c r="CC580" s="28"/>
      <c r="CD580" s="28"/>
      <c r="CE580" s="28"/>
      <c r="CF580" s="28"/>
      <c r="CG580" s="28"/>
      <c r="CH580" s="28"/>
      <c r="CI580" s="28"/>
      <c r="CJ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9"/>
      <c r="BW581" s="28"/>
      <c r="BX581" s="28"/>
      <c r="BY581" s="28"/>
      <c r="BZ581" s="28"/>
      <c r="CA581" s="28"/>
      <c r="CB581" s="28"/>
      <c r="CC581" s="28"/>
      <c r="CD581" s="28"/>
      <c r="CE581" s="28"/>
      <c r="CF581" s="28"/>
      <c r="CG581" s="28"/>
      <c r="CH581" s="28"/>
      <c r="CI581" s="28"/>
      <c r="CJ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9"/>
      <c r="BW582" s="28"/>
      <c r="BX582" s="28"/>
      <c r="BY582" s="28"/>
      <c r="BZ582" s="28"/>
      <c r="CA582" s="28"/>
      <c r="CB582" s="28"/>
      <c r="CC582" s="28"/>
      <c r="CD582" s="28"/>
      <c r="CE582" s="28"/>
      <c r="CF582" s="28"/>
      <c r="CG582" s="28"/>
      <c r="CH582" s="28"/>
      <c r="CI582" s="28"/>
      <c r="CJ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c r="BE583" s="28"/>
      <c r="BF583" s="28"/>
      <c r="BG583" s="28"/>
      <c r="BH583" s="28"/>
      <c r="BI583" s="28"/>
      <c r="BJ583" s="28"/>
      <c r="BK583" s="28"/>
      <c r="BL583" s="28"/>
      <c r="BM583" s="28"/>
      <c r="BN583" s="28"/>
      <c r="BO583" s="28"/>
      <c r="BP583" s="28"/>
      <c r="BQ583" s="28"/>
      <c r="BR583" s="28"/>
      <c r="BS583" s="28"/>
      <c r="BT583" s="28"/>
      <c r="BU583" s="28"/>
      <c r="BV583" s="29"/>
      <c r="BW583" s="28"/>
      <c r="BX583" s="28"/>
      <c r="BY583" s="28"/>
      <c r="BZ583" s="28"/>
      <c r="CA583" s="28"/>
      <c r="CB583" s="28"/>
      <c r="CC583" s="28"/>
      <c r="CD583" s="28"/>
      <c r="CE583" s="28"/>
      <c r="CF583" s="28"/>
      <c r="CG583" s="28"/>
      <c r="CH583" s="28"/>
      <c r="CI583" s="28"/>
      <c r="CJ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9"/>
      <c r="BW584" s="28"/>
      <c r="BX584" s="28"/>
      <c r="BY584" s="28"/>
      <c r="BZ584" s="28"/>
      <c r="CA584" s="28"/>
      <c r="CB584" s="28"/>
      <c r="CC584" s="28"/>
      <c r="CD584" s="28"/>
      <c r="CE584" s="28"/>
      <c r="CF584" s="28"/>
      <c r="CG584" s="28"/>
      <c r="CH584" s="28"/>
      <c r="CI584" s="28"/>
      <c r="CJ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28"/>
      <c r="BP585" s="28"/>
      <c r="BQ585" s="28"/>
      <c r="BR585" s="28"/>
      <c r="BS585" s="28"/>
      <c r="BT585" s="28"/>
      <c r="BU585" s="28"/>
      <c r="BV585" s="29"/>
      <c r="BW585" s="28"/>
      <c r="BX585" s="28"/>
      <c r="BY585" s="28"/>
      <c r="BZ585" s="28"/>
      <c r="CA585" s="28"/>
      <c r="CB585" s="28"/>
      <c r="CC585" s="28"/>
      <c r="CD585" s="28"/>
      <c r="CE585" s="28"/>
      <c r="CF585" s="28"/>
      <c r="CG585" s="28"/>
      <c r="CH585" s="28"/>
      <c r="CI585" s="28"/>
      <c r="CJ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9"/>
      <c r="BW586" s="28"/>
      <c r="BX586" s="28"/>
      <c r="BY586" s="28"/>
      <c r="BZ586" s="28"/>
      <c r="CA586" s="28"/>
      <c r="CB586" s="28"/>
      <c r="CC586" s="28"/>
      <c r="CD586" s="28"/>
      <c r="CE586" s="28"/>
      <c r="CF586" s="28"/>
      <c r="CG586" s="28"/>
      <c r="CH586" s="28"/>
      <c r="CI586" s="28"/>
      <c r="CJ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c r="BE587" s="28"/>
      <c r="BF587" s="28"/>
      <c r="BG587" s="28"/>
      <c r="BH587" s="28"/>
      <c r="BI587" s="28"/>
      <c r="BJ587" s="28"/>
      <c r="BK587" s="28"/>
      <c r="BL587" s="28"/>
      <c r="BM587" s="28"/>
      <c r="BN587" s="28"/>
      <c r="BO587" s="28"/>
      <c r="BP587" s="28"/>
      <c r="BQ587" s="28"/>
      <c r="BR587" s="28"/>
      <c r="BS587" s="28"/>
      <c r="BT587" s="28"/>
      <c r="BU587" s="28"/>
      <c r="BV587" s="29"/>
      <c r="BW587" s="28"/>
      <c r="BX587" s="28"/>
      <c r="BY587" s="28"/>
      <c r="BZ587" s="28"/>
      <c r="CA587" s="28"/>
      <c r="CB587" s="28"/>
      <c r="CC587" s="28"/>
      <c r="CD587" s="28"/>
      <c r="CE587" s="28"/>
      <c r="CF587" s="28"/>
      <c r="CG587" s="28"/>
      <c r="CH587" s="28"/>
      <c r="CI587" s="28"/>
      <c r="CJ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9"/>
      <c r="BW588" s="28"/>
      <c r="BX588" s="28"/>
      <c r="BY588" s="28"/>
      <c r="BZ588" s="28"/>
      <c r="CA588" s="28"/>
      <c r="CB588" s="28"/>
      <c r="CC588" s="28"/>
      <c r="CD588" s="28"/>
      <c r="CE588" s="28"/>
      <c r="CF588" s="28"/>
      <c r="CG588" s="28"/>
      <c r="CH588" s="28"/>
      <c r="CI588" s="28"/>
      <c r="CJ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9"/>
      <c r="BW589" s="28"/>
      <c r="BX589" s="28"/>
      <c r="BY589" s="28"/>
      <c r="BZ589" s="28"/>
      <c r="CA589" s="28"/>
      <c r="CB589" s="28"/>
      <c r="CC589" s="28"/>
      <c r="CD589" s="28"/>
      <c r="CE589" s="28"/>
      <c r="CF589" s="28"/>
      <c r="CG589" s="28"/>
      <c r="CH589" s="28"/>
      <c r="CI589" s="28"/>
      <c r="CJ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9"/>
      <c r="BW590" s="28"/>
      <c r="BX590" s="28"/>
      <c r="BY590" s="28"/>
      <c r="BZ590" s="28"/>
      <c r="CA590" s="28"/>
      <c r="CB590" s="28"/>
      <c r="CC590" s="28"/>
      <c r="CD590" s="28"/>
      <c r="CE590" s="28"/>
      <c r="CF590" s="28"/>
      <c r="CG590" s="28"/>
      <c r="CH590" s="28"/>
      <c r="CI590" s="28"/>
      <c r="CJ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c r="BE591" s="28"/>
      <c r="BF591" s="28"/>
      <c r="BG591" s="28"/>
      <c r="BH591" s="28"/>
      <c r="BI591" s="28"/>
      <c r="BJ591" s="28"/>
      <c r="BK591" s="28"/>
      <c r="BL591" s="28"/>
      <c r="BM591" s="28"/>
      <c r="BN591" s="28"/>
      <c r="BO591" s="28"/>
      <c r="BP591" s="28"/>
      <c r="BQ591" s="28"/>
      <c r="BR591" s="28"/>
      <c r="BS591" s="28"/>
      <c r="BT591" s="28"/>
      <c r="BU591" s="28"/>
      <c r="BV591" s="29"/>
      <c r="BW591" s="28"/>
      <c r="BX591" s="28"/>
      <c r="BY591" s="28"/>
      <c r="BZ591" s="28"/>
      <c r="CA591" s="28"/>
      <c r="CB591" s="28"/>
      <c r="CC591" s="28"/>
      <c r="CD591" s="28"/>
      <c r="CE591" s="28"/>
      <c r="CF591" s="28"/>
      <c r="CG591" s="28"/>
      <c r="CH591" s="28"/>
      <c r="CI591" s="28"/>
      <c r="CJ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9"/>
      <c r="BW592" s="28"/>
      <c r="BX592" s="28"/>
      <c r="BY592" s="28"/>
      <c r="BZ592" s="28"/>
      <c r="CA592" s="28"/>
      <c r="CB592" s="28"/>
      <c r="CC592" s="28"/>
      <c r="CD592" s="28"/>
      <c r="CE592" s="28"/>
      <c r="CF592" s="28"/>
      <c r="CG592" s="28"/>
      <c r="CH592" s="28"/>
      <c r="CI592" s="28"/>
      <c r="CJ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c r="BE593" s="28"/>
      <c r="BF593" s="28"/>
      <c r="BG593" s="28"/>
      <c r="BH593" s="28"/>
      <c r="BI593" s="28"/>
      <c r="BJ593" s="28"/>
      <c r="BK593" s="28"/>
      <c r="BL593" s="28"/>
      <c r="BM593" s="28"/>
      <c r="BN593" s="28"/>
      <c r="BO593" s="28"/>
      <c r="BP593" s="28"/>
      <c r="BQ593" s="28"/>
      <c r="BR593" s="28"/>
      <c r="BS593" s="28"/>
      <c r="BT593" s="28"/>
      <c r="BU593" s="28"/>
      <c r="BV593" s="29"/>
      <c r="BW593" s="28"/>
      <c r="BX593" s="28"/>
      <c r="BY593" s="28"/>
      <c r="BZ593" s="28"/>
      <c r="CA593" s="28"/>
      <c r="CB593" s="28"/>
      <c r="CC593" s="28"/>
      <c r="CD593" s="28"/>
      <c r="CE593" s="28"/>
      <c r="CF593" s="28"/>
      <c r="CG593" s="28"/>
      <c r="CH593" s="28"/>
      <c r="CI593" s="28"/>
      <c r="CJ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9"/>
      <c r="BW594" s="28"/>
      <c r="BX594" s="28"/>
      <c r="BY594" s="28"/>
      <c r="BZ594" s="28"/>
      <c r="CA594" s="28"/>
      <c r="CB594" s="28"/>
      <c r="CC594" s="28"/>
      <c r="CD594" s="28"/>
      <c r="CE594" s="28"/>
      <c r="CF594" s="28"/>
      <c r="CG594" s="28"/>
      <c r="CH594" s="28"/>
      <c r="CI594" s="28"/>
      <c r="CJ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28"/>
      <c r="BP595" s="28"/>
      <c r="BQ595" s="28"/>
      <c r="BR595" s="28"/>
      <c r="BS595" s="28"/>
      <c r="BT595" s="28"/>
      <c r="BU595" s="28"/>
      <c r="BV595" s="29"/>
      <c r="BW595" s="28"/>
      <c r="BX595" s="28"/>
      <c r="BY595" s="28"/>
      <c r="BZ595" s="28"/>
      <c r="CA595" s="28"/>
      <c r="CB595" s="28"/>
      <c r="CC595" s="28"/>
      <c r="CD595" s="28"/>
      <c r="CE595" s="28"/>
      <c r="CF595" s="28"/>
      <c r="CG595" s="28"/>
      <c r="CH595" s="28"/>
      <c r="CI595" s="28"/>
      <c r="CJ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9"/>
      <c r="BW596" s="28"/>
      <c r="BX596" s="28"/>
      <c r="BY596" s="28"/>
      <c r="BZ596" s="28"/>
      <c r="CA596" s="28"/>
      <c r="CB596" s="28"/>
      <c r="CC596" s="28"/>
      <c r="CD596" s="28"/>
      <c r="CE596" s="28"/>
      <c r="CF596" s="28"/>
      <c r="CG596" s="28"/>
      <c r="CH596" s="28"/>
      <c r="CI596" s="28"/>
      <c r="CJ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c r="BE597" s="28"/>
      <c r="BF597" s="28"/>
      <c r="BG597" s="28"/>
      <c r="BH597" s="28"/>
      <c r="BI597" s="28"/>
      <c r="BJ597" s="28"/>
      <c r="BK597" s="28"/>
      <c r="BL597" s="28"/>
      <c r="BM597" s="28"/>
      <c r="BN597" s="28"/>
      <c r="BO597" s="28"/>
      <c r="BP597" s="28"/>
      <c r="BQ597" s="28"/>
      <c r="BR597" s="28"/>
      <c r="BS597" s="28"/>
      <c r="BT597" s="28"/>
      <c r="BU597" s="28"/>
      <c r="BV597" s="29"/>
      <c r="BW597" s="28"/>
      <c r="BX597" s="28"/>
      <c r="BY597" s="28"/>
      <c r="BZ597" s="28"/>
      <c r="CA597" s="28"/>
      <c r="CB597" s="28"/>
      <c r="CC597" s="28"/>
      <c r="CD597" s="28"/>
      <c r="CE597" s="28"/>
      <c r="CF597" s="28"/>
      <c r="CG597" s="28"/>
      <c r="CH597" s="28"/>
      <c r="CI597" s="28"/>
      <c r="CJ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9"/>
      <c r="BW598" s="28"/>
      <c r="BX598" s="28"/>
      <c r="BY598" s="28"/>
      <c r="BZ598" s="28"/>
      <c r="CA598" s="28"/>
      <c r="CB598" s="28"/>
      <c r="CC598" s="28"/>
      <c r="CD598" s="28"/>
      <c r="CE598" s="28"/>
      <c r="CF598" s="28"/>
      <c r="CG598" s="28"/>
      <c r="CH598" s="28"/>
      <c r="CI598" s="28"/>
      <c r="CJ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c r="BE599" s="28"/>
      <c r="BF599" s="28"/>
      <c r="BG599" s="28"/>
      <c r="BH599" s="28"/>
      <c r="BI599" s="28"/>
      <c r="BJ599" s="28"/>
      <c r="BK599" s="28"/>
      <c r="BL599" s="28"/>
      <c r="BM599" s="28"/>
      <c r="BN599" s="28"/>
      <c r="BO599" s="28"/>
      <c r="BP599" s="28"/>
      <c r="BQ599" s="28"/>
      <c r="BR599" s="28"/>
      <c r="BS599" s="28"/>
      <c r="BT599" s="28"/>
      <c r="BU599" s="28"/>
      <c r="BV599" s="29"/>
      <c r="BW599" s="28"/>
      <c r="BX599" s="28"/>
      <c r="BY599" s="28"/>
      <c r="BZ599" s="28"/>
      <c r="CA599" s="28"/>
      <c r="CB599" s="28"/>
      <c r="CC599" s="28"/>
      <c r="CD599" s="28"/>
      <c r="CE599" s="28"/>
      <c r="CF599" s="28"/>
      <c r="CG599" s="28"/>
      <c r="CH599" s="28"/>
      <c r="CI599" s="28"/>
      <c r="CJ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9"/>
      <c r="BW600" s="28"/>
      <c r="BX600" s="28"/>
      <c r="BY600" s="28"/>
      <c r="BZ600" s="28"/>
      <c r="CA600" s="28"/>
      <c r="CB600" s="28"/>
      <c r="CC600" s="28"/>
      <c r="CD600" s="28"/>
      <c r="CE600" s="28"/>
      <c r="CF600" s="28"/>
      <c r="CG600" s="28"/>
      <c r="CH600" s="28"/>
      <c r="CI600" s="28"/>
      <c r="CJ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c r="BE601" s="28"/>
      <c r="BF601" s="28"/>
      <c r="BG601" s="28"/>
      <c r="BH601" s="28"/>
      <c r="BI601" s="28"/>
      <c r="BJ601" s="28"/>
      <c r="BK601" s="28"/>
      <c r="BL601" s="28"/>
      <c r="BM601" s="28"/>
      <c r="BN601" s="28"/>
      <c r="BO601" s="28"/>
      <c r="BP601" s="28"/>
      <c r="BQ601" s="28"/>
      <c r="BR601" s="28"/>
      <c r="BS601" s="28"/>
      <c r="BT601" s="28"/>
      <c r="BU601" s="28"/>
      <c r="BV601" s="29"/>
      <c r="BW601" s="28"/>
      <c r="BX601" s="28"/>
      <c r="BY601" s="28"/>
      <c r="BZ601" s="28"/>
      <c r="CA601" s="28"/>
      <c r="CB601" s="28"/>
      <c r="CC601" s="28"/>
      <c r="CD601" s="28"/>
      <c r="CE601" s="28"/>
      <c r="CF601" s="28"/>
      <c r="CG601" s="28"/>
      <c r="CH601" s="28"/>
      <c r="CI601" s="28"/>
      <c r="CJ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9"/>
      <c r="BW602" s="28"/>
      <c r="BX602" s="28"/>
      <c r="BY602" s="28"/>
      <c r="BZ602" s="28"/>
      <c r="CA602" s="28"/>
      <c r="CB602" s="28"/>
      <c r="CC602" s="28"/>
      <c r="CD602" s="28"/>
      <c r="CE602" s="28"/>
      <c r="CF602" s="28"/>
      <c r="CG602" s="28"/>
      <c r="CH602" s="28"/>
      <c r="CI602" s="28"/>
      <c r="CJ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c r="BE603" s="28"/>
      <c r="BF603" s="28"/>
      <c r="BG603" s="28"/>
      <c r="BH603" s="28"/>
      <c r="BI603" s="28"/>
      <c r="BJ603" s="28"/>
      <c r="BK603" s="28"/>
      <c r="BL603" s="28"/>
      <c r="BM603" s="28"/>
      <c r="BN603" s="28"/>
      <c r="BO603" s="28"/>
      <c r="BP603" s="28"/>
      <c r="BQ603" s="28"/>
      <c r="BR603" s="28"/>
      <c r="BS603" s="28"/>
      <c r="BT603" s="28"/>
      <c r="BU603" s="28"/>
      <c r="BV603" s="29"/>
      <c r="BW603" s="28"/>
      <c r="BX603" s="28"/>
      <c r="BY603" s="28"/>
      <c r="BZ603" s="28"/>
      <c r="CA603" s="28"/>
      <c r="CB603" s="28"/>
      <c r="CC603" s="28"/>
      <c r="CD603" s="28"/>
      <c r="CE603" s="28"/>
      <c r="CF603" s="28"/>
      <c r="CG603" s="28"/>
      <c r="CH603" s="28"/>
      <c r="CI603" s="28"/>
      <c r="CJ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9"/>
      <c r="BW604" s="28"/>
      <c r="BX604" s="28"/>
      <c r="BY604" s="28"/>
      <c r="BZ604" s="28"/>
      <c r="CA604" s="28"/>
      <c r="CB604" s="28"/>
      <c r="CC604" s="28"/>
      <c r="CD604" s="28"/>
      <c r="CE604" s="28"/>
      <c r="CF604" s="28"/>
      <c r="CG604" s="28"/>
      <c r="CH604" s="28"/>
      <c r="CI604" s="28"/>
      <c r="CJ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c r="BE605" s="28"/>
      <c r="BF605" s="28"/>
      <c r="BG605" s="28"/>
      <c r="BH605" s="28"/>
      <c r="BI605" s="28"/>
      <c r="BJ605" s="28"/>
      <c r="BK605" s="28"/>
      <c r="BL605" s="28"/>
      <c r="BM605" s="28"/>
      <c r="BN605" s="28"/>
      <c r="BO605" s="28"/>
      <c r="BP605" s="28"/>
      <c r="BQ605" s="28"/>
      <c r="BR605" s="28"/>
      <c r="BS605" s="28"/>
      <c r="BT605" s="28"/>
      <c r="BU605" s="28"/>
      <c r="BV605" s="29"/>
      <c r="BW605" s="28"/>
      <c r="BX605" s="28"/>
      <c r="BY605" s="28"/>
      <c r="BZ605" s="28"/>
      <c r="CA605" s="28"/>
      <c r="CB605" s="28"/>
      <c r="CC605" s="28"/>
      <c r="CD605" s="28"/>
      <c r="CE605" s="28"/>
      <c r="CF605" s="28"/>
      <c r="CG605" s="28"/>
      <c r="CH605" s="28"/>
      <c r="CI605" s="28"/>
      <c r="CJ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9"/>
      <c r="BW606" s="28"/>
      <c r="BX606" s="28"/>
      <c r="BY606" s="28"/>
      <c r="BZ606" s="28"/>
      <c r="CA606" s="28"/>
      <c r="CB606" s="28"/>
      <c r="CC606" s="28"/>
      <c r="CD606" s="28"/>
      <c r="CE606" s="28"/>
      <c r="CF606" s="28"/>
      <c r="CG606" s="28"/>
      <c r="CH606" s="28"/>
      <c r="CI606" s="28"/>
      <c r="CJ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28"/>
      <c r="BP607" s="28"/>
      <c r="BQ607" s="28"/>
      <c r="BR607" s="28"/>
      <c r="BS607" s="28"/>
      <c r="BT607" s="28"/>
      <c r="BU607" s="28"/>
      <c r="BV607" s="29"/>
      <c r="BW607" s="28"/>
      <c r="BX607" s="28"/>
      <c r="BY607" s="28"/>
      <c r="BZ607" s="28"/>
      <c r="CA607" s="28"/>
      <c r="CB607" s="28"/>
      <c r="CC607" s="28"/>
      <c r="CD607" s="28"/>
      <c r="CE607" s="28"/>
      <c r="CF607" s="28"/>
      <c r="CG607" s="28"/>
      <c r="CH607" s="28"/>
      <c r="CI607" s="28"/>
      <c r="CJ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9"/>
      <c r="BW608" s="28"/>
      <c r="BX608" s="28"/>
      <c r="BY608" s="28"/>
      <c r="BZ608" s="28"/>
      <c r="CA608" s="28"/>
      <c r="CB608" s="28"/>
      <c r="CC608" s="28"/>
      <c r="CD608" s="28"/>
      <c r="CE608" s="28"/>
      <c r="CF608" s="28"/>
      <c r="CG608" s="28"/>
      <c r="CH608" s="28"/>
      <c r="CI608" s="28"/>
      <c r="CJ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c r="BE609" s="28"/>
      <c r="BF609" s="28"/>
      <c r="BG609" s="28"/>
      <c r="BH609" s="28"/>
      <c r="BI609" s="28"/>
      <c r="BJ609" s="28"/>
      <c r="BK609" s="28"/>
      <c r="BL609" s="28"/>
      <c r="BM609" s="28"/>
      <c r="BN609" s="28"/>
      <c r="BO609" s="28"/>
      <c r="BP609" s="28"/>
      <c r="BQ609" s="28"/>
      <c r="BR609" s="28"/>
      <c r="BS609" s="28"/>
      <c r="BT609" s="28"/>
      <c r="BU609" s="28"/>
      <c r="BV609" s="29"/>
      <c r="BW609" s="28"/>
      <c r="BX609" s="28"/>
      <c r="BY609" s="28"/>
      <c r="BZ609" s="28"/>
      <c r="CA609" s="28"/>
      <c r="CB609" s="28"/>
      <c r="CC609" s="28"/>
      <c r="CD609" s="28"/>
      <c r="CE609" s="28"/>
      <c r="CF609" s="28"/>
      <c r="CG609" s="28"/>
      <c r="CH609" s="28"/>
      <c r="CI609" s="28"/>
      <c r="CJ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9"/>
      <c r="BW610" s="28"/>
      <c r="BX610" s="28"/>
      <c r="BY610" s="28"/>
      <c r="BZ610" s="28"/>
      <c r="CA610" s="28"/>
      <c r="CB610" s="28"/>
      <c r="CC610" s="28"/>
      <c r="CD610" s="28"/>
      <c r="CE610" s="28"/>
      <c r="CF610" s="28"/>
      <c r="CG610" s="28"/>
      <c r="CH610" s="28"/>
      <c r="CI610" s="28"/>
      <c r="CJ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c r="BE611" s="28"/>
      <c r="BF611" s="28"/>
      <c r="BG611" s="28"/>
      <c r="BH611" s="28"/>
      <c r="BI611" s="28"/>
      <c r="BJ611" s="28"/>
      <c r="BK611" s="28"/>
      <c r="BL611" s="28"/>
      <c r="BM611" s="28"/>
      <c r="BN611" s="28"/>
      <c r="BO611" s="28"/>
      <c r="BP611" s="28"/>
      <c r="BQ611" s="28"/>
      <c r="BR611" s="28"/>
      <c r="BS611" s="28"/>
      <c r="BT611" s="28"/>
      <c r="BU611" s="28"/>
      <c r="BV611" s="29"/>
      <c r="BW611" s="28"/>
      <c r="BX611" s="28"/>
      <c r="BY611" s="28"/>
      <c r="BZ611" s="28"/>
      <c r="CA611" s="28"/>
      <c r="CB611" s="28"/>
      <c r="CC611" s="28"/>
      <c r="CD611" s="28"/>
      <c r="CE611" s="28"/>
      <c r="CF611" s="28"/>
      <c r="CG611" s="28"/>
      <c r="CH611" s="28"/>
      <c r="CI611" s="28"/>
      <c r="CJ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9"/>
      <c r="BW612" s="28"/>
      <c r="BX612" s="28"/>
      <c r="BY612" s="28"/>
      <c r="BZ612" s="28"/>
      <c r="CA612" s="28"/>
      <c r="CB612" s="28"/>
      <c r="CC612" s="28"/>
      <c r="CD612" s="28"/>
      <c r="CE612" s="28"/>
      <c r="CF612" s="28"/>
      <c r="CG612" s="28"/>
      <c r="CH612" s="28"/>
      <c r="CI612" s="28"/>
      <c r="CJ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28"/>
      <c r="BP613" s="28"/>
      <c r="BQ613" s="28"/>
      <c r="BR613" s="28"/>
      <c r="BS613" s="28"/>
      <c r="BT613" s="28"/>
      <c r="BU613" s="28"/>
      <c r="BV613" s="29"/>
      <c r="BW613" s="28"/>
      <c r="BX613" s="28"/>
      <c r="BY613" s="28"/>
      <c r="BZ613" s="28"/>
      <c r="CA613" s="28"/>
      <c r="CB613" s="28"/>
      <c r="CC613" s="28"/>
      <c r="CD613" s="28"/>
      <c r="CE613" s="28"/>
      <c r="CF613" s="28"/>
      <c r="CG613" s="28"/>
      <c r="CH613" s="28"/>
      <c r="CI613" s="28"/>
      <c r="CJ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9"/>
      <c r="BW614" s="28"/>
      <c r="BX614" s="28"/>
      <c r="BY614" s="28"/>
      <c r="BZ614" s="28"/>
      <c r="CA614" s="28"/>
      <c r="CB614" s="28"/>
      <c r="CC614" s="28"/>
      <c r="CD614" s="28"/>
      <c r="CE614" s="28"/>
      <c r="CF614" s="28"/>
      <c r="CG614" s="28"/>
      <c r="CH614" s="28"/>
      <c r="CI614" s="28"/>
      <c r="CJ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c r="BE615" s="28"/>
      <c r="BF615" s="28"/>
      <c r="BG615" s="28"/>
      <c r="BH615" s="28"/>
      <c r="BI615" s="28"/>
      <c r="BJ615" s="28"/>
      <c r="BK615" s="28"/>
      <c r="BL615" s="28"/>
      <c r="BM615" s="28"/>
      <c r="BN615" s="28"/>
      <c r="BO615" s="28"/>
      <c r="BP615" s="28"/>
      <c r="BQ615" s="28"/>
      <c r="BR615" s="28"/>
      <c r="BS615" s="28"/>
      <c r="BT615" s="28"/>
      <c r="BU615" s="28"/>
      <c r="BV615" s="29"/>
      <c r="BW615" s="28"/>
      <c r="BX615" s="28"/>
      <c r="BY615" s="28"/>
      <c r="BZ615" s="28"/>
      <c r="CA615" s="28"/>
      <c r="CB615" s="28"/>
      <c r="CC615" s="28"/>
      <c r="CD615" s="28"/>
      <c r="CE615" s="28"/>
      <c r="CF615" s="28"/>
      <c r="CG615" s="28"/>
      <c r="CH615" s="28"/>
      <c r="CI615" s="28"/>
      <c r="CJ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9"/>
      <c r="BW616" s="28"/>
      <c r="BX616" s="28"/>
      <c r="BY616" s="28"/>
      <c r="BZ616" s="28"/>
      <c r="CA616" s="28"/>
      <c r="CB616" s="28"/>
      <c r="CC616" s="28"/>
      <c r="CD616" s="28"/>
      <c r="CE616" s="28"/>
      <c r="CF616" s="28"/>
      <c r="CG616" s="28"/>
      <c r="CH616" s="28"/>
      <c r="CI616" s="28"/>
      <c r="CJ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c r="BE617" s="28"/>
      <c r="BF617" s="28"/>
      <c r="BG617" s="28"/>
      <c r="BH617" s="28"/>
      <c r="BI617" s="28"/>
      <c r="BJ617" s="28"/>
      <c r="BK617" s="28"/>
      <c r="BL617" s="28"/>
      <c r="BM617" s="28"/>
      <c r="BN617" s="28"/>
      <c r="BO617" s="28"/>
      <c r="BP617" s="28"/>
      <c r="BQ617" s="28"/>
      <c r="BR617" s="28"/>
      <c r="BS617" s="28"/>
      <c r="BT617" s="28"/>
      <c r="BU617" s="28"/>
      <c r="BV617" s="29"/>
      <c r="BW617" s="28"/>
      <c r="BX617" s="28"/>
      <c r="BY617" s="28"/>
      <c r="BZ617" s="28"/>
      <c r="CA617" s="28"/>
      <c r="CB617" s="28"/>
      <c r="CC617" s="28"/>
      <c r="CD617" s="28"/>
      <c r="CE617" s="28"/>
      <c r="CF617" s="28"/>
      <c r="CG617" s="28"/>
      <c r="CH617" s="28"/>
      <c r="CI617" s="28"/>
      <c r="CJ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9"/>
      <c r="BW618" s="28"/>
      <c r="BX618" s="28"/>
      <c r="BY618" s="28"/>
      <c r="BZ618" s="28"/>
      <c r="CA618" s="28"/>
      <c r="CB618" s="28"/>
      <c r="CC618" s="28"/>
      <c r="CD618" s="28"/>
      <c r="CE618" s="28"/>
      <c r="CF618" s="28"/>
      <c r="CG618" s="28"/>
      <c r="CH618" s="28"/>
      <c r="CI618" s="28"/>
      <c r="CJ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c r="BE619" s="28"/>
      <c r="BF619" s="28"/>
      <c r="BG619" s="28"/>
      <c r="BH619" s="28"/>
      <c r="BI619" s="28"/>
      <c r="BJ619" s="28"/>
      <c r="BK619" s="28"/>
      <c r="BL619" s="28"/>
      <c r="BM619" s="28"/>
      <c r="BN619" s="28"/>
      <c r="BO619" s="28"/>
      <c r="BP619" s="28"/>
      <c r="BQ619" s="28"/>
      <c r="BR619" s="28"/>
      <c r="BS619" s="28"/>
      <c r="BT619" s="28"/>
      <c r="BU619" s="28"/>
      <c r="BV619" s="29"/>
      <c r="BW619" s="28"/>
      <c r="BX619" s="28"/>
      <c r="BY619" s="28"/>
      <c r="BZ619" s="28"/>
      <c r="CA619" s="28"/>
      <c r="CB619" s="28"/>
      <c r="CC619" s="28"/>
      <c r="CD619" s="28"/>
      <c r="CE619" s="28"/>
      <c r="CF619" s="28"/>
      <c r="CG619" s="28"/>
      <c r="CH619" s="28"/>
      <c r="CI619" s="28"/>
      <c r="CJ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9"/>
      <c r="BW620" s="28"/>
      <c r="BX620" s="28"/>
      <c r="BY620" s="28"/>
      <c r="BZ620" s="28"/>
      <c r="CA620" s="28"/>
      <c r="CB620" s="28"/>
      <c r="CC620" s="28"/>
      <c r="CD620" s="28"/>
      <c r="CE620" s="28"/>
      <c r="CF620" s="28"/>
      <c r="CG620" s="28"/>
      <c r="CH620" s="28"/>
      <c r="CI620" s="28"/>
      <c r="CJ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c r="BE621" s="28"/>
      <c r="BF621" s="28"/>
      <c r="BG621" s="28"/>
      <c r="BH621" s="28"/>
      <c r="BI621" s="28"/>
      <c r="BJ621" s="28"/>
      <c r="BK621" s="28"/>
      <c r="BL621" s="28"/>
      <c r="BM621" s="28"/>
      <c r="BN621" s="28"/>
      <c r="BO621" s="28"/>
      <c r="BP621" s="28"/>
      <c r="BQ621" s="28"/>
      <c r="BR621" s="28"/>
      <c r="BS621" s="28"/>
      <c r="BT621" s="28"/>
      <c r="BU621" s="28"/>
      <c r="BV621" s="29"/>
      <c r="BW621" s="28"/>
      <c r="BX621" s="28"/>
      <c r="BY621" s="28"/>
      <c r="BZ621" s="28"/>
      <c r="CA621" s="28"/>
      <c r="CB621" s="28"/>
      <c r="CC621" s="28"/>
      <c r="CD621" s="28"/>
      <c r="CE621" s="28"/>
      <c r="CF621" s="28"/>
      <c r="CG621" s="28"/>
      <c r="CH621" s="28"/>
      <c r="CI621" s="28"/>
      <c r="CJ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9"/>
      <c r="BW622" s="28"/>
      <c r="BX622" s="28"/>
      <c r="BY622" s="28"/>
      <c r="BZ622" s="28"/>
      <c r="CA622" s="28"/>
      <c r="CB622" s="28"/>
      <c r="CC622" s="28"/>
      <c r="CD622" s="28"/>
      <c r="CE622" s="28"/>
      <c r="CF622" s="28"/>
      <c r="CG622" s="28"/>
      <c r="CH622" s="28"/>
      <c r="CI622" s="28"/>
      <c r="CJ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c r="BE623" s="28"/>
      <c r="BF623" s="28"/>
      <c r="BG623" s="28"/>
      <c r="BH623" s="28"/>
      <c r="BI623" s="28"/>
      <c r="BJ623" s="28"/>
      <c r="BK623" s="28"/>
      <c r="BL623" s="28"/>
      <c r="BM623" s="28"/>
      <c r="BN623" s="28"/>
      <c r="BO623" s="28"/>
      <c r="BP623" s="28"/>
      <c r="BQ623" s="28"/>
      <c r="BR623" s="28"/>
      <c r="BS623" s="28"/>
      <c r="BT623" s="28"/>
      <c r="BU623" s="28"/>
      <c r="BV623" s="29"/>
      <c r="BW623" s="28"/>
      <c r="BX623" s="28"/>
      <c r="BY623" s="28"/>
      <c r="BZ623" s="28"/>
      <c r="CA623" s="28"/>
      <c r="CB623" s="28"/>
      <c r="CC623" s="28"/>
      <c r="CD623" s="28"/>
      <c r="CE623" s="28"/>
      <c r="CF623" s="28"/>
      <c r="CG623" s="28"/>
      <c r="CH623" s="28"/>
      <c r="CI623" s="28"/>
      <c r="CJ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9"/>
      <c r="BW624" s="28"/>
      <c r="BX624" s="28"/>
      <c r="BY624" s="28"/>
      <c r="BZ624" s="28"/>
      <c r="CA624" s="28"/>
      <c r="CB624" s="28"/>
      <c r="CC624" s="28"/>
      <c r="CD624" s="28"/>
      <c r="CE624" s="28"/>
      <c r="CF624" s="28"/>
      <c r="CG624" s="28"/>
      <c r="CH624" s="28"/>
      <c r="CI624" s="28"/>
      <c r="CJ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c r="BE625" s="28"/>
      <c r="BF625" s="28"/>
      <c r="BG625" s="28"/>
      <c r="BH625" s="28"/>
      <c r="BI625" s="28"/>
      <c r="BJ625" s="28"/>
      <c r="BK625" s="28"/>
      <c r="BL625" s="28"/>
      <c r="BM625" s="28"/>
      <c r="BN625" s="28"/>
      <c r="BO625" s="28"/>
      <c r="BP625" s="28"/>
      <c r="BQ625" s="28"/>
      <c r="BR625" s="28"/>
      <c r="BS625" s="28"/>
      <c r="BT625" s="28"/>
      <c r="BU625" s="28"/>
      <c r="BV625" s="29"/>
      <c r="BW625" s="28"/>
      <c r="BX625" s="28"/>
      <c r="BY625" s="28"/>
      <c r="BZ625" s="28"/>
      <c r="CA625" s="28"/>
      <c r="CB625" s="28"/>
      <c r="CC625" s="28"/>
      <c r="CD625" s="28"/>
      <c r="CE625" s="28"/>
      <c r="CF625" s="28"/>
      <c r="CG625" s="28"/>
      <c r="CH625" s="28"/>
      <c r="CI625" s="28"/>
      <c r="CJ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9"/>
      <c r="BW626" s="28"/>
      <c r="BX626" s="28"/>
      <c r="BY626" s="28"/>
      <c r="BZ626" s="28"/>
      <c r="CA626" s="28"/>
      <c r="CB626" s="28"/>
      <c r="CC626" s="28"/>
      <c r="CD626" s="28"/>
      <c r="CE626" s="28"/>
      <c r="CF626" s="28"/>
      <c r="CG626" s="28"/>
      <c r="CH626" s="28"/>
      <c r="CI626" s="28"/>
      <c r="CJ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28"/>
      <c r="BP627" s="28"/>
      <c r="BQ627" s="28"/>
      <c r="BR627" s="28"/>
      <c r="BS627" s="28"/>
      <c r="BT627" s="28"/>
      <c r="BU627" s="28"/>
      <c r="BV627" s="29"/>
      <c r="BW627" s="28"/>
      <c r="BX627" s="28"/>
      <c r="BY627" s="28"/>
      <c r="BZ627" s="28"/>
      <c r="CA627" s="28"/>
      <c r="CB627" s="28"/>
      <c r="CC627" s="28"/>
      <c r="CD627" s="28"/>
      <c r="CE627" s="28"/>
      <c r="CF627" s="28"/>
      <c r="CG627" s="28"/>
      <c r="CH627" s="28"/>
      <c r="CI627" s="28"/>
      <c r="CJ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9"/>
      <c r="BW628" s="28"/>
      <c r="BX628" s="28"/>
      <c r="BY628" s="28"/>
      <c r="BZ628" s="28"/>
      <c r="CA628" s="28"/>
      <c r="CB628" s="28"/>
      <c r="CC628" s="28"/>
      <c r="CD628" s="28"/>
      <c r="CE628" s="28"/>
      <c r="CF628" s="28"/>
      <c r="CG628" s="28"/>
      <c r="CH628" s="28"/>
      <c r="CI628" s="28"/>
      <c r="CJ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c r="BE629" s="28"/>
      <c r="BF629" s="28"/>
      <c r="BG629" s="28"/>
      <c r="BH629" s="28"/>
      <c r="BI629" s="28"/>
      <c r="BJ629" s="28"/>
      <c r="BK629" s="28"/>
      <c r="BL629" s="28"/>
      <c r="BM629" s="28"/>
      <c r="BN629" s="28"/>
      <c r="BO629" s="28"/>
      <c r="BP629" s="28"/>
      <c r="BQ629" s="28"/>
      <c r="BR629" s="28"/>
      <c r="BS629" s="28"/>
      <c r="BT629" s="28"/>
      <c r="BU629" s="28"/>
      <c r="BV629" s="29"/>
      <c r="BW629" s="28"/>
      <c r="BX629" s="28"/>
      <c r="BY629" s="28"/>
      <c r="BZ629" s="28"/>
      <c r="CA629" s="28"/>
      <c r="CB629" s="28"/>
      <c r="CC629" s="28"/>
      <c r="CD629" s="28"/>
      <c r="CE629" s="28"/>
      <c r="CF629" s="28"/>
      <c r="CG629" s="28"/>
      <c r="CH629" s="28"/>
      <c r="CI629" s="28"/>
      <c r="CJ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9"/>
      <c r="BW630" s="28"/>
      <c r="BX630" s="28"/>
      <c r="BY630" s="28"/>
      <c r="BZ630" s="28"/>
      <c r="CA630" s="28"/>
      <c r="CB630" s="28"/>
      <c r="CC630" s="28"/>
      <c r="CD630" s="28"/>
      <c r="CE630" s="28"/>
      <c r="CF630" s="28"/>
      <c r="CG630" s="28"/>
      <c r="CH630" s="28"/>
      <c r="CI630" s="28"/>
      <c r="CJ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c r="BE631" s="28"/>
      <c r="BF631" s="28"/>
      <c r="BG631" s="28"/>
      <c r="BH631" s="28"/>
      <c r="BI631" s="28"/>
      <c r="BJ631" s="28"/>
      <c r="BK631" s="28"/>
      <c r="BL631" s="28"/>
      <c r="BM631" s="28"/>
      <c r="BN631" s="28"/>
      <c r="BO631" s="28"/>
      <c r="BP631" s="28"/>
      <c r="BQ631" s="28"/>
      <c r="BR631" s="28"/>
      <c r="BS631" s="28"/>
      <c r="BT631" s="28"/>
      <c r="BU631" s="28"/>
      <c r="BV631" s="29"/>
      <c r="BW631" s="28"/>
      <c r="BX631" s="28"/>
      <c r="BY631" s="28"/>
      <c r="BZ631" s="28"/>
      <c r="CA631" s="28"/>
      <c r="CB631" s="28"/>
      <c r="CC631" s="28"/>
      <c r="CD631" s="28"/>
      <c r="CE631" s="28"/>
      <c r="CF631" s="28"/>
      <c r="CG631" s="28"/>
      <c r="CH631" s="28"/>
      <c r="CI631" s="28"/>
      <c r="CJ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9"/>
      <c r="BW632" s="28"/>
      <c r="BX632" s="28"/>
      <c r="BY632" s="28"/>
      <c r="BZ632" s="28"/>
      <c r="CA632" s="28"/>
      <c r="CB632" s="28"/>
      <c r="CC632" s="28"/>
      <c r="CD632" s="28"/>
      <c r="CE632" s="28"/>
      <c r="CF632" s="28"/>
      <c r="CG632" s="28"/>
      <c r="CH632" s="28"/>
      <c r="CI632" s="28"/>
      <c r="CJ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c r="BE633" s="28"/>
      <c r="BF633" s="28"/>
      <c r="BG633" s="28"/>
      <c r="BH633" s="28"/>
      <c r="BI633" s="28"/>
      <c r="BJ633" s="28"/>
      <c r="BK633" s="28"/>
      <c r="BL633" s="28"/>
      <c r="BM633" s="28"/>
      <c r="BN633" s="28"/>
      <c r="BO633" s="28"/>
      <c r="BP633" s="28"/>
      <c r="BQ633" s="28"/>
      <c r="BR633" s="28"/>
      <c r="BS633" s="28"/>
      <c r="BT633" s="28"/>
      <c r="BU633" s="28"/>
      <c r="BV633" s="29"/>
      <c r="BW633" s="28"/>
      <c r="BX633" s="28"/>
      <c r="BY633" s="28"/>
      <c r="BZ633" s="28"/>
      <c r="CA633" s="28"/>
      <c r="CB633" s="28"/>
      <c r="CC633" s="28"/>
      <c r="CD633" s="28"/>
      <c r="CE633" s="28"/>
      <c r="CF633" s="28"/>
      <c r="CG633" s="28"/>
      <c r="CH633" s="28"/>
      <c r="CI633" s="28"/>
      <c r="CJ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9"/>
      <c r="BW634" s="28"/>
      <c r="BX634" s="28"/>
      <c r="BY634" s="28"/>
      <c r="BZ634" s="28"/>
      <c r="CA634" s="28"/>
      <c r="CB634" s="28"/>
      <c r="CC634" s="28"/>
      <c r="CD634" s="28"/>
      <c r="CE634" s="28"/>
      <c r="CF634" s="28"/>
      <c r="CG634" s="28"/>
      <c r="CH634" s="28"/>
      <c r="CI634" s="28"/>
      <c r="CJ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28"/>
      <c r="BP635" s="28"/>
      <c r="BQ635" s="28"/>
      <c r="BR635" s="28"/>
      <c r="BS635" s="28"/>
      <c r="BT635" s="28"/>
      <c r="BU635" s="28"/>
      <c r="BV635" s="29"/>
      <c r="BW635" s="28"/>
      <c r="BX635" s="28"/>
      <c r="BY635" s="28"/>
      <c r="BZ635" s="28"/>
      <c r="CA635" s="28"/>
      <c r="CB635" s="28"/>
      <c r="CC635" s="28"/>
      <c r="CD635" s="28"/>
      <c r="CE635" s="28"/>
      <c r="CF635" s="28"/>
      <c r="CG635" s="28"/>
      <c r="CH635" s="28"/>
      <c r="CI635" s="28"/>
      <c r="CJ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9"/>
      <c r="BW636" s="28"/>
      <c r="BX636" s="28"/>
      <c r="BY636" s="28"/>
      <c r="BZ636" s="28"/>
      <c r="CA636" s="28"/>
      <c r="CB636" s="28"/>
      <c r="CC636" s="28"/>
      <c r="CD636" s="28"/>
      <c r="CE636" s="28"/>
      <c r="CF636" s="28"/>
      <c r="CG636" s="28"/>
      <c r="CH636" s="28"/>
      <c r="CI636" s="28"/>
      <c r="CJ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c r="BE637" s="28"/>
      <c r="BF637" s="28"/>
      <c r="BG637" s="28"/>
      <c r="BH637" s="28"/>
      <c r="BI637" s="28"/>
      <c r="BJ637" s="28"/>
      <c r="BK637" s="28"/>
      <c r="BL637" s="28"/>
      <c r="BM637" s="28"/>
      <c r="BN637" s="28"/>
      <c r="BO637" s="28"/>
      <c r="BP637" s="28"/>
      <c r="BQ637" s="28"/>
      <c r="BR637" s="28"/>
      <c r="BS637" s="28"/>
      <c r="BT637" s="28"/>
      <c r="BU637" s="28"/>
      <c r="BV637" s="29"/>
      <c r="BW637" s="28"/>
      <c r="BX637" s="28"/>
      <c r="BY637" s="28"/>
      <c r="BZ637" s="28"/>
      <c r="CA637" s="28"/>
      <c r="CB637" s="28"/>
      <c r="CC637" s="28"/>
      <c r="CD637" s="28"/>
      <c r="CE637" s="28"/>
      <c r="CF637" s="28"/>
      <c r="CG637" s="28"/>
      <c r="CH637" s="28"/>
      <c r="CI637" s="28"/>
      <c r="CJ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9"/>
      <c r="BW638" s="28"/>
      <c r="BX638" s="28"/>
      <c r="BY638" s="28"/>
      <c r="BZ638" s="28"/>
      <c r="CA638" s="28"/>
      <c r="CB638" s="28"/>
      <c r="CC638" s="28"/>
      <c r="CD638" s="28"/>
      <c r="CE638" s="28"/>
      <c r="CF638" s="28"/>
      <c r="CG638" s="28"/>
      <c r="CH638" s="28"/>
      <c r="CI638" s="28"/>
      <c r="CJ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c r="BE639" s="28"/>
      <c r="BF639" s="28"/>
      <c r="BG639" s="28"/>
      <c r="BH639" s="28"/>
      <c r="BI639" s="28"/>
      <c r="BJ639" s="28"/>
      <c r="BK639" s="28"/>
      <c r="BL639" s="28"/>
      <c r="BM639" s="28"/>
      <c r="BN639" s="28"/>
      <c r="BO639" s="28"/>
      <c r="BP639" s="28"/>
      <c r="BQ639" s="28"/>
      <c r="BR639" s="28"/>
      <c r="BS639" s="28"/>
      <c r="BT639" s="28"/>
      <c r="BU639" s="28"/>
      <c r="BV639" s="29"/>
      <c r="BW639" s="28"/>
      <c r="BX639" s="28"/>
      <c r="BY639" s="28"/>
      <c r="BZ639" s="28"/>
      <c r="CA639" s="28"/>
      <c r="CB639" s="28"/>
      <c r="CC639" s="28"/>
      <c r="CD639" s="28"/>
      <c r="CE639" s="28"/>
      <c r="CF639" s="28"/>
      <c r="CG639" s="28"/>
      <c r="CH639" s="28"/>
      <c r="CI639" s="28"/>
      <c r="CJ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9"/>
      <c r="BW640" s="28"/>
      <c r="BX640" s="28"/>
      <c r="BY640" s="28"/>
      <c r="BZ640" s="28"/>
      <c r="CA640" s="28"/>
      <c r="CB640" s="28"/>
      <c r="CC640" s="28"/>
      <c r="CD640" s="28"/>
      <c r="CE640" s="28"/>
      <c r="CF640" s="28"/>
      <c r="CG640" s="28"/>
      <c r="CH640" s="28"/>
      <c r="CI640" s="28"/>
      <c r="CJ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c r="BE641" s="28"/>
      <c r="BF641" s="28"/>
      <c r="BG641" s="28"/>
      <c r="BH641" s="28"/>
      <c r="BI641" s="28"/>
      <c r="BJ641" s="28"/>
      <c r="BK641" s="28"/>
      <c r="BL641" s="28"/>
      <c r="BM641" s="28"/>
      <c r="BN641" s="28"/>
      <c r="BO641" s="28"/>
      <c r="BP641" s="28"/>
      <c r="BQ641" s="28"/>
      <c r="BR641" s="28"/>
      <c r="BS641" s="28"/>
      <c r="BT641" s="28"/>
      <c r="BU641" s="28"/>
      <c r="BV641" s="29"/>
      <c r="BW641" s="28"/>
      <c r="BX641" s="28"/>
      <c r="BY641" s="28"/>
      <c r="BZ641" s="28"/>
      <c r="CA641" s="28"/>
      <c r="CB641" s="28"/>
      <c r="CC641" s="28"/>
      <c r="CD641" s="28"/>
      <c r="CE641" s="28"/>
      <c r="CF641" s="28"/>
      <c r="CG641" s="28"/>
      <c r="CH641" s="28"/>
      <c r="CI641" s="28"/>
      <c r="CJ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9"/>
      <c r="BW642" s="28"/>
      <c r="BX642" s="28"/>
      <c r="BY642" s="28"/>
      <c r="BZ642" s="28"/>
      <c r="CA642" s="28"/>
      <c r="CB642" s="28"/>
      <c r="CC642" s="28"/>
      <c r="CD642" s="28"/>
      <c r="CE642" s="28"/>
      <c r="CF642" s="28"/>
      <c r="CG642" s="28"/>
      <c r="CH642" s="28"/>
      <c r="CI642" s="28"/>
      <c r="CJ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c r="BE643" s="28"/>
      <c r="BF643" s="28"/>
      <c r="BG643" s="28"/>
      <c r="BH643" s="28"/>
      <c r="BI643" s="28"/>
      <c r="BJ643" s="28"/>
      <c r="BK643" s="28"/>
      <c r="BL643" s="28"/>
      <c r="BM643" s="28"/>
      <c r="BN643" s="28"/>
      <c r="BO643" s="28"/>
      <c r="BP643" s="28"/>
      <c r="BQ643" s="28"/>
      <c r="BR643" s="28"/>
      <c r="BS643" s="28"/>
      <c r="BT643" s="28"/>
      <c r="BU643" s="28"/>
      <c r="BV643" s="29"/>
      <c r="BW643" s="28"/>
      <c r="BX643" s="28"/>
      <c r="BY643" s="28"/>
      <c r="BZ643" s="28"/>
      <c r="CA643" s="28"/>
      <c r="CB643" s="28"/>
      <c r="CC643" s="28"/>
      <c r="CD643" s="28"/>
      <c r="CE643" s="28"/>
      <c r="CF643" s="28"/>
      <c r="CG643" s="28"/>
      <c r="CH643" s="28"/>
      <c r="CI643" s="28"/>
      <c r="CJ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9"/>
      <c r="BW644" s="28"/>
      <c r="BX644" s="28"/>
      <c r="BY644" s="28"/>
      <c r="BZ644" s="28"/>
      <c r="CA644" s="28"/>
      <c r="CB644" s="28"/>
      <c r="CC644" s="28"/>
      <c r="CD644" s="28"/>
      <c r="CE644" s="28"/>
      <c r="CF644" s="28"/>
      <c r="CG644" s="28"/>
      <c r="CH644" s="28"/>
      <c r="CI644" s="28"/>
      <c r="CJ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9"/>
      <c r="BW645" s="28"/>
      <c r="BX645" s="28"/>
      <c r="BY645" s="28"/>
      <c r="BZ645" s="28"/>
      <c r="CA645" s="28"/>
      <c r="CB645" s="28"/>
      <c r="CC645" s="28"/>
      <c r="CD645" s="28"/>
      <c r="CE645" s="28"/>
      <c r="CF645" s="28"/>
      <c r="CG645" s="28"/>
      <c r="CH645" s="28"/>
      <c r="CI645" s="28"/>
      <c r="CJ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9"/>
      <c r="BW646" s="28"/>
      <c r="BX646" s="28"/>
      <c r="BY646" s="28"/>
      <c r="BZ646" s="28"/>
      <c r="CA646" s="28"/>
      <c r="CB646" s="28"/>
      <c r="CC646" s="28"/>
      <c r="CD646" s="28"/>
      <c r="CE646" s="28"/>
      <c r="CF646" s="28"/>
      <c r="CG646" s="28"/>
      <c r="CH646" s="28"/>
      <c r="CI646" s="28"/>
      <c r="CJ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c r="BE647" s="28"/>
      <c r="BF647" s="28"/>
      <c r="BG647" s="28"/>
      <c r="BH647" s="28"/>
      <c r="BI647" s="28"/>
      <c r="BJ647" s="28"/>
      <c r="BK647" s="28"/>
      <c r="BL647" s="28"/>
      <c r="BM647" s="28"/>
      <c r="BN647" s="28"/>
      <c r="BO647" s="28"/>
      <c r="BP647" s="28"/>
      <c r="BQ647" s="28"/>
      <c r="BR647" s="28"/>
      <c r="BS647" s="28"/>
      <c r="BT647" s="28"/>
      <c r="BU647" s="28"/>
      <c r="BV647" s="29"/>
      <c r="BW647" s="28"/>
      <c r="BX647" s="28"/>
      <c r="BY647" s="28"/>
      <c r="BZ647" s="28"/>
      <c r="CA647" s="28"/>
      <c r="CB647" s="28"/>
      <c r="CC647" s="28"/>
      <c r="CD647" s="28"/>
      <c r="CE647" s="28"/>
      <c r="CF647" s="28"/>
      <c r="CG647" s="28"/>
      <c r="CH647" s="28"/>
      <c r="CI647" s="28"/>
      <c r="CJ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9"/>
      <c r="BW648" s="28"/>
      <c r="BX648" s="28"/>
      <c r="BY648" s="28"/>
      <c r="BZ648" s="28"/>
      <c r="CA648" s="28"/>
      <c r="CB648" s="28"/>
      <c r="CC648" s="28"/>
      <c r="CD648" s="28"/>
      <c r="CE648" s="28"/>
      <c r="CF648" s="28"/>
      <c r="CG648" s="28"/>
      <c r="CH648" s="28"/>
      <c r="CI648" s="28"/>
      <c r="CJ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9"/>
      <c r="BW649" s="28"/>
      <c r="BX649" s="28"/>
      <c r="BY649" s="28"/>
      <c r="BZ649" s="28"/>
      <c r="CA649" s="28"/>
      <c r="CB649" s="28"/>
      <c r="CC649" s="28"/>
      <c r="CD649" s="28"/>
      <c r="CE649" s="28"/>
      <c r="CF649" s="28"/>
      <c r="CG649" s="28"/>
      <c r="CH649" s="28"/>
      <c r="CI649" s="28"/>
      <c r="CJ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9"/>
      <c r="BW650" s="28"/>
      <c r="BX650" s="28"/>
      <c r="BY650" s="28"/>
      <c r="BZ650" s="28"/>
      <c r="CA650" s="28"/>
      <c r="CB650" s="28"/>
      <c r="CC650" s="28"/>
      <c r="CD650" s="28"/>
      <c r="CE650" s="28"/>
      <c r="CF650" s="28"/>
      <c r="CG650" s="28"/>
      <c r="CH650" s="28"/>
      <c r="CI650" s="28"/>
      <c r="CJ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c r="BE651" s="28"/>
      <c r="BF651" s="28"/>
      <c r="BG651" s="28"/>
      <c r="BH651" s="28"/>
      <c r="BI651" s="28"/>
      <c r="BJ651" s="28"/>
      <c r="BK651" s="28"/>
      <c r="BL651" s="28"/>
      <c r="BM651" s="28"/>
      <c r="BN651" s="28"/>
      <c r="BO651" s="28"/>
      <c r="BP651" s="28"/>
      <c r="BQ651" s="28"/>
      <c r="BR651" s="28"/>
      <c r="BS651" s="28"/>
      <c r="BT651" s="28"/>
      <c r="BU651" s="28"/>
      <c r="BV651" s="29"/>
      <c r="BW651" s="28"/>
      <c r="BX651" s="28"/>
      <c r="BY651" s="28"/>
      <c r="BZ651" s="28"/>
      <c r="CA651" s="28"/>
      <c r="CB651" s="28"/>
      <c r="CC651" s="28"/>
      <c r="CD651" s="28"/>
      <c r="CE651" s="28"/>
      <c r="CF651" s="28"/>
      <c r="CG651" s="28"/>
      <c r="CH651" s="28"/>
      <c r="CI651" s="28"/>
      <c r="CJ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9"/>
      <c r="BW652" s="28"/>
      <c r="BX652" s="28"/>
      <c r="BY652" s="28"/>
      <c r="BZ652" s="28"/>
      <c r="CA652" s="28"/>
      <c r="CB652" s="28"/>
      <c r="CC652" s="28"/>
      <c r="CD652" s="28"/>
      <c r="CE652" s="28"/>
      <c r="CF652" s="28"/>
      <c r="CG652" s="28"/>
      <c r="CH652" s="28"/>
      <c r="CI652" s="28"/>
      <c r="CJ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28"/>
      <c r="BP653" s="28"/>
      <c r="BQ653" s="28"/>
      <c r="BR653" s="28"/>
      <c r="BS653" s="28"/>
      <c r="BT653" s="28"/>
      <c r="BU653" s="28"/>
      <c r="BV653" s="29"/>
      <c r="BW653" s="28"/>
      <c r="BX653" s="28"/>
      <c r="BY653" s="28"/>
      <c r="BZ653" s="28"/>
      <c r="CA653" s="28"/>
      <c r="CB653" s="28"/>
      <c r="CC653" s="28"/>
      <c r="CD653" s="28"/>
      <c r="CE653" s="28"/>
      <c r="CF653" s="28"/>
      <c r="CG653" s="28"/>
      <c r="CH653" s="28"/>
      <c r="CI653" s="28"/>
      <c r="CJ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9"/>
      <c r="BW654" s="28"/>
      <c r="BX654" s="28"/>
      <c r="BY654" s="28"/>
      <c r="BZ654" s="28"/>
      <c r="CA654" s="28"/>
      <c r="CB654" s="28"/>
      <c r="CC654" s="28"/>
      <c r="CD654" s="28"/>
      <c r="CE654" s="28"/>
      <c r="CF654" s="28"/>
      <c r="CG654" s="28"/>
      <c r="CH654" s="28"/>
      <c r="CI654" s="28"/>
      <c r="CJ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28"/>
      <c r="BR655" s="28"/>
      <c r="BS655" s="28"/>
      <c r="BT655" s="28"/>
      <c r="BU655" s="28"/>
      <c r="BV655" s="29"/>
      <c r="BW655" s="28"/>
      <c r="BX655" s="28"/>
      <c r="BY655" s="28"/>
      <c r="BZ655" s="28"/>
      <c r="CA655" s="28"/>
      <c r="CB655" s="28"/>
      <c r="CC655" s="28"/>
      <c r="CD655" s="28"/>
      <c r="CE655" s="28"/>
      <c r="CF655" s="28"/>
      <c r="CG655" s="28"/>
      <c r="CH655" s="28"/>
      <c r="CI655" s="28"/>
      <c r="CJ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9"/>
      <c r="BW656" s="28"/>
      <c r="BX656" s="28"/>
      <c r="BY656" s="28"/>
      <c r="BZ656" s="28"/>
      <c r="CA656" s="28"/>
      <c r="CB656" s="28"/>
      <c r="CC656" s="28"/>
      <c r="CD656" s="28"/>
      <c r="CE656" s="28"/>
      <c r="CF656" s="28"/>
      <c r="CG656" s="28"/>
      <c r="CH656" s="28"/>
      <c r="CI656" s="28"/>
      <c r="CJ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c r="BE657" s="28"/>
      <c r="BF657" s="28"/>
      <c r="BG657" s="28"/>
      <c r="BH657" s="28"/>
      <c r="BI657" s="28"/>
      <c r="BJ657" s="28"/>
      <c r="BK657" s="28"/>
      <c r="BL657" s="28"/>
      <c r="BM657" s="28"/>
      <c r="BN657" s="28"/>
      <c r="BO657" s="28"/>
      <c r="BP657" s="28"/>
      <c r="BQ657" s="28"/>
      <c r="BR657" s="28"/>
      <c r="BS657" s="28"/>
      <c r="BT657" s="28"/>
      <c r="BU657" s="28"/>
      <c r="BV657" s="29"/>
      <c r="BW657" s="28"/>
      <c r="BX657" s="28"/>
      <c r="BY657" s="28"/>
      <c r="BZ657" s="28"/>
      <c r="CA657" s="28"/>
      <c r="CB657" s="28"/>
      <c r="CC657" s="28"/>
      <c r="CD657" s="28"/>
      <c r="CE657" s="28"/>
      <c r="CF657" s="28"/>
      <c r="CG657" s="28"/>
      <c r="CH657" s="28"/>
      <c r="CI657" s="28"/>
      <c r="CJ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9"/>
      <c r="BW658" s="28"/>
      <c r="BX658" s="28"/>
      <c r="BY658" s="28"/>
      <c r="BZ658" s="28"/>
      <c r="CA658" s="28"/>
      <c r="CB658" s="28"/>
      <c r="CC658" s="28"/>
      <c r="CD658" s="28"/>
      <c r="CE658" s="28"/>
      <c r="CF658" s="28"/>
      <c r="CG658" s="28"/>
      <c r="CH658" s="28"/>
      <c r="CI658" s="28"/>
      <c r="CJ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c r="BE659" s="28"/>
      <c r="BF659" s="28"/>
      <c r="BG659" s="28"/>
      <c r="BH659" s="28"/>
      <c r="BI659" s="28"/>
      <c r="BJ659" s="28"/>
      <c r="BK659" s="28"/>
      <c r="BL659" s="28"/>
      <c r="BM659" s="28"/>
      <c r="BN659" s="28"/>
      <c r="BO659" s="28"/>
      <c r="BP659" s="28"/>
      <c r="BQ659" s="28"/>
      <c r="BR659" s="28"/>
      <c r="BS659" s="28"/>
      <c r="BT659" s="28"/>
      <c r="BU659" s="28"/>
      <c r="BV659" s="29"/>
      <c r="BW659" s="28"/>
      <c r="BX659" s="28"/>
      <c r="BY659" s="28"/>
      <c r="BZ659" s="28"/>
      <c r="CA659" s="28"/>
      <c r="CB659" s="28"/>
      <c r="CC659" s="28"/>
      <c r="CD659" s="28"/>
      <c r="CE659" s="28"/>
      <c r="CF659" s="28"/>
      <c r="CG659" s="28"/>
      <c r="CH659" s="28"/>
      <c r="CI659" s="28"/>
      <c r="CJ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9"/>
      <c r="BW660" s="28"/>
      <c r="BX660" s="28"/>
      <c r="BY660" s="28"/>
      <c r="BZ660" s="28"/>
      <c r="CA660" s="28"/>
      <c r="CB660" s="28"/>
      <c r="CC660" s="28"/>
      <c r="CD660" s="28"/>
      <c r="CE660" s="28"/>
      <c r="CF660" s="28"/>
      <c r="CG660" s="28"/>
      <c r="CH660" s="28"/>
      <c r="CI660" s="28"/>
      <c r="CJ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c r="BE661" s="28"/>
      <c r="BF661" s="28"/>
      <c r="BG661" s="28"/>
      <c r="BH661" s="28"/>
      <c r="BI661" s="28"/>
      <c r="BJ661" s="28"/>
      <c r="BK661" s="28"/>
      <c r="BL661" s="28"/>
      <c r="BM661" s="28"/>
      <c r="BN661" s="28"/>
      <c r="BO661" s="28"/>
      <c r="BP661" s="28"/>
      <c r="BQ661" s="28"/>
      <c r="BR661" s="28"/>
      <c r="BS661" s="28"/>
      <c r="BT661" s="28"/>
      <c r="BU661" s="28"/>
      <c r="BV661" s="29"/>
      <c r="BW661" s="28"/>
      <c r="BX661" s="28"/>
      <c r="BY661" s="28"/>
      <c r="BZ661" s="28"/>
      <c r="CA661" s="28"/>
      <c r="CB661" s="28"/>
      <c r="CC661" s="28"/>
      <c r="CD661" s="28"/>
      <c r="CE661" s="28"/>
      <c r="CF661" s="28"/>
      <c r="CG661" s="28"/>
      <c r="CH661" s="28"/>
      <c r="CI661" s="28"/>
      <c r="CJ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9"/>
      <c r="BW662" s="28"/>
      <c r="BX662" s="28"/>
      <c r="BY662" s="28"/>
      <c r="BZ662" s="28"/>
      <c r="CA662" s="28"/>
      <c r="CB662" s="28"/>
      <c r="CC662" s="28"/>
      <c r="CD662" s="28"/>
      <c r="CE662" s="28"/>
      <c r="CF662" s="28"/>
      <c r="CG662" s="28"/>
      <c r="CH662" s="28"/>
      <c r="CI662" s="28"/>
      <c r="CJ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c r="BE663" s="28"/>
      <c r="BF663" s="28"/>
      <c r="BG663" s="28"/>
      <c r="BH663" s="28"/>
      <c r="BI663" s="28"/>
      <c r="BJ663" s="28"/>
      <c r="BK663" s="28"/>
      <c r="BL663" s="28"/>
      <c r="BM663" s="28"/>
      <c r="BN663" s="28"/>
      <c r="BO663" s="28"/>
      <c r="BP663" s="28"/>
      <c r="BQ663" s="28"/>
      <c r="BR663" s="28"/>
      <c r="BS663" s="28"/>
      <c r="BT663" s="28"/>
      <c r="BU663" s="28"/>
      <c r="BV663" s="29"/>
      <c r="BW663" s="28"/>
      <c r="BX663" s="28"/>
      <c r="BY663" s="28"/>
      <c r="BZ663" s="28"/>
      <c r="CA663" s="28"/>
      <c r="CB663" s="28"/>
      <c r="CC663" s="28"/>
      <c r="CD663" s="28"/>
      <c r="CE663" s="28"/>
      <c r="CF663" s="28"/>
      <c r="CG663" s="28"/>
      <c r="CH663" s="28"/>
      <c r="CI663" s="28"/>
      <c r="CJ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9"/>
      <c r="BW664" s="28"/>
      <c r="BX664" s="28"/>
      <c r="BY664" s="28"/>
      <c r="BZ664" s="28"/>
      <c r="CA664" s="28"/>
      <c r="CB664" s="28"/>
      <c r="CC664" s="28"/>
      <c r="CD664" s="28"/>
      <c r="CE664" s="28"/>
      <c r="CF664" s="28"/>
      <c r="CG664" s="28"/>
      <c r="CH664" s="28"/>
      <c r="CI664" s="28"/>
      <c r="CJ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28"/>
      <c r="BP665" s="28"/>
      <c r="BQ665" s="28"/>
      <c r="BR665" s="28"/>
      <c r="BS665" s="28"/>
      <c r="BT665" s="28"/>
      <c r="BU665" s="28"/>
      <c r="BV665" s="29"/>
      <c r="BW665" s="28"/>
      <c r="BX665" s="28"/>
      <c r="BY665" s="28"/>
      <c r="BZ665" s="28"/>
      <c r="CA665" s="28"/>
      <c r="CB665" s="28"/>
      <c r="CC665" s="28"/>
      <c r="CD665" s="28"/>
      <c r="CE665" s="28"/>
      <c r="CF665" s="28"/>
      <c r="CG665" s="28"/>
      <c r="CH665" s="28"/>
      <c r="CI665" s="28"/>
      <c r="CJ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9"/>
      <c r="BW666" s="28"/>
      <c r="BX666" s="28"/>
      <c r="BY666" s="28"/>
      <c r="BZ666" s="28"/>
      <c r="CA666" s="28"/>
      <c r="CB666" s="28"/>
      <c r="CC666" s="28"/>
      <c r="CD666" s="28"/>
      <c r="CE666" s="28"/>
      <c r="CF666" s="28"/>
      <c r="CG666" s="28"/>
      <c r="CH666" s="28"/>
      <c r="CI666" s="28"/>
      <c r="CJ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c r="BE667" s="28"/>
      <c r="BF667" s="28"/>
      <c r="BG667" s="28"/>
      <c r="BH667" s="28"/>
      <c r="BI667" s="28"/>
      <c r="BJ667" s="28"/>
      <c r="BK667" s="28"/>
      <c r="BL667" s="28"/>
      <c r="BM667" s="28"/>
      <c r="BN667" s="28"/>
      <c r="BO667" s="28"/>
      <c r="BP667" s="28"/>
      <c r="BQ667" s="28"/>
      <c r="BR667" s="28"/>
      <c r="BS667" s="28"/>
      <c r="BT667" s="28"/>
      <c r="BU667" s="28"/>
      <c r="BV667" s="29"/>
      <c r="BW667" s="28"/>
      <c r="BX667" s="28"/>
      <c r="BY667" s="28"/>
      <c r="BZ667" s="28"/>
      <c r="CA667" s="28"/>
      <c r="CB667" s="28"/>
      <c r="CC667" s="28"/>
      <c r="CD667" s="28"/>
      <c r="CE667" s="28"/>
      <c r="CF667" s="28"/>
      <c r="CG667" s="28"/>
      <c r="CH667" s="28"/>
      <c r="CI667" s="28"/>
      <c r="CJ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9"/>
      <c r="BW668" s="28"/>
      <c r="BX668" s="28"/>
      <c r="BY668" s="28"/>
      <c r="BZ668" s="28"/>
      <c r="CA668" s="28"/>
      <c r="CB668" s="28"/>
      <c r="CC668" s="28"/>
      <c r="CD668" s="28"/>
      <c r="CE668" s="28"/>
      <c r="CF668" s="28"/>
      <c r="CG668" s="28"/>
      <c r="CH668" s="28"/>
      <c r="CI668" s="28"/>
      <c r="CJ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c r="BE669" s="28"/>
      <c r="BF669" s="28"/>
      <c r="BG669" s="28"/>
      <c r="BH669" s="28"/>
      <c r="BI669" s="28"/>
      <c r="BJ669" s="28"/>
      <c r="BK669" s="28"/>
      <c r="BL669" s="28"/>
      <c r="BM669" s="28"/>
      <c r="BN669" s="28"/>
      <c r="BO669" s="28"/>
      <c r="BP669" s="28"/>
      <c r="BQ669" s="28"/>
      <c r="BR669" s="28"/>
      <c r="BS669" s="28"/>
      <c r="BT669" s="28"/>
      <c r="BU669" s="28"/>
      <c r="BV669" s="29"/>
      <c r="BW669" s="28"/>
      <c r="BX669" s="28"/>
      <c r="BY669" s="28"/>
      <c r="BZ669" s="28"/>
      <c r="CA669" s="28"/>
      <c r="CB669" s="28"/>
      <c r="CC669" s="28"/>
      <c r="CD669" s="28"/>
      <c r="CE669" s="28"/>
      <c r="CF669" s="28"/>
      <c r="CG669" s="28"/>
      <c r="CH669" s="28"/>
      <c r="CI669" s="28"/>
      <c r="CJ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9"/>
      <c r="BW670" s="28"/>
      <c r="BX670" s="28"/>
      <c r="BY670" s="28"/>
      <c r="BZ670" s="28"/>
      <c r="CA670" s="28"/>
      <c r="CB670" s="28"/>
      <c r="CC670" s="28"/>
      <c r="CD670" s="28"/>
      <c r="CE670" s="28"/>
      <c r="CF670" s="28"/>
      <c r="CG670" s="28"/>
      <c r="CH670" s="28"/>
      <c r="CI670" s="28"/>
      <c r="CJ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c r="BE671" s="28"/>
      <c r="BF671" s="28"/>
      <c r="BG671" s="28"/>
      <c r="BH671" s="28"/>
      <c r="BI671" s="28"/>
      <c r="BJ671" s="28"/>
      <c r="BK671" s="28"/>
      <c r="BL671" s="28"/>
      <c r="BM671" s="28"/>
      <c r="BN671" s="28"/>
      <c r="BO671" s="28"/>
      <c r="BP671" s="28"/>
      <c r="BQ671" s="28"/>
      <c r="BR671" s="28"/>
      <c r="BS671" s="28"/>
      <c r="BT671" s="28"/>
      <c r="BU671" s="28"/>
      <c r="BV671" s="29"/>
      <c r="BW671" s="28"/>
      <c r="BX671" s="28"/>
      <c r="BY671" s="28"/>
      <c r="BZ671" s="28"/>
      <c r="CA671" s="28"/>
      <c r="CB671" s="28"/>
      <c r="CC671" s="28"/>
      <c r="CD671" s="28"/>
      <c r="CE671" s="28"/>
      <c r="CF671" s="28"/>
      <c r="CG671" s="28"/>
      <c r="CH671" s="28"/>
      <c r="CI671" s="28"/>
      <c r="CJ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9"/>
      <c r="BW672" s="28"/>
      <c r="BX672" s="28"/>
      <c r="BY672" s="28"/>
      <c r="BZ672" s="28"/>
      <c r="CA672" s="28"/>
      <c r="CB672" s="28"/>
      <c r="CC672" s="28"/>
      <c r="CD672" s="28"/>
      <c r="CE672" s="28"/>
      <c r="CF672" s="28"/>
      <c r="CG672" s="28"/>
      <c r="CH672" s="28"/>
      <c r="CI672" s="28"/>
      <c r="CJ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c r="BE673" s="28"/>
      <c r="BF673" s="28"/>
      <c r="BG673" s="28"/>
      <c r="BH673" s="28"/>
      <c r="BI673" s="28"/>
      <c r="BJ673" s="28"/>
      <c r="BK673" s="28"/>
      <c r="BL673" s="28"/>
      <c r="BM673" s="28"/>
      <c r="BN673" s="28"/>
      <c r="BO673" s="28"/>
      <c r="BP673" s="28"/>
      <c r="BQ673" s="28"/>
      <c r="BR673" s="28"/>
      <c r="BS673" s="28"/>
      <c r="BT673" s="28"/>
      <c r="BU673" s="28"/>
      <c r="BV673" s="29"/>
      <c r="BW673" s="28"/>
      <c r="BX673" s="28"/>
      <c r="BY673" s="28"/>
      <c r="BZ673" s="28"/>
      <c r="CA673" s="28"/>
      <c r="CB673" s="28"/>
      <c r="CC673" s="28"/>
      <c r="CD673" s="28"/>
      <c r="CE673" s="28"/>
      <c r="CF673" s="28"/>
      <c r="CG673" s="28"/>
      <c r="CH673" s="28"/>
      <c r="CI673" s="28"/>
      <c r="CJ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9"/>
      <c r="BW674" s="28"/>
      <c r="BX674" s="28"/>
      <c r="BY674" s="28"/>
      <c r="BZ674" s="28"/>
      <c r="CA674" s="28"/>
      <c r="CB674" s="28"/>
      <c r="CC674" s="28"/>
      <c r="CD674" s="28"/>
      <c r="CE674" s="28"/>
      <c r="CF674" s="28"/>
      <c r="CG674" s="28"/>
      <c r="CH674" s="28"/>
      <c r="CI674" s="28"/>
      <c r="CJ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c r="BE675" s="28"/>
      <c r="BF675" s="28"/>
      <c r="BG675" s="28"/>
      <c r="BH675" s="28"/>
      <c r="BI675" s="28"/>
      <c r="BJ675" s="28"/>
      <c r="BK675" s="28"/>
      <c r="BL675" s="28"/>
      <c r="BM675" s="28"/>
      <c r="BN675" s="28"/>
      <c r="BO675" s="28"/>
      <c r="BP675" s="28"/>
      <c r="BQ675" s="28"/>
      <c r="BR675" s="28"/>
      <c r="BS675" s="28"/>
      <c r="BT675" s="28"/>
      <c r="BU675" s="28"/>
      <c r="BV675" s="29"/>
      <c r="BW675" s="28"/>
      <c r="BX675" s="28"/>
      <c r="BY675" s="28"/>
      <c r="BZ675" s="28"/>
      <c r="CA675" s="28"/>
      <c r="CB675" s="28"/>
      <c r="CC675" s="28"/>
      <c r="CD675" s="28"/>
      <c r="CE675" s="28"/>
      <c r="CF675" s="28"/>
      <c r="CG675" s="28"/>
      <c r="CH675" s="28"/>
      <c r="CI675" s="28"/>
      <c r="CJ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9"/>
      <c r="BW676" s="28"/>
      <c r="BX676" s="28"/>
      <c r="BY676" s="28"/>
      <c r="BZ676" s="28"/>
      <c r="CA676" s="28"/>
      <c r="CB676" s="28"/>
      <c r="CC676" s="28"/>
      <c r="CD676" s="28"/>
      <c r="CE676" s="28"/>
      <c r="CF676" s="28"/>
      <c r="CG676" s="28"/>
      <c r="CH676" s="28"/>
      <c r="CI676" s="28"/>
      <c r="CJ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c r="BE677" s="28"/>
      <c r="BF677" s="28"/>
      <c r="BG677" s="28"/>
      <c r="BH677" s="28"/>
      <c r="BI677" s="28"/>
      <c r="BJ677" s="28"/>
      <c r="BK677" s="28"/>
      <c r="BL677" s="28"/>
      <c r="BM677" s="28"/>
      <c r="BN677" s="28"/>
      <c r="BO677" s="28"/>
      <c r="BP677" s="28"/>
      <c r="BQ677" s="28"/>
      <c r="BR677" s="28"/>
      <c r="BS677" s="28"/>
      <c r="BT677" s="28"/>
      <c r="BU677" s="28"/>
      <c r="BV677" s="29"/>
      <c r="BW677" s="28"/>
      <c r="BX677" s="28"/>
      <c r="BY677" s="28"/>
      <c r="BZ677" s="28"/>
      <c r="CA677" s="28"/>
      <c r="CB677" s="28"/>
      <c r="CC677" s="28"/>
      <c r="CD677" s="28"/>
      <c r="CE677" s="28"/>
      <c r="CF677" s="28"/>
      <c r="CG677" s="28"/>
      <c r="CH677" s="28"/>
      <c r="CI677" s="28"/>
      <c r="CJ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9"/>
      <c r="BW678" s="28"/>
      <c r="BX678" s="28"/>
      <c r="BY678" s="28"/>
      <c r="BZ678" s="28"/>
      <c r="CA678" s="28"/>
      <c r="CB678" s="28"/>
      <c r="CC678" s="28"/>
      <c r="CD678" s="28"/>
      <c r="CE678" s="28"/>
      <c r="CF678" s="28"/>
      <c r="CG678" s="28"/>
      <c r="CH678" s="28"/>
      <c r="CI678" s="28"/>
      <c r="CJ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c r="BE679" s="28"/>
      <c r="BF679" s="28"/>
      <c r="BG679" s="28"/>
      <c r="BH679" s="28"/>
      <c r="BI679" s="28"/>
      <c r="BJ679" s="28"/>
      <c r="BK679" s="28"/>
      <c r="BL679" s="28"/>
      <c r="BM679" s="28"/>
      <c r="BN679" s="28"/>
      <c r="BO679" s="28"/>
      <c r="BP679" s="28"/>
      <c r="BQ679" s="28"/>
      <c r="BR679" s="28"/>
      <c r="BS679" s="28"/>
      <c r="BT679" s="28"/>
      <c r="BU679" s="28"/>
      <c r="BV679" s="29"/>
      <c r="BW679" s="28"/>
      <c r="BX679" s="28"/>
      <c r="BY679" s="28"/>
      <c r="BZ679" s="28"/>
      <c r="CA679" s="28"/>
      <c r="CB679" s="28"/>
      <c r="CC679" s="28"/>
      <c r="CD679" s="28"/>
      <c r="CE679" s="28"/>
      <c r="CF679" s="28"/>
      <c r="CG679" s="28"/>
      <c r="CH679" s="28"/>
      <c r="CI679" s="28"/>
      <c r="CJ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9"/>
      <c r="BW680" s="28"/>
      <c r="BX680" s="28"/>
      <c r="BY680" s="28"/>
      <c r="BZ680" s="28"/>
      <c r="CA680" s="28"/>
      <c r="CB680" s="28"/>
      <c r="CC680" s="28"/>
      <c r="CD680" s="28"/>
      <c r="CE680" s="28"/>
      <c r="CF680" s="28"/>
      <c r="CG680" s="28"/>
      <c r="CH680" s="28"/>
      <c r="CI680" s="28"/>
      <c r="CJ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c r="BE681" s="28"/>
      <c r="BF681" s="28"/>
      <c r="BG681" s="28"/>
      <c r="BH681" s="28"/>
      <c r="BI681" s="28"/>
      <c r="BJ681" s="28"/>
      <c r="BK681" s="28"/>
      <c r="BL681" s="28"/>
      <c r="BM681" s="28"/>
      <c r="BN681" s="28"/>
      <c r="BO681" s="28"/>
      <c r="BP681" s="28"/>
      <c r="BQ681" s="28"/>
      <c r="BR681" s="28"/>
      <c r="BS681" s="28"/>
      <c r="BT681" s="28"/>
      <c r="BU681" s="28"/>
      <c r="BV681" s="29"/>
      <c r="BW681" s="28"/>
      <c r="BX681" s="28"/>
      <c r="BY681" s="28"/>
      <c r="BZ681" s="28"/>
      <c r="CA681" s="28"/>
      <c r="CB681" s="28"/>
      <c r="CC681" s="28"/>
      <c r="CD681" s="28"/>
      <c r="CE681" s="28"/>
      <c r="CF681" s="28"/>
      <c r="CG681" s="28"/>
      <c r="CH681" s="28"/>
      <c r="CI681" s="28"/>
      <c r="CJ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9"/>
      <c r="BW682" s="28"/>
      <c r="BX682" s="28"/>
      <c r="BY682" s="28"/>
      <c r="BZ682" s="28"/>
      <c r="CA682" s="28"/>
      <c r="CB682" s="28"/>
      <c r="CC682" s="28"/>
      <c r="CD682" s="28"/>
      <c r="CE682" s="28"/>
      <c r="CF682" s="28"/>
      <c r="CG682" s="28"/>
      <c r="CH682" s="28"/>
      <c r="CI682" s="28"/>
      <c r="CJ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28"/>
      <c r="BP683" s="28"/>
      <c r="BQ683" s="28"/>
      <c r="BR683" s="28"/>
      <c r="BS683" s="28"/>
      <c r="BT683" s="28"/>
      <c r="BU683" s="28"/>
      <c r="BV683" s="29"/>
      <c r="BW683" s="28"/>
      <c r="BX683" s="28"/>
      <c r="BY683" s="28"/>
      <c r="BZ683" s="28"/>
      <c r="CA683" s="28"/>
      <c r="CB683" s="28"/>
      <c r="CC683" s="28"/>
      <c r="CD683" s="28"/>
      <c r="CE683" s="28"/>
      <c r="CF683" s="28"/>
      <c r="CG683" s="28"/>
      <c r="CH683" s="28"/>
      <c r="CI683" s="28"/>
      <c r="CJ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9"/>
      <c r="BW684" s="28"/>
      <c r="BX684" s="28"/>
      <c r="BY684" s="28"/>
      <c r="BZ684" s="28"/>
      <c r="CA684" s="28"/>
      <c r="CB684" s="28"/>
      <c r="CC684" s="28"/>
      <c r="CD684" s="28"/>
      <c r="CE684" s="28"/>
      <c r="CF684" s="28"/>
      <c r="CG684" s="28"/>
      <c r="CH684" s="28"/>
      <c r="CI684" s="28"/>
      <c r="CJ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28"/>
      <c r="BU685" s="28"/>
      <c r="BV685" s="29"/>
      <c r="BW685" s="28"/>
      <c r="BX685" s="28"/>
      <c r="BY685" s="28"/>
      <c r="BZ685" s="28"/>
      <c r="CA685" s="28"/>
      <c r="CB685" s="28"/>
      <c r="CC685" s="28"/>
      <c r="CD685" s="28"/>
      <c r="CE685" s="28"/>
      <c r="CF685" s="28"/>
      <c r="CG685" s="28"/>
      <c r="CH685" s="28"/>
      <c r="CI685" s="28"/>
      <c r="CJ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9"/>
      <c r="BW686" s="28"/>
      <c r="BX686" s="28"/>
      <c r="BY686" s="28"/>
      <c r="BZ686" s="28"/>
      <c r="CA686" s="28"/>
      <c r="CB686" s="28"/>
      <c r="CC686" s="28"/>
      <c r="CD686" s="28"/>
      <c r="CE686" s="28"/>
      <c r="CF686" s="28"/>
      <c r="CG686" s="28"/>
      <c r="CH686" s="28"/>
      <c r="CI686" s="28"/>
      <c r="CJ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c r="BE687" s="28"/>
      <c r="BF687" s="28"/>
      <c r="BG687" s="28"/>
      <c r="BH687" s="28"/>
      <c r="BI687" s="28"/>
      <c r="BJ687" s="28"/>
      <c r="BK687" s="28"/>
      <c r="BL687" s="28"/>
      <c r="BM687" s="28"/>
      <c r="BN687" s="28"/>
      <c r="BO687" s="28"/>
      <c r="BP687" s="28"/>
      <c r="BQ687" s="28"/>
      <c r="BR687" s="28"/>
      <c r="BS687" s="28"/>
      <c r="BT687" s="28"/>
      <c r="BU687" s="28"/>
      <c r="BV687" s="29"/>
      <c r="BW687" s="28"/>
      <c r="BX687" s="28"/>
      <c r="BY687" s="28"/>
      <c r="BZ687" s="28"/>
      <c r="CA687" s="28"/>
      <c r="CB687" s="28"/>
      <c r="CC687" s="28"/>
      <c r="CD687" s="28"/>
      <c r="CE687" s="28"/>
      <c r="CF687" s="28"/>
      <c r="CG687" s="28"/>
      <c r="CH687" s="28"/>
      <c r="CI687" s="28"/>
      <c r="CJ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9"/>
      <c r="BW688" s="28"/>
      <c r="BX688" s="28"/>
      <c r="BY688" s="28"/>
      <c r="BZ688" s="28"/>
      <c r="CA688" s="28"/>
      <c r="CB688" s="28"/>
      <c r="CC688" s="28"/>
      <c r="CD688" s="28"/>
      <c r="CE688" s="28"/>
      <c r="CF688" s="28"/>
      <c r="CG688" s="28"/>
      <c r="CH688" s="28"/>
      <c r="CI688" s="28"/>
      <c r="CJ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c r="BE689" s="28"/>
      <c r="BF689" s="28"/>
      <c r="BG689" s="28"/>
      <c r="BH689" s="28"/>
      <c r="BI689" s="28"/>
      <c r="BJ689" s="28"/>
      <c r="BK689" s="28"/>
      <c r="BL689" s="28"/>
      <c r="BM689" s="28"/>
      <c r="BN689" s="28"/>
      <c r="BO689" s="28"/>
      <c r="BP689" s="28"/>
      <c r="BQ689" s="28"/>
      <c r="BR689" s="28"/>
      <c r="BS689" s="28"/>
      <c r="BT689" s="28"/>
      <c r="BU689" s="28"/>
      <c r="BV689" s="29"/>
      <c r="BW689" s="28"/>
      <c r="BX689" s="28"/>
      <c r="BY689" s="28"/>
      <c r="BZ689" s="28"/>
      <c r="CA689" s="28"/>
      <c r="CB689" s="28"/>
      <c r="CC689" s="28"/>
      <c r="CD689" s="28"/>
      <c r="CE689" s="28"/>
      <c r="CF689" s="28"/>
      <c r="CG689" s="28"/>
      <c r="CH689" s="28"/>
      <c r="CI689" s="28"/>
      <c r="CJ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9"/>
      <c r="BW690" s="28"/>
      <c r="BX690" s="28"/>
      <c r="BY690" s="28"/>
      <c r="BZ690" s="28"/>
      <c r="CA690" s="28"/>
      <c r="CB690" s="28"/>
      <c r="CC690" s="28"/>
      <c r="CD690" s="28"/>
      <c r="CE690" s="28"/>
      <c r="CF690" s="28"/>
      <c r="CG690" s="28"/>
      <c r="CH690" s="28"/>
      <c r="CI690" s="28"/>
      <c r="CJ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c r="BE691" s="28"/>
      <c r="BF691" s="28"/>
      <c r="BG691" s="28"/>
      <c r="BH691" s="28"/>
      <c r="BI691" s="28"/>
      <c r="BJ691" s="28"/>
      <c r="BK691" s="28"/>
      <c r="BL691" s="28"/>
      <c r="BM691" s="28"/>
      <c r="BN691" s="28"/>
      <c r="BO691" s="28"/>
      <c r="BP691" s="28"/>
      <c r="BQ691" s="28"/>
      <c r="BR691" s="28"/>
      <c r="BS691" s="28"/>
      <c r="BT691" s="28"/>
      <c r="BU691" s="28"/>
      <c r="BV691" s="29"/>
      <c r="BW691" s="28"/>
      <c r="BX691" s="28"/>
      <c r="BY691" s="28"/>
      <c r="BZ691" s="28"/>
      <c r="CA691" s="28"/>
      <c r="CB691" s="28"/>
      <c r="CC691" s="28"/>
      <c r="CD691" s="28"/>
      <c r="CE691" s="28"/>
      <c r="CF691" s="28"/>
      <c r="CG691" s="28"/>
      <c r="CH691" s="28"/>
      <c r="CI691" s="28"/>
      <c r="CJ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9"/>
      <c r="BW692" s="28"/>
      <c r="BX692" s="28"/>
      <c r="BY692" s="28"/>
      <c r="BZ692" s="28"/>
      <c r="CA692" s="28"/>
      <c r="CB692" s="28"/>
      <c r="CC692" s="28"/>
      <c r="CD692" s="28"/>
      <c r="CE692" s="28"/>
      <c r="CF692" s="28"/>
      <c r="CG692" s="28"/>
      <c r="CH692" s="28"/>
      <c r="CI692" s="28"/>
      <c r="CJ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c r="BE693" s="28"/>
      <c r="BF693" s="28"/>
      <c r="BG693" s="28"/>
      <c r="BH693" s="28"/>
      <c r="BI693" s="28"/>
      <c r="BJ693" s="28"/>
      <c r="BK693" s="28"/>
      <c r="BL693" s="28"/>
      <c r="BM693" s="28"/>
      <c r="BN693" s="28"/>
      <c r="BO693" s="28"/>
      <c r="BP693" s="28"/>
      <c r="BQ693" s="28"/>
      <c r="BR693" s="28"/>
      <c r="BS693" s="28"/>
      <c r="BT693" s="28"/>
      <c r="BU693" s="28"/>
      <c r="BV693" s="29"/>
      <c r="BW693" s="28"/>
      <c r="BX693" s="28"/>
      <c r="BY693" s="28"/>
      <c r="BZ693" s="28"/>
      <c r="CA693" s="28"/>
      <c r="CB693" s="28"/>
      <c r="CC693" s="28"/>
      <c r="CD693" s="28"/>
      <c r="CE693" s="28"/>
      <c r="CF693" s="28"/>
      <c r="CG693" s="28"/>
      <c r="CH693" s="28"/>
      <c r="CI693" s="28"/>
      <c r="CJ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9"/>
      <c r="BW694" s="28"/>
      <c r="BX694" s="28"/>
      <c r="BY694" s="28"/>
      <c r="BZ694" s="28"/>
      <c r="CA694" s="28"/>
      <c r="CB694" s="28"/>
      <c r="CC694" s="28"/>
      <c r="CD694" s="28"/>
      <c r="CE694" s="28"/>
      <c r="CF694" s="28"/>
      <c r="CG694" s="28"/>
      <c r="CH694" s="28"/>
      <c r="CI694" s="28"/>
      <c r="CJ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c r="BE695" s="28"/>
      <c r="BF695" s="28"/>
      <c r="BG695" s="28"/>
      <c r="BH695" s="28"/>
      <c r="BI695" s="28"/>
      <c r="BJ695" s="28"/>
      <c r="BK695" s="28"/>
      <c r="BL695" s="28"/>
      <c r="BM695" s="28"/>
      <c r="BN695" s="28"/>
      <c r="BO695" s="28"/>
      <c r="BP695" s="28"/>
      <c r="BQ695" s="28"/>
      <c r="BR695" s="28"/>
      <c r="BS695" s="28"/>
      <c r="BT695" s="28"/>
      <c r="BU695" s="28"/>
      <c r="BV695" s="29"/>
      <c r="BW695" s="28"/>
      <c r="BX695" s="28"/>
      <c r="BY695" s="28"/>
      <c r="BZ695" s="28"/>
      <c r="CA695" s="28"/>
      <c r="CB695" s="28"/>
      <c r="CC695" s="28"/>
      <c r="CD695" s="28"/>
      <c r="CE695" s="28"/>
      <c r="CF695" s="28"/>
      <c r="CG695" s="28"/>
      <c r="CH695" s="28"/>
      <c r="CI695" s="28"/>
      <c r="CJ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9"/>
      <c r="BW696" s="28"/>
      <c r="BX696" s="28"/>
      <c r="BY696" s="28"/>
      <c r="BZ696" s="28"/>
      <c r="CA696" s="28"/>
      <c r="CB696" s="28"/>
      <c r="CC696" s="28"/>
      <c r="CD696" s="28"/>
      <c r="CE696" s="28"/>
      <c r="CF696" s="28"/>
      <c r="CG696" s="28"/>
      <c r="CH696" s="28"/>
      <c r="CI696" s="28"/>
      <c r="CJ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c r="BE697" s="28"/>
      <c r="BF697" s="28"/>
      <c r="BG697" s="28"/>
      <c r="BH697" s="28"/>
      <c r="BI697" s="28"/>
      <c r="BJ697" s="28"/>
      <c r="BK697" s="28"/>
      <c r="BL697" s="28"/>
      <c r="BM697" s="28"/>
      <c r="BN697" s="28"/>
      <c r="BO697" s="28"/>
      <c r="BP697" s="28"/>
      <c r="BQ697" s="28"/>
      <c r="BR697" s="28"/>
      <c r="BS697" s="28"/>
      <c r="BT697" s="28"/>
      <c r="BU697" s="28"/>
      <c r="BV697" s="29"/>
      <c r="BW697" s="28"/>
      <c r="BX697" s="28"/>
      <c r="BY697" s="28"/>
      <c r="BZ697" s="28"/>
      <c r="CA697" s="28"/>
      <c r="CB697" s="28"/>
      <c r="CC697" s="28"/>
      <c r="CD697" s="28"/>
      <c r="CE697" s="28"/>
      <c r="CF697" s="28"/>
      <c r="CG697" s="28"/>
      <c r="CH697" s="28"/>
      <c r="CI697" s="28"/>
      <c r="CJ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9"/>
      <c r="BW698" s="28"/>
      <c r="BX698" s="28"/>
      <c r="BY698" s="28"/>
      <c r="BZ698" s="28"/>
      <c r="CA698" s="28"/>
      <c r="CB698" s="28"/>
      <c r="CC698" s="28"/>
      <c r="CD698" s="28"/>
      <c r="CE698" s="28"/>
      <c r="CF698" s="28"/>
      <c r="CG698" s="28"/>
      <c r="CH698" s="28"/>
      <c r="CI698" s="28"/>
      <c r="CJ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c r="BE699" s="28"/>
      <c r="BF699" s="28"/>
      <c r="BG699" s="28"/>
      <c r="BH699" s="28"/>
      <c r="BI699" s="28"/>
      <c r="BJ699" s="28"/>
      <c r="BK699" s="28"/>
      <c r="BL699" s="28"/>
      <c r="BM699" s="28"/>
      <c r="BN699" s="28"/>
      <c r="BO699" s="28"/>
      <c r="BP699" s="28"/>
      <c r="BQ699" s="28"/>
      <c r="BR699" s="28"/>
      <c r="BS699" s="28"/>
      <c r="BT699" s="28"/>
      <c r="BU699" s="28"/>
      <c r="BV699" s="29"/>
      <c r="BW699" s="28"/>
      <c r="BX699" s="28"/>
      <c r="BY699" s="28"/>
      <c r="BZ699" s="28"/>
      <c r="CA699" s="28"/>
      <c r="CB699" s="28"/>
      <c r="CC699" s="28"/>
      <c r="CD699" s="28"/>
      <c r="CE699" s="28"/>
      <c r="CF699" s="28"/>
      <c r="CG699" s="28"/>
      <c r="CH699" s="28"/>
      <c r="CI699" s="28"/>
      <c r="CJ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9"/>
      <c r="BW700" s="28"/>
      <c r="BX700" s="28"/>
      <c r="BY700" s="28"/>
      <c r="BZ700" s="28"/>
      <c r="CA700" s="28"/>
      <c r="CB700" s="28"/>
      <c r="CC700" s="28"/>
      <c r="CD700" s="28"/>
      <c r="CE700" s="28"/>
      <c r="CF700" s="28"/>
      <c r="CG700" s="28"/>
      <c r="CH700" s="28"/>
      <c r="CI700" s="28"/>
      <c r="CJ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9"/>
      <c r="BW701" s="28"/>
      <c r="BX701" s="28"/>
      <c r="BY701" s="28"/>
      <c r="BZ701" s="28"/>
      <c r="CA701" s="28"/>
      <c r="CB701" s="28"/>
      <c r="CC701" s="28"/>
      <c r="CD701" s="28"/>
      <c r="CE701" s="28"/>
      <c r="CF701" s="28"/>
      <c r="CG701" s="28"/>
      <c r="CH701" s="28"/>
      <c r="CI701" s="28"/>
      <c r="CJ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9"/>
      <c r="BW702" s="28"/>
      <c r="BX702" s="28"/>
      <c r="BY702" s="28"/>
      <c r="BZ702" s="28"/>
      <c r="CA702" s="28"/>
      <c r="CB702" s="28"/>
      <c r="CC702" s="28"/>
      <c r="CD702" s="28"/>
      <c r="CE702" s="28"/>
      <c r="CF702" s="28"/>
      <c r="CG702" s="28"/>
      <c r="CH702" s="28"/>
      <c r="CI702" s="28"/>
      <c r="CJ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9"/>
      <c r="BW703" s="28"/>
      <c r="BX703" s="28"/>
      <c r="BY703" s="28"/>
      <c r="BZ703" s="28"/>
      <c r="CA703" s="28"/>
      <c r="CB703" s="28"/>
      <c r="CC703" s="28"/>
      <c r="CD703" s="28"/>
      <c r="CE703" s="28"/>
      <c r="CF703" s="28"/>
      <c r="CG703" s="28"/>
      <c r="CH703" s="28"/>
      <c r="CI703" s="28"/>
      <c r="CJ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9"/>
      <c r="BW704" s="28"/>
      <c r="BX704" s="28"/>
      <c r="BY704" s="28"/>
      <c r="BZ704" s="28"/>
      <c r="CA704" s="28"/>
      <c r="CB704" s="28"/>
      <c r="CC704" s="28"/>
      <c r="CD704" s="28"/>
      <c r="CE704" s="28"/>
      <c r="CF704" s="28"/>
      <c r="CG704" s="28"/>
      <c r="CH704" s="28"/>
      <c r="CI704" s="28"/>
      <c r="CJ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9"/>
      <c r="BW705" s="28"/>
      <c r="BX705" s="28"/>
      <c r="BY705" s="28"/>
      <c r="BZ705" s="28"/>
      <c r="CA705" s="28"/>
      <c r="CB705" s="28"/>
      <c r="CC705" s="28"/>
      <c r="CD705" s="28"/>
      <c r="CE705" s="28"/>
      <c r="CF705" s="28"/>
      <c r="CG705" s="28"/>
      <c r="CH705" s="28"/>
      <c r="CI705" s="28"/>
      <c r="CJ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9"/>
      <c r="BW706" s="28"/>
      <c r="BX706" s="28"/>
      <c r="BY706" s="28"/>
      <c r="BZ706" s="28"/>
      <c r="CA706" s="28"/>
      <c r="CB706" s="28"/>
      <c r="CC706" s="28"/>
      <c r="CD706" s="28"/>
      <c r="CE706" s="28"/>
      <c r="CF706" s="28"/>
      <c r="CG706" s="28"/>
      <c r="CH706" s="28"/>
      <c r="CI706" s="28"/>
      <c r="CJ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9"/>
      <c r="BW707" s="28"/>
      <c r="BX707" s="28"/>
      <c r="BY707" s="28"/>
      <c r="BZ707" s="28"/>
      <c r="CA707" s="28"/>
      <c r="CB707" s="28"/>
      <c r="CC707" s="28"/>
      <c r="CD707" s="28"/>
      <c r="CE707" s="28"/>
      <c r="CF707" s="28"/>
      <c r="CG707" s="28"/>
      <c r="CH707" s="28"/>
      <c r="CI707" s="28"/>
      <c r="CJ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9"/>
      <c r="BW708" s="28"/>
      <c r="BX708" s="28"/>
      <c r="BY708" s="28"/>
      <c r="BZ708" s="28"/>
      <c r="CA708" s="28"/>
      <c r="CB708" s="28"/>
      <c r="CC708" s="28"/>
      <c r="CD708" s="28"/>
      <c r="CE708" s="28"/>
      <c r="CF708" s="28"/>
      <c r="CG708" s="28"/>
      <c r="CH708" s="28"/>
      <c r="CI708" s="28"/>
      <c r="CJ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9"/>
      <c r="BW709" s="28"/>
      <c r="BX709" s="28"/>
      <c r="BY709" s="28"/>
      <c r="BZ709" s="28"/>
      <c r="CA709" s="28"/>
      <c r="CB709" s="28"/>
      <c r="CC709" s="28"/>
      <c r="CD709" s="28"/>
      <c r="CE709" s="28"/>
      <c r="CF709" s="28"/>
      <c r="CG709" s="28"/>
      <c r="CH709" s="28"/>
      <c r="CI709" s="28"/>
      <c r="CJ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9"/>
      <c r="BW710" s="28"/>
      <c r="BX710" s="28"/>
      <c r="BY710" s="28"/>
      <c r="BZ710" s="28"/>
      <c r="CA710" s="28"/>
      <c r="CB710" s="28"/>
      <c r="CC710" s="28"/>
      <c r="CD710" s="28"/>
      <c r="CE710" s="28"/>
      <c r="CF710" s="28"/>
      <c r="CG710" s="28"/>
      <c r="CH710" s="28"/>
      <c r="CI710" s="28"/>
      <c r="CJ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9"/>
      <c r="BW711" s="28"/>
      <c r="BX711" s="28"/>
      <c r="BY711" s="28"/>
      <c r="BZ711" s="28"/>
      <c r="CA711" s="28"/>
      <c r="CB711" s="28"/>
      <c r="CC711" s="28"/>
      <c r="CD711" s="28"/>
      <c r="CE711" s="28"/>
      <c r="CF711" s="28"/>
      <c r="CG711" s="28"/>
      <c r="CH711" s="28"/>
      <c r="CI711" s="28"/>
      <c r="CJ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9"/>
      <c r="BW712" s="28"/>
      <c r="BX712" s="28"/>
      <c r="BY712" s="28"/>
      <c r="BZ712" s="28"/>
      <c r="CA712" s="28"/>
      <c r="CB712" s="28"/>
      <c r="CC712" s="28"/>
      <c r="CD712" s="28"/>
      <c r="CE712" s="28"/>
      <c r="CF712" s="28"/>
      <c r="CG712" s="28"/>
      <c r="CH712" s="28"/>
      <c r="CI712" s="28"/>
      <c r="CJ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9"/>
      <c r="BW713" s="28"/>
      <c r="BX713" s="28"/>
      <c r="BY713" s="28"/>
      <c r="BZ713" s="28"/>
      <c r="CA713" s="28"/>
      <c r="CB713" s="28"/>
      <c r="CC713" s="28"/>
      <c r="CD713" s="28"/>
      <c r="CE713" s="28"/>
      <c r="CF713" s="28"/>
      <c r="CG713" s="28"/>
      <c r="CH713" s="28"/>
      <c r="CI713" s="28"/>
      <c r="CJ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9"/>
      <c r="BW714" s="28"/>
      <c r="BX714" s="28"/>
      <c r="BY714" s="28"/>
      <c r="BZ714" s="28"/>
      <c r="CA714" s="28"/>
      <c r="CB714" s="28"/>
      <c r="CC714" s="28"/>
      <c r="CD714" s="28"/>
      <c r="CE714" s="28"/>
      <c r="CF714" s="28"/>
      <c r="CG714" s="28"/>
      <c r="CH714" s="28"/>
      <c r="CI714" s="28"/>
      <c r="CJ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9"/>
      <c r="BW715" s="28"/>
      <c r="BX715" s="28"/>
      <c r="BY715" s="28"/>
      <c r="BZ715" s="28"/>
      <c r="CA715" s="28"/>
      <c r="CB715" s="28"/>
      <c r="CC715" s="28"/>
      <c r="CD715" s="28"/>
      <c r="CE715" s="28"/>
      <c r="CF715" s="28"/>
      <c r="CG715" s="28"/>
      <c r="CH715" s="28"/>
      <c r="CI715" s="28"/>
      <c r="CJ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9"/>
      <c r="BW716" s="28"/>
      <c r="BX716" s="28"/>
      <c r="BY716" s="28"/>
      <c r="BZ716" s="28"/>
      <c r="CA716" s="28"/>
      <c r="CB716" s="28"/>
      <c r="CC716" s="28"/>
      <c r="CD716" s="28"/>
      <c r="CE716" s="28"/>
      <c r="CF716" s="28"/>
      <c r="CG716" s="28"/>
      <c r="CH716" s="28"/>
      <c r="CI716" s="28"/>
      <c r="CJ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9"/>
      <c r="BW717" s="28"/>
      <c r="BX717" s="28"/>
      <c r="BY717" s="28"/>
      <c r="BZ717" s="28"/>
      <c r="CA717" s="28"/>
      <c r="CB717" s="28"/>
      <c r="CC717" s="28"/>
      <c r="CD717" s="28"/>
      <c r="CE717" s="28"/>
      <c r="CF717" s="28"/>
      <c r="CG717" s="28"/>
      <c r="CH717" s="28"/>
      <c r="CI717" s="28"/>
      <c r="CJ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9"/>
      <c r="BW718" s="28"/>
      <c r="BX718" s="28"/>
      <c r="BY718" s="28"/>
      <c r="BZ718" s="28"/>
      <c r="CA718" s="28"/>
      <c r="CB718" s="28"/>
      <c r="CC718" s="28"/>
      <c r="CD718" s="28"/>
      <c r="CE718" s="28"/>
      <c r="CF718" s="28"/>
      <c r="CG718" s="28"/>
      <c r="CH718" s="28"/>
      <c r="CI718" s="28"/>
      <c r="CJ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9"/>
      <c r="BW719" s="28"/>
      <c r="BX719" s="28"/>
      <c r="BY719" s="28"/>
      <c r="BZ719" s="28"/>
      <c r="CA719" s="28"/>
      <c r="CB719" s="28"/>
      <c r="CC719" s="28"/>
      <c r="CD719" s="28"/>
      <c r="CE719" s="28"/>
      <c r="CF719" s="28"/>
      <c r="CG719" s="28"/>
      <c r="CH719" s="28"/>
      <c r="CI719" s="28"/>
      <c r="CJ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9"/>
      <c r="BW720" s="28"/>
      <c r="BX720" s="28"/>
      <c r="BY720" s="28"/>
      <c r="BZ720" s="28"/>
      <c r="CA720" s="28"/>
      <c r="CB720" s="28"/>
      <c r="CC720" s="28"/>
      <c r="CD720" s="28"/>
      <c r="CE720" s="28"/>
      <c r="CF720" s="28"/>
      <c r="CG720" s="28"/>
      <c r="CH720" s="28"/>
      <c r="CI720" s="28"/>
      <c r="CJ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9"/>
      <c r="BW721" s="28"/>
      <c r="BX721" s="28"/>
      <c r="BY721" s="28"/>
      <c r="BZ721" s="28"/>
      <c r="CA721" s="28"/>
      <c r="CB721" s="28"/>
      <c r="CC721" s="28"/>
      <c r="CD721" s="28"/>
      <c r="CE721" s="28"/>
      <c r="CF721" s="28"/>
      <c r="CG721" s="28"/>
      <c r="CH721" s="28"/>
      <c r="CI721" s="28"/>
      <c r="CJ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9"/>
      <c r="BW722" s="28"/>
      <c r="BX722" s="28"/>
      <c r="BY722" s="28"/>
      <c r="BZ722" s="28"/>
      <c r="CA722" s="28"/>
      <c r="CB722" s="28"/>
      <c r="CC722" s="28"/>
      <c r="CD722" s="28"/>
      <c r="CE722" s="28"/>
      <c r="CF722" s="28"/>
      <c r="CG722" s="28"/>
      <c r="CH722" s="28"/>
      <c r="CI722" s="28"/>
      <c r="CJ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9"/>
      <c r="BW723" s="28"/>
      <c r="BX723" s="28"/>
      <c r="BY723" s="28"/>
      <c r="BZ723" s="28"/>
      <c r="CA723" s="28"/>
      <c r="CB723" s="28"/>
      <c r="CC723" s="28"/>
      <c r="CD723" s="28"/>
      <c r="CE723" s="28"/>
      <c r="CF723" s="28"/>
      <c r="CG723" s="28"/>
      <c r="CH723" s="28"/>
      <c r="CI723" s="28"/>
      <c r="CJ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9"/>
      <c r="BW724" s="28"/>
      <c r="BX724" s="28"/>
      <c r="BY724" s="28"/>
      <c r="BZ724" s="28"/>
      <c r="CA724" s="28"/>
      <c r="CB724" s="28"/>
      <c r="CC724" s="28"/>
      <c r="CD724" s="28"/>
      <c r="CE724" s="28"/>
      <c r="CF724" s="28"/>
      <c r="CG724" s="28"/>
      <c r="CH724" s="28"/>
      <c r="CI724" s="28"/>
      <c r="CJ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9"/>
      <c r="BW725" s="28"/>
      <c r="BX725" s="28"/>
      <c r="BY725" s="28"/>
      <c r="BZ725" s="28"/>
      <c r="CA725" s="28"/>
      <c r="CB725" s="28"/>
      <c r="CC725" s="28"/>
      <c r="CD725" s="28"/>
      <c r="CE725" s="28"/>
      <c r="CF725" s="28"/>
      <c r="CG725" s="28"/>
      <c r="CH725" s="28"/>
      <c r="CI725" s="28"/>
      <c r="CJ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9"/>
      <c r="BW726" s="28"/>
      <c r="BX726" s="28"/>
      <c r="BY726" s="28"/>
      <c r="BZ726" s="28"/>
      <c r="CA726" s="28"/>
      <c r="CB726" s="28"/>
      <c r="CC726" s="28"/>
      <c r="CD726" s="28"/>
      <c r="CE726" s="28"/>
      <c r="CF726" s="28"/>
      <c r="CG726" s="28"/>
      <c r="CH726" s="28"/>
      <c r="CI726" s="28"/>
      <c r="CJ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9"/>
      <c r="BW727" s="28"/>
      <c r="BX727" s="28"/>
      <c r="BY727" s="28"/>
      <c r="BZ727" s="28"/>
      <c r="CA727" s="28"/>
      <c r="CB727" s="28"/>
      <c r="CC727" s="28"/>
      <c r="CD727" s="28"/>
      <c r="CE727" s="28"/>
      <c r="CF727" s="28"/>
      <c r="CG727" s="28"/>
      <c r="CH727" s="28"/>
      <c r="CI727" s="28"/>
      <c r="CJ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9"/>
      <c r="BW728" s="28"/>
      <c r="BX728" s="28"/>
      <c r="BY728" s="28"/>
      <c r="BZ728" s="28"/>
      <c r="CA728" s="28"/>
      <c r="CB728" s="28"/>
      <c r="CC728" s="28"/>
      <c r="CD728" s="28"/>
      <c r="CE728" s="28"/>
      <c r="CF728" s="28"/>
      <c r="CG728" s="28"/>
      <c r="CH728" s="28"/>
      <c r="CI728" s="28"/>
      <c r="CJ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9"/>
      <c r="BW729" s="28"/>
      <c r="BX729" s="28"/>
      <c r="BY729" s="28"/>
      <c r="BZ729" s="28"/>
      <c r="CA729" s="28"/>
      <c r="CB729" s="28"/>
      <c r="CC729" s="28"/>
      <c r="CD729" s="28"/>
      <c r="CE729" s="28"/>
      <c r="CF729" s="28"/>
      <c r="CG729" s="28"/>
      <c r="CH729" s="28"/>
      <c r="CI729" s="28"/>
      <c r="CJ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9"/>
      <c r="BW730" s="28"/>
      <c r="BX730" s="28"/>
      <c r="BY730" s="28"/>
      <c r="BZ730" s="28"/>
      <c r="CA730" s="28"/>
      <c r="CB730" s="28"/>
      <c r="CC730" s="28"/>
      <c r="CD730" s="28"/>
      <c r="CE730" s="28"/>
      <c r="CF730" s="28"/>
      <c r="CG730" s="28"/>
      <c r="CH730" s="28"/>
      <c r="CI730" s="28"/>
      <c r="CJ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9"/>
      <c r="BW731" s="28"/>
      <c r="BX731" s="28"/>
      <c r="BY731" s="28"/>
      <c r="BZ731" s="28"/>
      <c r="CA731" s="28"/>
      <c r="CB731" s="28"/>
      <c r="CC731" s="28"/>
      <c r="CD731" s="28"/>
      <c r="CE731" s="28"/>
      <c r="CF731" s="28"/>
      <c r="CG731" s="28"/>
      <c r="CH731" s="28"/>
      <c r="CI731" s="28"/>
      <c r="CJ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9"/>
      <c r="BW732" s="28"/>
      <c r="BX732" s="28"/>
      <c r="BY732" s="28"/>
      <c r="BZ732" s="28"/>
      <c r="CA732" s="28"/>
      <c r="CB732" s="28"/>
      <c r="CC732" s="28"/>
      <c r="CD732" s="28"/>
      <c r="CE732" s="28"/>
      <c r="CF732" s="28"/>
      <c r="CG732" s="28"/>
      <c r="CH732" s="28"/>
      <c r="CI732" s="28"/>
      <c r="CJ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9"/>
      <c r="BW733" s="28"/>
      <c r="BX733" s="28"/>
      <c r="BY733" s="28"/>
      <c r="BZ733" s="28"/>
      <c r="CA733" s="28"/>
      <c r="CB733" s="28"/>
      <c r="CC733" s="28"/>
      <c r="CD733" s="28"/>
      <c r="CE733" s="28"/>
      <c r="CF733" s="28"/>
      <c r="CG733" s="28"/>
      <c r="CH733" s="28"/>
      <c r="CI733" s="28"/>
      <c r="CJ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9"/>
      <c r="BW734" s="28"/>
      <c r="BX734" s="28"/>
      <c r="BY734" s="28"/>
      <c r="BZ734" s="28"/>
      <c r="CA734" s="28"/>
      <c r="CB734" s="28"/>
      <c r="CC734" s="28"/>
      <c r="CD734" s="28"/>
      <c r="CE734" s="28"/>
      <c r="CF734" s="28"/>
      <c r="CG734" s="28"/>
      <c r="CH734" s="28"/>
      <c r="CI734" s="28"/>
      <c r="CJ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9"/>
      <c r="BW735" s="28"/>
      <c r="BX735" s="28"/>
      <c r="BY735" s="28"/>
      <c r="BZ735" s="28"/>
      <c r="CA735" s="28"/>
      <c r="CB735" s="28"/>
      <c r="CC735" s="28"/>
      <c r="CD735" s="28"/>
      <c r="CE735" s="28"/>
      <c r="CF735" s="28"/>
      <c r="CG735" s="28"/>
      <c r="CH735" s="28"/>
      <c r="CI735" s="28"/>
      <c r="CJ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9"/>
      <c r="BW736" s="28"/>
      <c r="BX736" s="28"/>
      <c r="BY736" s="28"/>
      <c r="BZ736" s="28"/>
      <c r="CA736" s="28"/>
      <c r="CB736" s="28"/>
      <c r="CC736" s="28"/>
      <c r="CD736" s="28"/>
      <c r="CE736" s="28"/>
      <c r="CF736" s="28"/>
      <c r="CG736" s="28"/>
      <c r="CH736" s="28"/>
      <c r="CI736" s="28"/>
      <c r="CJ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9"/>
      <c r="BW737" s="28"/>
      <c r="BX737" s="28"/>
      <c r="BY737" s="28"/>
      <c r="BZ737" s="28"/>
      <c r="CA737" s="28"/>
      <c r="CB737" s="28"/>
      <c r="CC737" s="28"/>
      <c r="CD737" s="28"/>
      <c r="CE737" s="28"/>
      <c r="CF737" s="28"/>
      <c r="CG737" s="28"/>
      <c r="CH737" s="28"/>
      <c r="CI737" s="28"/>
      <c r="CJ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9"/>
      <c r="BW738" s="28"/>
      <c r="BX738" s="28"/>
      <c r="BY738" s="28"/>
      <c r="BZ738" s="28"/>
      <c r="CA738" s="28"/>
      <c r="CB738" s="28"/>
      <c r="CC738" s="28"/>
      <c r="CD738" s="28"/>
      <c r="CE738" s="28"/>
      <c r="CF738" s="28"/>
      <c r="CG738" s="28"/>
      <c r="CH738" s="28"/>
      <c r="CI738" s="28"/>
      <c r="CJ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9"/>
      <c r="BW739" s="28"/>
      <c r="BX739" s="28"/>
      <c r="BY739" s="28"/>
      <c r="BZ739" s="28"/>
      <c r="CA739" s="28"/>
      <c r="CB739" s="28"/>
      <c r="CC739" s="28"/>
      <c r="CD739" s="28"/>
      <c r="CE739" s="28"/>
      <c r="CF739" s="28"/>
      <c r="CG739" s="28"/>
      <c r="CH739" s="28"/>
      <c r="CI739" s="28"/>
      <c r="CJ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9"/>
      <c r="BW740" s="28"/>
      <c r="BX740" s="28"/>
      <c r="BY740" s="28"/>
      <c r="BZ740" s="28"/>
      <c r="CA740" s="28"/>
      <c r="CB740" s="28"/>
      <c r="CC740" s="28"/>
      <c r="CD740" s="28"/>
      <c r="CE740" s="28"/>
      <c r="CF740" s="28"/>
      <c r="CG740" s="28"/>
      <c r="CH740" s="28"/>
      <c r="CI740" s="28"/>
      <c r="CJ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9"/>
      <c r="BW741" s="28"/>
      <c r="BX741" s="28"/>
      <c r="BY741" s="28"/>
      <c r="BZ741" s="28"/>
      <c r="CA741" s="28"/>
      <c r="CB741" s="28"/>
      <c r="CC741" s="28"/>
      <c r="CD741" s="28"/>
      <c r="CE741" s="28"/>
      <c r="CF741" s="28"/>
      <c r="CG741" s="28"/>
      <c r="CH741" s="28"/>
      <c r="CI741" s="28"/>
      <c r="CJ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9"/>
      <c r="BW742" s="28"/>
      <c r="BX742" s="28"/>
      <c r="BY742" s="28"/>
      <c r="BZ742" s="28"/>
      <c r="CA742" s="28"/>
      <c r="CB742" s="28"/>
      <c r="CC742" s="28"/>
      <c r="CD742" s="28"/>
      <c r="CE742" s="28"/>
      <c r="CF742" s="28"/>
      <c r="CG742" s="28"/>
      <c r="CH742" s="28"/>
      <c r="CI742" s="28"/>
      <c r="CJ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9"/>
      <c r="BW743" s="28"/>
      <c r="BX743" s="28"/>
      <c r="BY743" s="28"/>
      <c r="BZ743" s="28"/>
      <c r="CA743" s="28"/>
      <c r="CB743" s="28"/>
      <c r="CC743" s="28"/>
      <c r="CD743" s="28"/>
      <c r="CE743" s="28"/>
      <c r="CF743" s="28"/>
      <c r="CG743" s="28"/>
      <c r="CH743" s="28"/>
      <c r="CI743" s="28"/>
      <c r="CJ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9"/>
      <c r="BW744" s="28"/>
      <c r="BX744" s="28"/>
      <c r="BY744" s="28"/>
      <c r="BZ744" s="28"/>
      <c r="CA744" s="28"/>
      <c r="CB744" s="28"/>
      <c r="CC744" s="28"/>
      <c r="CD744" s="28"/>
      <c r="CE744" s="28"/>
      <c r="CF744" s="28"/>
      <c r="CG744" s="28"/>
      <c r="CH744" s="28"/>
      <c r="CI744" s="28"/>
      <c r="CJ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9"/>
      <c r="BW745" s="28"/>
      <c r="BX745" s="28"/>
      <c r="BY745" s="28"/>
      <c r="BZ745" s="28"/>
      <c r="CA745" s="28"/>
      <c r="CB745" s="28"/>
      <c r="CC745" s="28"/>
      <c r="CD745" s="28"/>
      <c r="CE745" s="28"/>
      <c r="CF745" s="28"/>
      <c r="CG745" s="28"/>
      <c r="CH745" s="28"/>
      <c r="CI745" s="28"/>
      <c r="CJ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9"/>
      <c r="BW746" s="28"/>
      <c r="BX746" s="28"/>
      <c r="BY746" s="28"/>
      <c r="BZ746" s="28"/>
      <c r="CA746" s="28"/>
      <c r="CB746" s="28"/>
      <c r="CC746" s="28"/>
      <c r="CD746" s="28"/>
      <c r="CE746" s="28"/>
      <c r="CF746" s="28"/>
      <c r="CG746" s="28"/>
      <c r="CH746" s="28"/>
      <c r="CI746" s="28"/>
      <c r="CJ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9"/>
      <c r="BW747" s="28"/>
      <c r="BX747" s="28"/>
      <c r="BY747" s="28"/>
      <c r="BZ747" s="28"/>
      <c r="CA747" s="28"/>
      <c r="CB747" s="28"/>
      <c r="CC747" s="28"/>
      <c r="CD747" s="28"/>
      <c r="CE747" s="28"/>
      <c r="CF747" s="28"/>
      <c r="CG747" s="28"/>
      <c r="CH747" s="28"/>
      <c r="CI747" s="28"/>
      <c r="CJ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9"/>
      <c r="BW748" s="28"/>
      <c r="BX748" s="28"/>
      <c r="BY748" s="28"/>
      <c r="BZ748" s="28"/>
      <c r="CA748" s="28"/>
      <c r="CB748" s="28"/>
      <c r="CC748" s="28"/>
      <c r="CD748" s="28"/>
      <c r="CE748" s="28"/>
      <c r="CF748" s="28"/>
      <c r="CG748" s="28"/>
      <c r="CH748" s="28"/>
      <c r="CI748" s="28"/>
      <c r="CJ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9"/>
      <c r="BW749" s="28"/>
      <c r="BX749" s="28"/>
      <c r="BY749" s="28"/>
      <c r="BZ749" s="28"/>
      <c r="CA749" s="28"/>
      <c r="CB749" s="28"/>
      <c r="CC749" s="28"/>
      <c r="CD749" s="28"/>
      <c r="CE749" s="28"/>
      <c r="CF749" s="28"/>
      <c r="CG749" s="28"/>
      <c r="CH749" s="28"/>
      <c r="CI749" s="28"/>
      <c r="CJ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9"/>
      <c r="BW750" s="28"/>
      <c r="BX750" s="28"/>
      <c r="BY750" s="28"/>
      <c r="BZ750" s="28"/>
      <c r="CA750" s="28"/>
      <c r="CB750" s="28"/>
      <c r="CC750" s="28"/>
      <c r="CD750" s="28"/>
      <c r="CE750" s="28"/>
      <c r="CF750" s="28"/>
      <c r="CG750" s="28"/>
      <c r="CH750" s="28"/>
      <c r="CI750" s="28"/>
      <c r="CJ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9"/>
      <c r="BW751" s="28"/>
      <c r="BX751" s="28"/>
      <c r="BY751" s="28"/>
      <c r="BZ751" s="28"/>
      <c r="CA751" s="28"/>
      <c r="CB751" s="28"/>
      <c r="CC751" s="28"/>
      <c r="CD751" s="28"/>
      <c r="CE751" s="28"/>
      <c r="CF751" s="28"/>
      <c r="CG751" s="28"/>
      <c r="CH751" s="28"/>
      <c r="CI751" s="28"/>
      <c r="CJ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9"/>
      <c r="BW752" s="28"/>
      <c r="BX752" s="28"/>
      <c r="BY752" s="28"/>
      <c r="BZ752" s="28"/>
      <c r="CA752" s="28"/>
      <c r="CB752" s="28"/>
      <c r="CC752" s="28"/>
      <c r="CD752" s="28"/>
      <c r="CE752" s="28"/>
      <c r="CF752" s="28"/>
      <c r="CG752" s="28"/>
      <c r="CH752" s="28"/>
      <c r="CI752" s="28"/>
      <c r="CJ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9"/>
      <c r="BW753" s="28"/>
      <c r="BX753" s="28"/>
      <c r="BY753" s="28"/>
      <c r="BZ753" s="28"/>
      <c r="CA753" s="28"/>
      <c r="CB753" s="28"/>
      <c r="CC753" s="28"/>
      <c r="CD753" s="28"/>
      <c r="CE753" s="28"/>
      <c r="CF753" s="28"/>
      <c r="CG753" s="28"/>
      <c r="CH753" s="28"/>
      <c r="CI753" s="28"/>
      <c r="CJ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9"/>
      <c r="BW754" s="28"/>
      <c r="BX754" s="28"/>
      <c r="BY754" s="28"/>
      <c r="BZ754" s="28"/>
      <c r="CA754" s="28"/>
      <c r="CB754" s="28"/>
      <c r="CC754" s="28"/>
      <c r="CD754" s="28"/>
      <c r="CE754" s="28"/>
      <c r="CF754" s="28"/>
      <c r="CG754" s="28"/>
      <c r="CH754" s="28"/>
      <c r="CI754" s="28"/>
      <c r="CJ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9"/>
      <c r="BW755" s="28"/>
      <c r="BX755" s="28"/>
      <c r="BY755" s="28"/>
      <c r="BZ755" s="28"/>
      <c r="CA755" s="28"/>
      <c r="CB755" s="28"/>
      <c r="CC755" s="28"/>
      <c r="CD755" s="28"/>
      <c r="CE755" s="28"/>
      <c r="CF755" s="28"/>
      <c r="CG755" s="28"/>
      <c r="CH755" s="28"/>
      <c r="CI755" s="28"/>
      <c r="CJ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9"/>
      <c r="BW756" s="28"/>
      <c r="BX756" s="28"/>
      <c r="BY756" s="28"/>
      <c r="BZ756" s="28"/>
      <c r="CA756" s="28"/>
      <c r="CB756" s="28"/>
      <c r="CC756" s="28"/>
      <c r="CD756" s="28"/>
      <c r="CE756" s="28"/>
      <c r="CF756" s="28"/>
      <c r="CG756" s="28"/>
      <c r="CH756" s="28"/>
      <c r="CI756" s="28"/>
      <c r="CJ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9"/>
      <c r="BW757" s="28"/>
      <c r="BX757" s="28"/>
      <c r="BY757" s="28"/>
      <c r="BZ757" s="28"/>
      <c r="CA757" s="28"/>
      <c r="CB757" s="28"/>
      <c r="CC757" s="28"/>
      <c r="CD757" s="28"/>
      <c r="CE757" s="28"/>
      <c r="CF757" s="28"/>
      <c r="CG757" s="28"/>
      <c r="CH757" s="28"/>
      <c r="CI757" s="28"/>
      <c r="CJ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9"/>
      <c r="BW758" s="28"/>
      <c r="BX758" s="28"/>
      <c r="BY758" s="28"/>
      <c r="BZ758" s="28"/>
      <c r="CA758" s="28"/>
      <c r="CB758" s="28"/>
      <c r="CC758" s="28"/>
      <c r="CD758" s="28"/>
      <c r="CE758" s="28"/>
      <c r="CF758" s="28"/>
      <c r="CG758" s="28"/>
      <c r="CH758" s="28"/>
      <c r="CI758" s="28"/>
      <c r="CJ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9"/>
      <c r="BW759" s="28"/>
      <c r="BX759" s="28"/>
      <c r="BY759" s="28"/>
      <c r="BZ759" s="28"/>
      <c r="CA759" s="28"/>
      <c r="CB759" s="28"/>
      <c r="CC759" s="28"/>
      <c r="CD759" s="28"/>
      <c r="CE759" s="28"/>
      <c r="CF759" s="28"/>
      <c r="CG759" s="28"/>
      <c r="CH759" s="28"/>
      <c r="CI759" s="28"/>
      <c r="CJ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9"/>
      <c r="BW760" s="28"/>
      <c r="BX760" s="28"/>
      <c r="BY760" s="28"/>
      <c r="BZ760" s="28"/>
      <c r="CA760" s="28"/>
      <c r="CB760" s="28"/>
      <c r="CC760" s="28"/>
      <c r="CD760" s="28"/>
      <c r="CE760" s="28"/>
      <c r="CF760" s="28"/>
      <c r="CG760" s="28"/>
      <c r="CH760" s="28"/>
      <c r="CI760" s="28"/>
      <c r="CJ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9"/>
      <c r="BW761" s="28"/>
      <c r="BX761" s="28"/>
      <c r="BY761" s="28"/>
      <c r="BZ761" s="28"/>
      <c r="CA761" s="28"/>
      <c r="CB761" s="28"/>
      <c r="CC761" s="28"/>
      <c r="CD761" s="28"/>
      <c r="CE761" s="28"/>
      <c r="CF761" s="28"/>
      <c r="CG761" s="28"/>
      <c r="CH761" s="28"/>
      <c r="CI761" s="28"/>
      <c r="CJ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9"/>
      <c r="BW762" s="28"/>
      <c r="BX762" s="28"/>
      <c r="BY762" s="28"/>
      <c r="BZ762" s="28"/>
      <c r="CA762" s="28"/>
      <c r="CB762" s="28"/>
      <c r="CC762" s="28"/>
      <c r="CD762" s="28"/>
      <c r="CE762" s="28"/>
      <c r="CF762" s="28"/>
      <c r="CG762" s="28"/>
      <c r="CH762" s="28"/>
      <c r="CI762" s="28"/>
      <c r="CJ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9"/>
      <c r="BW763" s="28"/>
      <c r="BX763" s="28"/>
      <c r="BY763" s="28"/>
      <c r="BZ763" s="28"/>
      <c r="CA763" s="28"/>
      <c r="CB763" s="28"/>
      <c r="CC763" s="28"/>
      <c r="CD763" s="28"/>
      <c r="CE763" s="28"/>
      <c r="CF763" s="28"/>
      <c r="CG763" s="28"/>
      <c r="CH763" s="28"/>
      <c r="CI763" s="28"/>
      <c r="CJ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9"/>
      <c r="BW764" s="28"/>
      <c r="BX764" s="28"/>
      <c r="BY764" s="28"/>
      <c r="BZ764" s="28"/>
      <c r="CA764" s="28"/>
      <c r="CB764" s="28"/>
      <c r="CC764" s="28"/>
      <c r="CD764" s="28"/>
      <c r="CE764" s="28"/>
      <c r="CF764" s="28"/>
      <c r="CG764" s="28"/>
      <c r="CH764" s="28"/>
      <c r="CI764" s="28"/>
      <c r="CJ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9"/>
      <c r="BW765" s="28"/>
      <c r="BX765" s="28"/>
      <c r="BY765" s="28"/>
      <c r="BZ765" s="28"/>
      <c r="CA765" s="28"/>
      <c r="CB765" s="28"/>
      <c r="CC765" s="28"/>
      <c r="CD765" s="28"/>
      <c r="CE765" s="28"/>
      <c r="CF765" s="28"/>
      <c r="CG765" s="28"/>
      <c r="CH765" s="28"/>
      <c r="CI765" s="28"/>
      <c r="CJ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9"/>
      <c r="BW766" s="28"/>
      <c r="BX766" s="28"/>
      <c r="BY766" s="28"/>
      <c r="BZ766" s="28"/>
      <c r="CA766" s="28"/>
      <c r="CB766" s="28"/>
      <c r="CC766" s="28"/>
      <c r="CD766" s="28"/>
      <c r="CE766" s="28"/>
      <c r="CF766" s="28"/>
      <c r="CG766" s="28"/>
      <c r="CH766" s="28"/>
      <c r="CI766" s="28"/>
      <c r="CJ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9"/>
      <c r="BW767" s="28"/>
      <c r="BX767" s="28"/>
      <c r="BY767" s="28"/>
      <c r="BZ767" s="28"/>
      <c r="CA767" s="28"/>
      <c r="CB767" s="28"/>
      <c r="CC767" s="28"/>
      <c r="CD767" s="28"/>
      <c r="CE767" s="28"/>
      <c r="CF767" s="28"/>
      <c r="CG767" s="28"/>
      <c r="CH767" s="28"/>
      <c r="CI767" s="28"/>
      <c r="CJ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9"/>
      <c r="BW768" s="28"/>
      <c r="BX768" s="28"/>
      <c r="BY768" s="28"/>
      <c r="BZ768" s="28"/>
      <c r="CA768" s="28"/>
      <c r="CB768" s="28"/>
      <c r="CC768" s="28"/>
      <c r="CD768" s="28"/>
      <c r="CE768" s="28"/>
      <c r="CF768" s="28"/>
      <c r="CG768" s="28"/>
      <c r="CH768" s="28"/>
      <c r="CI768" s="28"/>
      <c r="CJ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9"/>
      <c r="BW769" s="28"/>
      <c r="BX769" s="28"/>
      <c r="BY769" s="28"/>
      <c r="BZ769" s="28"/>
      <c r="CA769" s="28"/>
      <c r="CB769" s="28"/>
      <c r="CC769" s="28"/>
      <c r="CD769" s="28"/>
      <c r="CE769" s="28"/>
      <c r="CF769" s="28"/>
      <c r="CG769" s="28"/>
      <c r="CH769" s="28"/>
      <c r="CI769" s="28"/>
      <c r="CJ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9"/>
      <c r="BW770" s="28"/>
      <c r="BX770" s="28"/>
      <c r="BY770" s="28"/>
      <c r="BZ770" s="28"/>
      <c r="CA770" s="28"/>
      <c r="CB770" s="28"/>
      <c r="CC770" s="28"/>
      <c r="CD770" s="28"/>
      <c r="CE770" s="28"/>
      <c r="CF770" s="28"/>
      <c r="CG770" s="28"/>
      <c r="CH770" s="28"/>
      <c r="CI770" s="28"/>
      <c r="CJ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9"/>
      <c r="BW771" s="28"/>
      <c r="BX771" s="28"/>
      <c r="BY771" s="28"/>
      <c r="BZ771" s="28"/>
      <c r="CA771" s="28"/>
      <c r="CB771" s="28"/>
      <c r="CC771" s="28"/>
      <c r="CD771" s="28"/>
      <c r="CE771" s="28"/>
      <c r="CF771" s="28"/>
      <c r="CG771" s="28"/>
      <c r="CH771" s="28"/>
      <c r="CI771" s="28"/>
      <c r="CJ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9"/>
      <c r="BW772" s="28"/>
      <c r="BX772" s="28"/>
      <c r="BY772" s="28"/>
      <c r="BZ772" s="28"/>
      <c r="CA772" s="28"/>
      <c r="CB772" s="28"/>
      <c r="CC772" s="28"/>
      <c r="CD772" s="28"/>
      <c r="CE772" s="28"/>
      <c r="CF772" s="28"/>
      <c r="CG772" s="28"/>
      <c r="CH772" s="28"/>
      <c r="CI772" s="28"/>
      <c r="CJ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9"/>
      <c r="BW773" s="28"/>
      <c r="BX773" s="28"/>
      <c r="BY773" s="28"/>
      <c r="BZ773" s="28"/>
      <c r="CA773" s="28"/>
      <c r="CB773" s="28"/>
      <c r="CC773" s="28"/>
      <c r="CD773" s="28"/>
      <c r="CE773" s="28"/>
      <c r="CF773" s="28"/>
      <c r="CG773" s="28"/>
      <c r="CH773" s="28"/>
      <c r="CI773" s="28"/>
      <c r="CJ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9"/>
      <c r="BW774" s="28"/>
      <c r="BX774" s="28"/>
      <c r="BY774" s="28"/>
      <c r="BZ774" s="28"/>
      <c r="CA774" s="28"/>
      <c r="CB774" s="28"/>
      <c r="CC774" s="28"/>
      <c r="CD774" s="28"/>
      <c r="CE774" s="28"/>
      <c r="CF774" s="28"/>
      <c r="CG774" s="28"/>
      <c r="CH774" s="28"/>
      <c r="CI774" s="28"/>
      <c r="CJ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9"/>
      <c r="BW775" s="28"/>
      <c r="BX775" s="28"/>
      <c r="BY775" s="28"/>
      <c r="BZ775" s="28"/>
      <c r="CA775" s="28"/>
      <c r="CB775" s="28"/>
      <c r="CC775" s="28"/>
      <c r="CD775" s="28"/>
      <c r="CE775" s="28"/>
      <c r="CF775" s="28"/>
      <c r="CG775" s="28"/>
      <c r="CH775" s="28"/>
      <c r="CI775" s="28"/>
      <c r="CJ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9"/>
      <c r="BW776" s="28"/>
      <c r="BX776" s="28"/>
      <c r="BY776" s="28"/>
      <c r="BZ776" s="28"/>
      <c r="CA776" s="28"/>
      <c r="CB776" s="28"/>
      <c r="CC776" s="28"/>
      <c r="CD776" s="28"/>
      <c r="CE776" s="28"/>
      <c r="CF776" s="28"/>
      <c r="CG776" s="28"/>
      <c r="CH776" s="28"/>
      <c r="CI776" s="28"/>
      <c r="CJ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9"/>
      <c r="BW777" s="28"/>
      <c r="BX777" s="28"/>
      <c r="BY777" s="28"/>
      <c r="BZ777" s="28"/>
      <c r="CA777" s="28"/>
      <c r="CB777" s="28"/>
      <c r="CC777" s="28"/>
      <c r="CD777" s="28"/>
      <c r="CE777" s="28"/>
      <c r="CF777" s="28"/>
      <c r="CG777" s="28"/>
      <c r="CH777" s="28"/>
      <c r="CI777" s="28"/>
      <c r="CJ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9"/>
      <c r="BW778" s="28"/>
      <c r="BX778" s="28"/>
      <c r="BY778" s="28"/>
      <c r="BZ778" s="28"/>
      <c r="CA778" s="28"/>
      <c r="CB778" s="28"/>
      <c r="CC778" s="28"/>
      <c r="CD778" s="28"/>
      <c r="CE778" s="28"/>
      <c r="CF778" s="28"/>
      <c r="CG778" s="28"/>
      <c r="CH778" s="28"/>
      <c r="CI778" s="28"/>
      <c r="CJ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9"/>
      <c r="BW779" s="28"/>
      <c r="BX779" s="28"/>
      <c r="BY779" s="28"/>
      <c r="BZ779" s="28"/>
      <c r="CA779" s="28"/>
      <c r="CB779" s="28"/>
      <c r="CC779" s="28"/>
      <c r="CD779" s="28"/>
      <c r="CE779" s="28"/>
      <c r="CF779" s="28"/>
      <c r="CG779" s="28"/>
      <c r="CH779" s="28"/>
      <c r="CI779" s="28"/>
      <c r="CJ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9"/>
      <c r="BW780" s="28"/>
      <c r="BX780" s="28"/>
      <c r="BY780" s="28"/>
      <c r="BZ780" s="28"/>
      <c r="CA780" s="28"/>
      <c r="CB780" s="28"/>
      <c r="CC780" s="28"/>
      <c r="CD780" s="28"/>
      <c r="CE780" s="28"/>
      <c r="CF780" s="28"/>
      <c r="CG780" s="28"/>
      <c r="CH780" s="28"/>
      <c r="CI780" s="28"/>
      <c r="CJ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9"/>
      <c r="BW781" s="28"/>
      <c r="BX781" s="28"/>
      <c r="BY781" s="28"/>
      <c r="BZ781" s="28"/>
      <c r="CA781" s="28"/>
      <c r="CB781" s="28"/>
      <c r="CC781" s="28"/>
      <c r="CD781" s="28"/>
      <c r="CE781" s="28"/>
      <c r="CF781" s="28"/>
      <c r="CG781" s="28"/>
      <c r="CH781" s="28"/>
      <c r="CI781" s="28"/>
      <c r="CJ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9"/>
      <c r="BW782" s="28"/>
      <c r="BX782" s="28"/>
      <c r="BY782" s="28"/>
      <c r="BZ782" s="28"/>
      <c r="CA782" s="28"/>
      <c r="CB782" s="28"/>
      <c r="CC782" s="28"/>
      <c r="CD782" s="28"/>
      <c r="CE782" s="28"/>
      <c r="CF782" s="28"/>
      <c r="CG782" s="28"/>
      <c r="CH782" s="28"/>
      <c r="CI782" s="28"/>
      <c r="CJ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9"/>
      <c r="BW783" s="28"/>
      <c r="BX783" s="28"/>
      <c r="BY783" s="28"/>
      <c r="BZ783" s="28"/>
      <c r="CA783" s="28"/>
      <c r="CB783" s="28"/>
      <c r="CC783" s="28"/>
      <c r="CD783" s="28"/>
      <c r="CE783" s="28"/>
      <c r="CF783" s="28"/>
      <c r="CG783" s="28"/>
      <c r="CH783" s="28"/>
      <c r="CI783" s="28"/>
      <c r="CJ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9"/>
      <c r="BW784" s="28"/>
      <c r="BX784" s="28"/>
      <c r="BY784" s="28"/>
      <c r="BZ784" s="28"/>
      <c r="CA784" s="28"/>
      <c r="CB784" s="28"/>
      <c r="CC784" s="28"/>
      <c r="CD784" s="28"/>
      <c r="CE784" s="28"/>
      <c r="CF784" s="28"/>
      <c r="CG784" s="28"/>
      <c r="CH784" s="28"/>
      <c r="CI784" s="28"/>
      <c r="CJ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9"/>
      <c r="BW785" s="28"/>
      <c r="BX785" s="28"/>
      <c r="BY785" s="28"/>
      <c r="BZ785" s="28"/>
      <c r="CA785" s="28"/>
      <c r="CB785" s="28"/>
      <c r="CC785" s="28"/>
      <c r="CD785" s="28"/>
      <c r="CE785" s="28"/>
      <c r="CF785" s="28"/>
      <c r="CG785" s="28"/>
      <c r="CH785" s="28"/>
      <c r="CI785" s="28"/>
      <c r="CJ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9"/>
      <c r="BW786" s="28"/>
      <c r="BX786" s="28"/>
      <c r="BY786" s="28"/>
      <c r="BZ786" s="28"/>
      <c r="CA786" s="28"/>
      <c r="CB786" s="28"/>
      <c r="CC786" s="28"/>
      <c r="CD786" s="28"/>
      <c r="CE786" s="28"/>
      <c r="CF786" s="28"/>
      <c r="CG786" s="28"/>
      <c r="CH786" s="28"/>
      <c r="CI786" s="28"/>
      <c r="CJ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9"/>
      <c r="BW787" s="28"/>
      <c r="BX787" s="28"/>
      <c r="BY787" s="28"/>
      <c r="BZ787" s="28"/>
      <c r="CA787" s="28"/>
      <c r="CB787" s="28"/>
      <c r="CC787" s="28"/>
      <c r="CD787" s="28"/>
      <c r="CE787" s="28"/>
      <c r="CF787" s="28"/>
      <c r="CG787" s="28"/>
      <c r="CH787" s="28"/>
      <c r="CI787" s="28"/>
      <c r="CJ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9"/>
      <c r="BW788" s="28"/>
      <c r="BX788" s="28"/>
      <c r="BY788" s="28"/>
      <c r="BZ788" s="28"/>
      <c r="CA788" s="28"/>
      <c r="CB788" s="28"/>
      <c r="CC788" s="28"/>
      <c r="CD788" s="28"/>
      <c r="CE788" s="28"/>
      <c r="CF788" s="28"/>
      <c r="CG788" s="28"/>
      <c r="CH788" s="28"/>
      <c r="CI788" s="28"/>
      <c r="CJ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9"/>
      <c r="BW789" s="28"/>
      <c r="BX789" s="28"/>
      <c r="BY789" s="28"/>
      <c r="BZ789" s="28"/>
      <c r="CA789" s="28"/>
      <c r="CB789" s="28"/>
      <c r="CC789" s="28"/>
      <c r="CD789" s="28"/>
      <c r="CE789" s="28"/>
      <c r="CF789" s="28"/>
      <c r="CG789" s="28"/>
      <c r="CH789" s="28"/>
      <c r="CI789" s="28"/>
      <c r="CJ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9"/>
      <c r="BW790" s="28"/>
      <c r="BX790" s="28"/>
      <c r="BY790" s="28"/>
      <c r="BZ790" s="28"/>
      <c r="CA790" s="28"/>
      <c r="CB790" s="28"/>
      <c r="CC790" s="28"/>
      <c r="CD790" s="28"/>
      <c r="CE790" s="28"/>
      <c r="CF790" s="28"/>
      <c r="CG790" s="28"/>
      <c r="CH790" s="28"/>
      <c r="CI790" s="28"/>
      <c r="CJ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9"/>
      <c r="BW791" s="28"/>
      <c r="BX791" s="28"/>
      <c r="BY791" s="28"/>
      <c r="BZ791" s="28"/>
      <c r="CA791" s="28"/>
      <c r="CB791" s="28"/>
      <c r="CC791" s="28"/>
      <c r="CD791" s="28"/>
      <c r="CE791" s="28"/>
      <c r="CF791" s="28"/>
      <c r="CG791" s="28"/>
      <c r="CH791" s="28"/>
      <c r="CI791" s="28"/>
      <c r="CJ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9"/>
      <c r="BW792" s="28"/>
      <c r="BX792" s="28"/>
      <c r="BY792" s="28"/>
      <c r="BZ792" s="28"/>
      <c r="CA792" s="28"/>
      <c r="CB792" s="28"/>
      <c r="CC792" s="28"/>
      <c r="CD792" s="28"/>
      <c r="CE792" s="28"/>
      <c r="CF792" s="28"/>
      <c r="CG792" s="28"/>
      <c r="CH792" s="28"/>
      <c r="CI792" s="28"/>
      <c r="CJ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9"/>
      <c r="BW793" s="28"/>
      <c r="BX793" s="28"/>
      <c r="BY793" s="28"/>
      <c r="BZ793" s="28"/>
      <c r="CA793" s="28"/>
      <c r="CB793" s="28"/>
      <c r="CC793" s="28"/>
      <c r="CD793" s="28"/>
      <c r="CE793" s="28"/>
      <c r="CF793" s="28"/>
      <c r="CG793" s="28"/>
      <c r="CH793" s="28"/>
      <c r="CI793" s="28"/>
      <c r="CJ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9"/>
      <c r="BW794" s="28"/>
      <c r="BX794" s="28"/>
      <c r="BY794" s="28"/>
      <c r="BZ794" s="28"/>
      <c r="CA794" s="28"/>
      <c r="CB794" s="28"/>
      <c r="CC794" s="28"/>
      <c r="CD794" s="28"/>
      <c r="CE794" s="28"/>
      <c r="CF794" s="28"/>
      <c r="CG794" s="28"/>
      <c r="CH794" s="28"/>
      <c r="CI794" s="28"/>
      <c r="CJ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9"/>
      <c r="BW795" s="28"/>
      <c r="BX795" s="28"/>
      <c r="BY795" s="28"/>
      <c r="BZ795" s="28"/>
      <c r="CA795" s="28"/>
      <c r="CB795" s="28"/>
      <c r="CC795" s="28"/>
      <c r="CD795" s="28"/>
      <c r="CE795" s="28"/>
      <c r="CF795" s="28"/>
      <c r="CG795" s="28"/>
      <c r="CH795" s="28"/>
      <c r="CI795" s="28"/>
      <c r="CJ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9"/>
      <c r="BW796" s="28"/>
      <c r="BX796" s="28"/>
      <c r="BY796" s="28"/>
      <c r="BZ796" s="28"/>
      <c r="CA796" s="28"/>
      <c r="CB796" s="28"/>
      <c r="CC796" s="28"/>
      <c r="CD796" s="28"/>
      <c r="CE796" s="28"/>
      <c r="CF796" s="28"/>
      <c r="CG796" s="28"/>
      <c r="CH796" s="28"/>
      <c r="CI796" s="28"/>
      <c r="CJ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9"/>
      <c r="BW797" s="28"/>
      <c r="BX797" s="28"/>
      <c r="BY797" s="28"/>
      <c r="BZ797" s="28"/>
      <c r="CA797" s="28"/>
      <c r="CB797" s="28"/>
      <c r="CC797" s="28"/>
      <c r="CD797" s="28"/>
      <c r="CE797" s="28"/>
      <c r="CF797" s="28"/>
      <c r="CG797" s="28"/>
      <c r="CH797" s="28"/>
      <c r="CI797" s="28"/>
      <c r="CJ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9"/>
      <c r="BW798" s="28"/>
      <c r="BX798" s="28"/>
      <c r="BY798" s="28"/>
      <c r="BZ798" s="28"/>
      <c r="CA798" s="28"/>
      <c r="CB798" s="28"/>
      <c r="CC798" s="28"/>
      <c r="CD798" s="28"/>
      <c r="CE798" s="28"/>
      <c r="CF798" s="28"/>
      <c r="CG798" s="28"/>
      <c r="CH798" s="28"/>
      <c r="CI798" s="28"/>
      <c r="CJ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9"/>
      <c r="BW799" s="28"/>
      <c r="BX799" s="28"/>
      <c r="BY799" s="28"/>
      <c r="BZ799" s="28"/>
      <c r="CA799" s="28"/>
      <c r="CB799" s="28"/>
      <c r="CC799" s="28"/>
      <c r="CD799" s="28"/>
      <c r="CE799" s="28"/>
      <c r="CF799" s="28"/>
      <c r="CG799" s="28"/>
      <c r="CH799" s="28"/>
      <c r="CI799" s="28"/>
      <c r="CJ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9"/>
      <c r="BW800" s="28"/>
      <c r="BX800" s="28"/>
      <c r="BY800" s="28"/>
      <c r="BZ800" s="28"/>
      <c r="CA800" s="28"/>
      <c r="CB800" s="28"/>
      <c r="CC800" s="28"/>
      <c r="CD800" s="28"/>
      <c r="CE800" s="28"/>
      <c r="CF800" s="28"/>
      <c r="CG800" s="28"/>
      <c r="CH800" s="28"/>
      <c r="CI800" s="28"/>
      <c r="CJ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9"/>
      <c r="BW801" s="28"/>
      <c r="BX801" s="28"/>
      <c r="BY801" s="28"/>
      <c r="BZ801" s="28"/>
      <c r="CA801" s="28"/>
      <c r="CB801" s="28"/>
      <c r="CC801" s="28"/>
      <c r="CD801" s="28"/>
      <c r="CE801" s="28"/>
      <c r="CF801" s="28"/>
      <c r="CG801" s="28"/>
      <c r="CH801" s="28"/>
      <c r="CI801" s="28"/>
      <c r="CJ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9"/>
      <c r="BW802" s="28"/>
      <c r="BX802" s="28"/>
      <c r="BY802" s="28"/>
      <c r="BZ802" s="28"/>
      <c r="CA802" s="28"/>
      <c r="CB802" s="28"/>
      <c r="CC802" s="28"/>
      <c r="CD802" s="28"/>
      <c r="CE802" s="28"/>
      <c r="CF802" s="28"/>
      <c r="CG802" s="28"/>
      <c r="CH802" s="28"/>
      <c r="CI802" s="28"/>
      <c r="CJ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9"/>
      <c r="BW803" s="28"/>
      <c r="BX803" s="28"/>
      <c r="BY803" s="28"/>
      <c r="BZ803" s="28"/>
      <c r="CA803" s="28"/>
      <c r="CB803" s="28"/>
      <c r="CC803" s="28"/>
      <c r="CD803" s="28"/>
      <c r="CE803" s="28"/>
      <c r="CF803" s="28"/>
      <c r="CG803" s="28"/>
      <c r="CH803" s="28"/>
      <c r="CI803" s="28"/>
      <c r="CJ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9"/>
      <c r="BW804" s="28"/>
      <c r="BX804" s="28"/>
      <c r="BY804" s="28"/>
      <c r="BZ804" s="28"/>
      <c r="CA804" s="28"/>
      <c r="CB804" s="28"/>
      <c r="CC804" s="28"/>
      <c r="CD804" s="28"/>
      <c r="CE804" s="28"/>
      <c r="CF804" s="28"/>
      <c r="CG804" s="28"/>
      <c r="CH804" s="28"/>
      <c r="CI804" s="28"/>
      <c r="CJ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9"/>
      <c r="BW805" s="28"/>
      <c r="BX805" s="28"/>
      <c r="BY805" s="28"/>
      <c r="BZ805" s="28"/>
      <c r="CA805" s="28"/>
      <c r="CB805" s="28"/>
      <c r="CC805" s="28"/>
      <c r="CD805" s="28"/>
      <c r="CE805" s="28"/>
      <c r="CF805" s="28"/>
      <c r="CG805" s="28"/>
      <c r="CH805" s="28"/>
      <c r="CI805" s="28"/>
      <c r="CJ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9"/>
      <c r="BW806" s="28"/>
      <c r="BX806" s="28"/>
      <c r="BY806" s="28"/>
      <c r="BZ806" s="28"/>
      <c r="CA806" s="28"/>
      <c r="CB806" s="28"/>
      <c r="CC806" s="28"/>
      <c r="CD806" s="28"/>
      <c r="CE806" s="28"/>
      <c r="CF806" s="28"/>
      <c r="CG806" s="28"/>
      <c r="CH806" s="28"/>
      <c r="CI806" s="28"/>
      <c r="CJ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9"/>
      <c r="BW807" s="28"/>
      <c r="BX807" s="28"/>
      <c r="BY807" s="28"/>
      <c r="BZ807" s="28"/>
      <c r="CA807" s="28"/>
      <c r="CB807" s="28"/>
      <c r="CC807" s="28"/>
      <c r="CD807" s="28"/>
      <c r="CE807" s="28"/>
      <c r="CF807" s="28"/>
      <c r="CG807" s="28"/>
      <c r="CH807" s="28"/>
      <c r="CI807" s="28"/>
      <c r="CJ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9"/>
      <c r="BW808" s="28"/>
      <c r="BX808" s="28"/>
      <c r="BY808" s="28"/>
      <c r="BZ808" s="28"/>
      <c r="CA808" s="28"/>
      <c r="CB808" s="28"/>
      <c r="CC808" s="28"/>
      <c r="CD808" s="28"/>
      <c r="CE808" s="28"/>
      <c r="CF808" s="28"/>
      <c r="CG808" s="28"/>
      <c r="CH808" s="28"/>
      <c r="CI808" s="28"/>
      <c r="CJ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9"/>
      <c r="BW809" s="28"/>
      <c r="BX809" s="28"/>
      <c r="BY809" s="28"/>
      <c r="BZ809" s="28"/>
      <c r="CA809" s="28"/>
      <c r="CB809" s="28"/>
      <c r="CC809" s="28"/>
      <c r="CD809" s="28"/>
      <c r="CE809" s="28"/>
      <c r="CF809" s="28"/>
      <c r="CG809" s="28"/>
      <c r="CH809" s="28"/>
      <c r="CI809" s="28"/>
      <c r="CJ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9"/>
      <c r="BW810" s="28"/>
      <c r="BX810" s="28"/>
      <c r="BY810" s="28"/>
      <c r="BZ810" s="28"/>
      <c r="CA810" s="28"/>
      <c r="CB810" s="28"/>
      <c r="CC810" s="28"/>
      <c r="CD810" s="28"/>
      <c r="CE810" s="28"/>
      <c r="CF810" s="28"/>
      <c r="CG810" s="28"/>
      <c r="CH810" s="28"/>
      <c r="CI810" s="28"/>
      <c r="CJ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9"/>
      <c r="BW811" s="28"/>
      <c r="BX811" s="28"/>
      <c r="BY811" s="28"/>
      <c r="BZ811" s="28"/>
      <c r="CA811" s="28"/>
      <c r="CB811" s="28"/>
      <c r="CC811" s="28"/>
      <c r="CD811" s="28"/>
      <c r="CE811" s="28"/>
      <c r="CF811" s="28"/>
      <c r="CG811" s="28"/>
      <c r="CH811" s="28"/>
      <c r="CI811" s="28"/>
      <c r="CJ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9"/>
      <c r="BW812" s="28"/>
      <c r="BX812" s="28"/>
      <c r="BY812" s="28"/>
      <c r="BZ812" s="28"/>
      <c r="CA812" s="28"/>
      <c r="CB812" s="28"/>
      <c r="CC812" s="28"/>
      <c r="CD812" s="28"/>
      <c r="CE812" s="28"/>
      <c r="CF812" s="28"/>
      <c r="CG812" s="28"/>
      <c r="CH812" s="28"/>
      <c r="CI812" s="28"/>
      <c r="CJ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9"/>
      <c r="BW813" s="28"/>
      <c r="BX813" s="28"/>
      <c r="BY813" s="28"/>
      <c r="BZ813" s="28"/>
      <c r="CA813" s="28"/>
      <c r="CB813" s="28"/>
      <c r="CC813" s="28"/>
      <c r="CD813" s="28"/>
      <c r="CE813" s="28"/>
      <c r="CF813" s="28"/>
      <c r="CG813" s="28"/>
      <c r="CH813" s="28"/>
      <c r="CI813" s="28"/>
      <c r="CJ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9"/>
      <c r="BW814" s="28"/>
      <c r="BX814" s="28"/>
      <c r="BY814" s="28"/>
      <c r="BZ814" s="28"/>
      <c r="CA814" s="28"/>
      <c r="CB814" s="28"/>
      <c r="CC814" s="28"/>
      <c r="CD814" s="28"/>
      <c r="CE814" s="28"/>
      <c r="CF814" s="28"/>
      <c r="CG814" s="28"/>
      <c r="CH814" s="28"/>
      <c r="CI814" s="28"/>
      <c r="CJ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9"/>
      <c r="BW815" s="28"/>
      <c r="BX815" s="28"/>
      <c r="BY815" s="28"/>
      <c r="BZ815" s="28"/>
      <c r="CA815" s="28"/>
      <c r="CB815" s="28"/>
      <c r="CC815" s="28"/>
      <c r="CD815" s="28"/>
      <c r="CE815" s="28"/>
      <c r="CF815" s="28"/>
      <c r="CG815" s="28"/>
      <c r="CH815" s="28"/>
      <c r="CI815" s="28"/>
      <c r="CJ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9"/>
      <c r="BW816" s="28"/>
      <c r="BX816" s="28"/>
      <c r="BY816" s="28"/>
      <c r="BZ816" s="28"/>
      <c r="CA816" s="28"/>
      <c r="CB816" s="28"/>
      <c r="CC816" s="28"/>
      <c r="CD816" s="28"/>
      <c r="CE816" s="28"/>
      <c r="CF816" s="28"/>
      <c r="CG816" s="28"/>
      <c r="CH816" s="28"/>
      <c r="CI816" s="28"/>
      <c r="CJ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9"/>
      <c r="BW817" s="28"/>
      <c r="BX817" s="28"/>
      <c r="BY817" s="28"/>
      <c r="BZ817" s="28"/>
      <c r="CA817" s="28"/>
      <c r="CB817" s="28"/>
      <c r="CC817" s="28"/>
      <c r="CD817" s="28"/>
      <c r="CE817" s="28"/>
      <c r="CF817" s="28"/>
      <c r="CG817" s="28"/>
      <c r="CH817" s="28"/>
      <c r="CI817" s="28"/>
      <c r="CJ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9"/>
      <c r="BW818" s="28"/>
      <c r="BX818" s="28"/>
      <c r="BY818" s="28"/>
      <c r="BZ818" s="28"/>
      <c r="CA818" s="28"/>
      <c r="CB818" s="28"/>
      <c r="CC818" s="28"/>
      <c r="CD818" s="28"/>
      <c r="CE818" s="28"/>
      <c r="CF818" s="28"/>
      <c r="CG818" s="28"/>
      <c r="CH818" s="28"/>
      <c r="CI818" s="28"/>
      <c r="CJ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9"/>
      <c r="BW819" s="28"/>
      <c r="BX819" s="28"/>
      <c r="BY819" s="28"/>
      <c r="BZ819" s="28"/>
      <c r="CA819" s="28"/>
      <c r="CB819" s="28"/>
      <c r="CC819" s="28"/>
      <c r="CD819" s="28"/>
      <c r="CE819" s="28"/>
      <c r="CF819" s="28"/>
      <c r="CG819" s="28"/>
      <c r="CH819" s="28"/>
      <c r="CI819" s="28"/>
      <c r="CJ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9"/>
      <c r="BW820" s="28"/>
      <c r="BX820" s="28"/>
      <c r="BY820" s="28"/>
      <c r="BZ820" s="28"/>
      <c r="CA820" s="28"/>
      <c r="CB820" s="28"/>
      <c r="CC820" s="28"/>
      <c r="CD820" s="28"/>
      <c r="CE820" s="28"/>
      <c r="CF820" s="28"/>
      <c r="CG820" s="28"/>
      <c r="CH820" s="28"/>
      <c r="CI820" s="28"/>
      <c r="CJ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9"/>
      <c r="BW821" s="28"/>
      <c r="BX821" s="28"/>
      <c r="BY821" s="28"/>
      <c r="BZ821" s="28"/>
      <c r="CA821" s="28"/>
      <c r="CB821" s="28"/>
      <c r="CC821" s="28"/>
      <c r="CD821" s="28"/>
      <c r="CE821" s="28"/>
      <c r="CF821" s="28"/>
      <c r="CG821" s="28"/>
      <c r="CH821" s="28"/>
      <c r="CI821" s="28"/>
      <c r="CJ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9"/>
      <c r="BW822" s="28"/>
      <c r="BX822" s="28"/>
      <c r="BY822" s="28"/>
      <c r="BZ822" s="28"/>
      <c r="CA822" s="28"/>
      <c r="CB822" s="28"/>
      <c r="CC822" s="28"/>
      <c r="CD822" s="28"/>
      <c r="CE822" s="28"/>
      <c r="CF822" s="28"/>
      <c r="CG822" s="28"/>
      <c r="CH822" s="28"/>
      <c r="CI822" s="28"/>
      <c r="CJ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9"/>
      <c r="BW823" s="28"/>
      <c r="BX823" s="28"/>
      <c r="BY823" s="28"/>
      <c r="BZ823" s="28"/>
      <c r="CA823" s="28"/>
      <c r="CB823" s="28"/>
      <c r="CC823" s="28"/>
      <c r="CD823" s="28"/>
      <c r="CE823" s="28"/>
      <c r="CF823" s="28"/>
      <c r="CG823" s="28"/>
      <c r="CH823" s="28"/>
      <c r="CI823" s="28"/>
      <c r="CJ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9"/>
      <c r="BW824" s="28"/>
      <c r="BX824" s="28"/>
      <c r="BY824" s="28"/>
      <c r="BZ824" s="28"/>
      <c r="CA824" s="28"/>
      <c r="CB824" s="28"/>
      <c r="CC824" s="28"/>
      <c r="CD824" s="28"/>
      <c r="CE824" s="28"/>
      <c r="CF824" s="28"/>
      <c r="CG824" s="28"/>
      <c r="CH824" s="28"/>
      <c r="CI824" s="28"/>
      <c r="CJ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9"/>
      <c r="BW825" s="28"/>
      <c r="BX825" s="28"/>
      <c r="BY825" s="28"/>
      <c r="BZ825" s="28"/>
      <c r="CA825" s="28"/>
      <c r="CB825" s="28"/>
      <c r="CC825" s="28"/>
      <c r="CD825" s="28"/>
      <c r="CE825" s="28"/>
      <c r="CF825" s="28"/>
      <c r="CG825" s="28"/>
      <c r="CH825" s="28"/>
      <c r="CI825" s="28"/>
      <c r="CJ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9"/>
      <c r="BW826" s="28"/>
      <c r="BX826" s="28"/>
      <c r="BY826" s="28"/>
      <c r="BZ826" s="28"/>
      <c r="CA826" s="28"/>
      <c r="CB826" s="28"/>
      <c r="CC826" s="28"/>
      <c r="CD826" s="28"/>
      <c r="CE826" s="28"/>
      <c r="CF826" s="28"/>
      <c r="CG826" s="28"/>
      <c r="CH826" s="28"/>
      <c r="CI826" s="28"/>
      <c r="CJ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9"/>
      <c r="BW827" s="28"/>
      <c r="BX827" s="28"/>
      <c r="BY827" s="28"/>
      <c r="BZ827" s="28"/>
      <c r="CA827" s="28"/>
      <c r="CB827" s="28"/>
      <c r="CC827" s="28"/>
      <c r="CD827" s="28"/>
      <c r="CE827" s="28"/>
      <c r="CF827" s="28"/>
      <c r="CG827" s="28"/>
      <c r="CH827" s="28"/>
      <c r="CI827" s="28"/>
      <c r="CJ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9"/>
      <c r="BW828" s="28"/>
      <c r="BX828" s="28"/>
      <c r="BY828" s="28"/>
      <c r="BZ828" s="28"/>
      <c r="CA828" s="28"/>
      <c r="CB828" s="28"/>
      <c r="CC828" s="28"/>
      <c r="CD828" s="28"/>
      <c r="CE828" s="28"/>
      <c r="CF828" s="28"/>
      <c r="CG828" s="28"/>
      <c r="CH828" s="28"/>
      <c r="CI828" s="28"/>
      <c r="CJ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9"/>
      <c r="BW829" s="28"/>
      <c r="BX829" s="28"/>
      <c r="BY829" s="28"/>
      <c r="BZ829" s="28"/>
      <c r="CA829" s="28"/>
      <c r="CB829" s="28"/>
      <c r="CC829" s="28"/>
      <c r="CD829" s="28"/>
      <c r="CE829" s="28"/>
      <c r="CF829" s="28"/>
      <c r="CG829" s="28"/>
      <c r="CH829" s="28"/>
      <c r="CI829" s="28"/>
      <c r="CJ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9"/>
      <c r="BW830" s="28"/>
      <c r="BX830" s="28"/>
      <c r="BY830" s="28"/>
      <c r="BZ830" s="28"/>
      <c r="CA830" s="28"/>
      <c r="CB830" s="28"/>
      <c r="CC830" s="28"/>
      <c r="CD830" s="28"/>
      <c r="CE830" s="28"/>
      <c r="CF830" s="28"/>
      <c r="CG830" s="28"/>
      <c r="CH830" s="28"/>
      <c r="CI830" s="28"/>
      <c r="CJ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9"/>
      <c r="BW831" s="28"/>
      <c r="BX831" s="28"/>
      <c r="BY831" s="28"/>
      <c r="BZ831" s="28"/>
      <c r="CA831" s="28"/>
      <c r="CB831" s="28"/>
      <c r="CC831" s="28"/>
      <c r="CD831" s="28"/>
      <c r="CE831" s="28"/>
      <c r="CF831" s="28"/>
      <c r="CG831" s="28"/>
      <c r="CH831" s="28"/>
      <c r="CI831" s="28"/>
      <c r="CJ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9"/>
      <c r="BW832" s="28"/>
      <c r="BX832" s="28"/>
      <c r="BY832" s="28"/>
      <c r="BZ832" s="28"/>
      <c r="CA832" s="28"/>
      <c r="CB832" s="28"/>
      <c r="CC832" s="28"/>
      <c r="CD832" s="28"/>
      <c r="CE832" s="28"/>
      <c r="CF832" s="28"/>
      <c r="CG832" s="28"/>
      <c r="CH832" s="28"/>
      <c r="CI832" s="28"/>
      <c r="CJ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9"/>
      <c r="BW833" s="28"/>
      <c r="BX833" s="28"/>
      <c r="BY833" s="28"/>
      <c r="BZ833" s="28"/>
      <c r="CA833" s="28"/>
      <c r="CB833" s="28"/>
      <c r="CC833" s="28"/>
      <c r="CD833" s="28"/>
      <c r="CE833" s="28"/>
      <c r="CF833" s="28"/>
      <c r="CG833" s="28"/>
      <c r="CH833" s="28"/>
      <c r="CI833" s="28"/>
      <c r="CJ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9"/>
      <c r="BW834" s="28"/>
      <c r="BX834" s="28"/>
      <c r="BY834" s="28"/>
      <c r="BZ834" s="28"/>
      <c r="CA834" s="28"/>
      <c r="CB834" s="28"/>
      <c r="CC834" s="28"/>
      <c r="CD834" s="28"/>
      <c r="CE834" s="28"/>
      <c r="CF834" s="28"/>
      <c r="CG834" s="28"/>
      <c r="CH834" s="28"/>
      <c r="CI834" s="28"/>
      <c r="CJ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9"/>
      <c r="BW835" s="28"/>
      <c r="BX835" s="28"/>
      <c r="BY835" s="28"/>
      <c r="BZ835" s="28"/>
      <c r="CA835" s="28"/>
      <c r="CB835" s="28"/>
      <c r="CC835" s="28"/>
      <c r="CD835" s="28"/>
      <c r="CE835" s="28"/>
      <c r="CF835" s="28"/>
      <c r="CG835" s="28"/>
      <c r="CH835" s="28"/>
      <c r="CI835" s="28"/>
      <c r="CJ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9"/>
      <c r="BW836" s="28"/>
      <c r="BX836" s="28"/>
      <c r="BY836" s="28"/>
      <c r="BZ836" s="28"/>
      <c r="CA836" s="28"/>
      <c r="CB836" s="28"/>
      <c r="CC836" s="28"/>
      <c r="CD836" s="28"/>
      <c r="CE836" s="28"/>
      <c r="CF836" s="28"/>
      <c r="CG836" s="28"/>
      <c r="CH836" s="28"/>
      <c r="CI836" s="28"/>
      <c r="CJ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9"/>
      <c r="BW837" s="28"/>
      <c r="BX837" s="28"/>
      <c r="BY837" s="28"/>
      <c r="BZ837" s="28"/>
      <c r="CA837" s="28"/>
      <c r="CB837" s="28"/>
      <c r="CC837" s="28"/>
      <c r="CD837" s="28"/>
      <c r="CE837" s="28"/>
      <c r="CF837" s="28"/>
      <c r="CG837" s="28"/>
      <c r="CH837" s="28"/>
      <c r="CI837" s="28"/>
      <c r="CJ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9"/>
      <c r="BW838" s="28"/>
      <c r="BX838" s="28"/>
      <c r="BY838" s="28"/>
      <c r="BZ838" s="28"/>
      <c r="CA838" s="28"/>
      <c r="CB838" s="28"/>
      <c r="CC838" s="28"/>
      <c r="CD838" s="28"/>
      <c r="CE838" s="28"/>
      <c r="CF838" s="28"/>
      <c r="CG838" s="28"/>
      <c r="CH838" s="28"/>
      <c r="CI838" s="28"/>
      <c r="CJ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9"/>
      <c r="BW839" s="28"/>
      <c r="BX839" s="28"/>
      <c r="BY839" s="28"/>
      <c r="BZ839" s="28"/>
      <c r="CA839" s="28"/>
      <c r="CB839" s="28"/>
      <c r="CC839" s="28"/>
      <c r="CD839" s="28"/>
      <c r="CE839" s="28"/>
      <c r="CF839" s="28"/>
      <c r="CG839" s="28"/>
      <c r="CH839" s="28"/>
      <c r="CI839" s="28"/>
      <c r="CJ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9"/>
      <c r="BW840" s="28"/>
      <c r="BX840" s="28"/>
      <c r="BY840" s="28"/>
      <c r="BZ840" s="28"/>
      <c r="CA840" s="28"/>
      <c r="CB840" s="28"/>
      <c r="CC840" s="28"/>
      <c r="CD840" s="28"/>
      <c r="CE840" s="28"/>
      <c r="CF840" s="28"/>
      <c r="CG840" s="28"/>
      <c r="CH840" s="28"/>
      <c r="CI840" s="28"/>
      <c r="CJ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9"/>
      <c r="BW841" s="28"/>
      <c r="BX841" s="28"/>
      <c r="BY841" s="28"/>
      <c r="BZ841" s="28"/>
      <c r="CA841" s="28"/>
      <c r="CB841" s="28"/>
      <c r="CC841" s="28"/>
      <c r="CD841" s="28"/>
      <c r="CE841" s="28"/>
      <c r="CF841" s="28"/>
      <c r="CG841" s="28"/>
      <c r="CH841" s="28"/>
      <c r="CI841" s="28"/>
      <c r="CJ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9"/>
      <c r="BW842" s="28"/>
      <c r="BX842" s="28"/>
      <c r="BY842" s="28"/>
      <c r="BZ842" s="28"/>
      <c r="CA842" s="28"/>
      <c r="CB842" s="28"/>
      <c r="CC842" s="28"/>
      <c r="CD842" s="28"/>
      <c r="CE842" s="28"/>
      <c r="CF842" s="28"/>
      <c r="CG842" s="28"/>
      <c r="CH842" s="28"/>
      <c r="CI842" s="28"/>
      <c r="CJ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9"/>
      <c r="BW843" s="28"/>
      <c r="BX843" s="28"/>
      <c r="BY843" s="28"/>
      <c r="BZ843" s="28"/>
      <c r="CA843" s="28"/>
      <c r="CB843" s="28"/>
      <c r="CC843" s="28"/>
      <c r="CD843" s="28"/>
      <c r="CE843" s="28"/>
      <c r="CF843" s="28"/>
      <c r="CG843" s="28"/>
      <c r="CH843" s="28"/>
      <c r="CI843" s="28"/>
      <c r="CJ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9"/>
      <c r="BW844" s="28"/>
      <c r="BX844" s="28"/>
      <c r="BY844" s="28"/>
      <c r="BZ844" s="28"/>
      <c r="CA844" s="28"/>
      <c r="CB844" s="28"/>
      <c r="CC844" s="28"/>
      <c r="CD844" s="28"/>
      <c r="CE844" s="28"/>
      <c r="CF844" s="28"/>
      <c r="CG844" s="28"/>
      <c r="CH844" s="28"/>
      <c r="CI844" s="28"/>
      <c r="CJ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9"/>
      <c r="BW845" s="28"/>
      <c r="BX845" s="28"/>
      <c r="BY845" s="28"/>
      <c r="BZ845" s="28"/>
      <c r="CA845" s="28"/>
      <c r="CB845" s="28"/>
      <c r="CC845" s="28"/>
      <c r="CD845" s="28"/>
      <c r="CE845" s="28"/>
      <c r="CF845" s="28"/>
      <c r="CG845" s="28"/>
      <c r="CH845" s="28"/>
      <c r="CI845" s="28"/>
      <c r="CJ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9"/>
      <c r="BW846" s="28"/>
      <c r="BX846" s="28"/>
      <c r="BY846" s="28"/>
      <c r="BZ846" s="28"/>
      <c r="CA846" s="28"/>
      <c r="CB846" s="28"/>
      <c r="CC846" s="28"/>
      <c r="CD846" s="28"/>
      <c r="CE846" s="28"/>
      <c r="CF846" s="28"/>
      <c r="CG846" s="28"/>
      <c r="CH846" s="28"/>
      <c r="CI846" s="28"/>
      <c r="CJ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9"/>
      <c r="BW847" s="28"/>
      <c r="BX847" s="28"/>
      <c r="BY847" s="28"/>
      <c r="BZ847" s="28"/>
      <c r="CA847" s="28"/>
      <c r="CB847" s="28"/>
      <c r="CC847" s="28"/>
      <c r="CD847" s="28"/>
      <c r="CE847" s="28"/>
      <c r="CF847" s="28"/>
      <c r="CG847" s="28"/>
      <c r="CH847" s="28"/>
      <c r="CI847" s="28"/>
      <c r="CJ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9"/>
      <c r="BW848" s="28"/>
      <c r="BX848" s="28"/>
      <c r="BY848" s="28"/>
      <c r="BZ848" s="28"/>
      <c r="CA848" s="28"/>
      <c r="CB848" s="28"/>
      <c r="CC848" s="28"/>
      <c r="CD848" s="28"/>
      <c r="CE848" s="28"/>
      <c r="CF848" s="28"/>
      <c r="CG848" s="28"/>
      <c r="CH848" s="28"/>
      <c r="CI848" s="28"/>
      <c r="CJ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9"/>
      <c r="BW849" s="28"/>
      <c r="BX849" s="28"/>
      <c r="BY849" s="28"/>
      <c r="BZ849" s="28"/>
      <c r="CA849" s="28"/>
      <c r="CB849" s="28"/>
      <c r="CC849" s="28"/>
      <c r="CD849" s="28"/>
      <c r="CE849" s="28"/>
      <c r="CF849" s="28"/>
      <c r="CG849" s="28"/>
      <c r="CH849" s="28"/>
      <c r="CI849" s="28"/>
      <c r="CJ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9"/>
      <c r="BW850" s="28"/>
      <c r="BX850" s="28"/>
      <c r="BY850" s="28"/>
      <c r="BZ850" s="28"/>
      <c r="CA850" s="28"/>
      <c r="CB850" s="28"/>
      <c r="CC850" s="28"/>
      <c r="CD850" s="28"/>
      <c r="CE850" s="28"/>
      <c r="CF850" s="28"/>
      <c r="CG850" s="28"/>
      <c r="CH850" s="28"/>
      <c r="CI850" s="28"/>
      <c r="CJ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9"/>
      <c r="BW851" s="28"/>
      <c r="BX851" s="28"/>
      <c r="BY851" s="28"/>
      <c r="BZ851" s="28"/>
      <c r="CA851" s="28"/>
      <c r="CB851" s="28"/>
      <c r="CC851" s="28"/>
      <c r="CD851" s="28"/>
      <c r="CE851" s="28"/>
      <c r="CF851" s="28"/>
      <c r="CG851" s="28"/>
      <c r="CH851" s="28"/>
      <c r="CI851" s="28"/>
      <c r="CJ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9"/>
      <c r="BW852" s="28"/>
      <c r="BX852" s="28"/>
      <c r="BY852" s="28"/>
      <c r="BZ852" s="28"/>
      <c r="CA852" s="28"/>
      <c r="CB852" s="28"/>
      <c r="CC852" s="28"/>
      <c r="CD852" s="28"/>
      <c r="CE852" s="28"/>
      <c r="CF852" s="28"/>
      <c r="CG852" s="28"/>
      <c r="CH852" s="28"/>
      <c r="CI852" s="28"/>
      <c r="CJ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9"/>
      <c r="BW853" s="28"/>
      <c r="BX853" s="28"/>
      <c r="BY853" s="28"/>
      <c r="BZ853" s="28"/>
      <c r="CA853" s="28"/>
      <c r="CB853" s="28"/>
      <c r="CC853" s="28"/>
      <c r="CD853" s="28"/>
      <c r="CE853" s="28"/>
      <c r="CF853" s="28"/>
      <c r="CG853" s="28"/>
      <c r="CH853" s="28"/>
      <c r="CI853" s="28"/>
      <c r="CJ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9"/>
      <c r="BW854" s="28"/>
      <c r="BX854" s="28"/>
      <c r="BY854" s="28"/>
      <c r="BZ854" s="28"/>
      <c r="CA854" s="28"/>
      <c r="CB854" s="28"/>
      <c r="CC854" s="28"/>
      <c r="CD854" s="28"/>
      <c r="CE854" s="28"/>
      <c r="CF854" s="28"/>
      <c r="CG854" s="28"/>
      <c r="CH854" s="28"/>
      <c r="CI854" s="28"/>
      <c r="CJ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9"/>
      <c r="BW855" s="28"/>
      <c r="BX855" s="28"/>
      <c r="BY855" s="28"/>
      <c r="BZ855" s="28"/>
      <c r="CA855" s="28"/>
      <c r="CB855" s="28"/>
      <c r="CC855" s="28"/>
      <c r="CD855" s="28"/>
      <c r="CE855" s="28"/>
      <c r="CF855" s="28"/>
      <c r="CG855" s="28"/>
      <c r="CH855" s="28"/>
      <c r="CI855" s="28"/>
      <c r="CJ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9"/>
      <c r="BW856" s="28"/>
      <c r="BX856" s="28"/>
      <c r="BY856" s="28"/>
      <c r="BZ856" s="28"/>
      <c r="CA856" s="28"/>
      <c r="CB856" s="28"/>
      <c r="CC856" s="28"/>
      <c r="CD856" s="28"/>
      <c r="CE856" s="28"/>
      <c r="CF856" s="28"/>
      <c r="CG856" s="28"/>
      <c r="CH856" s="28"/>
      <c r="CI856" s="28"/>
      <c r="CJ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9"/>
      <c r="BW857" s="28"/>
      <c r="BX857" s="28"/>
      <c r="BY857" s="28"/>
      <c r="BZ857" s="28"/>
      <c r="CA857" s="28"/>
      <c r="CB857" s="28"/>
      <c r="CC857" s="28"/>
      <c r="CD857" s="28"/>
      <c r="CE857" s="28"/>
      <c r="CF857" s="28"/>
      <c r="CG857" s="28"/>
      <c r="CH857" s="28"/>
      <c r="CI857" s="28"/>
      <c r="CJ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9"/>
      <c r="BW858" s="28"/>
      <c r="BX858" s="28"/>
      <c r="BY858" s="28"/>
      <c r="BZ858" s="28"/>
      <c r="CA858" s="28"/>
      <c r="CB858" s="28"/>
      <c r="CC858" s="28"/>
      <c r="CD858" s="28"/>
      <c r="CE858" s="28"/>
      <c r="CF858" s="28"/>
      <c r="CG858" s="28"/>
      <c r="CH858" s="28"/>
      <c r="CI858" s="28"/>
      <c r="CJ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9"/>
      <c r="BW859" s="28"/>
      <c r="BX859" s="28"/>
      <c r="BY859" s="28"/>
      <c r="BZ859" s="28"/>
      <c r="CA859" s="28"/>
      <c r="CB859" s="28"/>
      <c r="CC859" s="28"/>
      <c r="CD859" s="28"/>
      <c r="CE859" s="28"/>
      <c r="CF859" s="28"/>
      <c r="CG859" s="28"/>
      <c r="CH859" s="28"/>
      <c r="CI859" s="28"/>
      <c r="CJ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9"/>
      <c r="BW860" s="28"/>
      <c r="BX860" s="28"/>
      <c r="BY860" s="28"/>
      <c r="BZ860" s="28"/>
      <c r="CA860" s="28"/>
      <c r="CB860" s="28"/>
      <c r="CC860" s="28"/>
      <c r="CD860" s="28"/>
      <c r="CE860" s="28"/>
      <c r="CF860" s="28"/>
      <c r="CG860" s="28"/>
      <c r="CH860" s="28"/>
      <c r="CI860" s="28"/>
      <c r="CJ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9"/>
      <c r="BW861" s="28"/>
      <c r="BX861" s="28"/>
      <c r="BY861" s="28"/>
      <c r="BZ861" s="28"/>
      <c r="CA861" s="28"/>
      <c r="CB861" s="28"/>
      <c r="CC861" s="28"/>
      <c r="CD861" s="28"/>
      <c r="CE861" s="28"/>
      <c r="CF861" s="28"/>
      <c r="CG861" s="28"/>
      <c r="CH861" s="28"/>
      <c r="CI861" s="28"/>
      <c r="CJ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9"/>
      <c r="BW862" s="28"/>
      <c r="BX862" s="28"/>
      <c r="BY862" s="28"/>
      <c r="BZ862" s="28"/>
      <c r="CA862" s="28"/>
      <c r="CB862" s="28"/>
      <c r="CC862" s="28"/>
      <c r="CD862" s="28"/>
      <c r="CE862" s="28"/>
      <c r="CF862" s="28"/>
      <c r="CG862" s="28"/>
      <c r="CH862" s="28"/>
      <c r="CI862" s="28"/>
      <c r="CJ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9"/>
      <c r="BW863" s="28"/>
      <c r="BX863" s="28"/>
      <c r="BY863" s="28"/>
      <c r="BZ863" s="28"/>
      <c r="CA863" s="28"/>
      <c r="CB863" s="28"/>
      <c r="CC863" s="28"/>
      <c r="CD863" s="28"/>
      <c r="CE863" s="28"/>
      <c r="CF863" s="28"/>
      <c r="CG863" s="28"/>
      <c r="CH863" s="28"/>
      <c r="CI863" s="28"/>
      <c r="CJ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9"/>
      <c r="BW864" s="28"/>
      <c r="BX864" s="28"/>
      <c r="BY864" s="28"/>
      <c r="BZ864" s="28"/>
      <c r="CA864" s="28"/>
      <c r="CB864" s="28"/>
      <c r="CC864" s="28"/>
      <c r="CD864" s="28"/>
      <c r="CE864" s="28"/>
      <c r="CF864" s="28"/>
      <c r="CG864" s="28"/>
      <c r="CH864" s="28"/>
      <c r="CI864" s="28"/>
      <c r="CJ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9"/>
      <c r="BW865" s="28"/>
      <c r="BX865" s="28"/>
      <c r="BY865" s="28"/>
      <c r="BZ865" s="28"/>
      <c r="CA865" s="28"/>
      <c r="CB865" s="28"/>
      <c r="CC865" s="28"/>
      <c r="CD865" s="28"/>
      <c r="CE865" s="28"/>
      <c r="CF865" s="28"/>
      <c r="CG865" s="28"/>
      <c r="CH865" s="28"/>
      <c r="CI865" s="28"/>
      <c r="CJ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9"/>
      <c r="BW866" s="28"/>
      <c r="BX866" s="28"/>
      <c r="BY866" s="28"/>
      <c r="BZ866" s="28"/>
      <c r="CA866" s="28"/>
      <c r="CB866" s="28"/>
      <c r="CC866" s="28"/>
      <c r="CD866" s="28"/>
      <c r="CE866" s="28"/>
      <c r="CF866" s="28"/>
      <c r="CG866" s="28"/>
      <c r="CH866" s="28"/>
      <c r="CI866" s="28"/>
      <c r="CJ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9"/>
      <c r="BW867" s="28"/>
      <c r="BX867" s="28"/>
      <c r="BY867" s="28"/>
      <c r="BZ867" s="28"/>
      <c r="CA867" s="28"/>
      <c r="CB867" s="28"/>
      <c r="CC867" s="28"/>
      <c r="CD867" s="28"/>
      <c r="CE867" s="28"/>
      <c r="CF867" s="28"/>
      <c r="CG867" s="28"/>
      <c r="CH867" s="28"/>
      <c r="CI867" s="28"/>
      <c r="CJ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9"/>
      <c r="BW868" s="28"/>
      <c r="BX868" s="28"/>
      <c r="BY868" s="28"/>
      <c r="BZ868" s="28"/>
      <c r="CA868" s="28"/>
      <c r="CB868" s="28"/>
      <c r="CC868" s="28"/>
      <c r="CD868" s="28"/>
      <c r="CE868" s="28"/>
      <c r="CF868" s="28"/>
      <c r="CG868" s="28"/>
      <c r="CH868" s="28"/>
      <c r="CI868" s="28"/>
      <c r="CJ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9"/>
      <c r="BW869" s="28"/>
      <c r="BX869" s="28"/>
      <c r="BY869" s="28"/>
      <c r="BZ869" s="28"/>
      <c r="CA869" s="28"/>
      <c r="CB869" s="28"/>
      <c r="CC869" s="28"/>
      <c r="CD869" s="28"/>
      <c r="CE869" s="28"/>
      <c r="CF869" s="28"/>
      <c r="CG869" s="28"/>
      <c r="CH869" s="28"/>
      <c r="CI869" s="28"/>
      <c r="CJ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9"/>
      <c r="BW870" s="28"/>
      <c r="BX870" s="28"/>
      <c r="BY870" s="28"/>
      <c r="BZ870" s="28"/>
      <c r="CA870" s="28"/>
      <c r="CB870" s="28"/>
      <c r="CC870" s="28"/>
      <c r="CD870" s="28"/>
      <c r="CE870" s="28"/>
      <c r="CF870" s="28"/>
      <c r="CG870" s="28"/>
      <c r="CH870" s="28"/>
      <c r="CI870" s="28"/>
      <c r="CJ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9"/>
      <c r="BW871" s="28"/>
      <c r="BX871" s="28"/>
      <c r="BY871" s="28"/>
      <c r="BZ871" s="28"/>
      <c r="CA871" s="28"/>
      <c r="CB871" s="28"/>
      <c r="CC871" s="28"/>
      <c r="CD871" s="28"/>
      <c r="CE871" s="28"/>
      <c r="CF871" s="28"/>
      <c r="CG871" s="28"/>
      <c r="CH871" s="28"/>
      <c r="CI871" s="28"/>
      <c r="CJ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9"/>
      <c r="BW872" s="28"/>
      <c r="BX872" s="28"/>
      <c r="BY872" s="28"/>
      <c r="BZ872" s="28"/>
      <c r="CA872" s="28"/>
      <c r="CB872" s="28"/>
      <c r="CC872" s="28"/>
      <c r="CD872" s="28"/>
      <c r="CE872" s="28"/>
      <c r="CF872" s="28"/>
      <c r="CG872" s="28"/>
      <c r="CH872" s="28"/>
      <c r="CI872" s="28"/>
      <c r="CJ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9"/>
      <c r="BW873" s="28"/>
      <c r="BX873" s="28"/>
      <c r="BY873" s="28"/>
      <c r="BZ873" s="28"/>
      <c r="CA873" s="28"/>
      <c r="CB873" s="28"/>
      <c r="CC873" s="28"/>
      <c r="CD873" s="28"/>
      <c r="CE873" s="28"/>
      <c r="CF873" s="28"/>
      <c r="CG873" s="28"/>
      <c r="CH873" s="28"/>
      <c r="CI873" s="28"/>
      <c r="CJ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9"/>
      <c r="BW874" s="28"/>
      <c r="BX874" s="28"/>
      <c r="BY874" s="28"/>
      <c r="BZ874" s="28"/>
      <c r="CA874" s="28"/>
      <c r="CB874" s="28"/>
      <c r="CC874" s="28"/>
      <c r="CD874" s="28"/>
      <c r="CE874" s="28"/>
      <c r="CF874" s="28"/>
      <c r="CG874" s="28"/>
      <c r="CH874" s="28"/>
      <c r="CI874" s="28"/>
      <c r="CJ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9"/>
      <c r="BW875" s="28"/>
      <c r="BX875" s="28"/>
      <c r="BY875" s="28"/>
      <c r="BZ875" s="28"/>
      <c r="CA875" s="28"/>
      <c r="CB875" s="28"/>
      <c r="CC875" s="28"/>
      <c r="CD875" s="28"/>
      <c r="CE875" s="28"/>
      <c r="CF875" s="28"/>
      <c r="CG875" s="28"/>
      <c r="CH875" s="28"/>
      <c r="CI875" s="28"/>
      <c r="CJ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9"/>
      <c r="BW876" s="28"/>
      <c r="BX876" s="28"/>
      <c r="BY876" s="28"/>
      <c r="BZ876" s="28"/>
      <c r="CA876" s="28"/>
      <c r="CB876" s="28"/>
      <c r="CC876" s="28"/>
      <c r="CD876" s="28"/>
      <c r="CE876" s="28"/>
      <c r="CF876" s="28"/>
      <c r="CG876" s="28"/>
      <c r="CH876" s="28"/>
      <c r="CI876" s="28"/>
      <c r="CJ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9"/>
      <c r="BW877" s="28"/>
      <c r="BX877" s="28"/>
      <c r="BY877" s="28"/>
      <c r="BZ877" s="28"/>
      <c r="CA877" s="28"/>
      <c r="CB877" s="28"/>
      <c r="CC877" s="28"/>
      <c r="CD877" s="28"/>
      <c r="CE877" s="28"/>
      <c r="CF877" s="28"/>
      <c r="CG877" s="28"/>
      <c r="CH877" s="28"/>
      <c r="CI877" s="28"/>
      <c r="CJ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9"/>
      <c r="BW878" s="28"/>
      <c r="BX878" s="28"/>
      <c r="BY878" s="28"/>
      <c r="BZ878" s="28"/>
      <c r="CA878" s="28"/>
      <c r="CB878" s="28"/>
      <c r="CC878" s="28"/>
      <c r="CD878" s="28"/>
      <c r="CE878" s="28"/>
      <c r="CF878" s="28"/>
      <c r="CG878" s="28"/>
      <c r="CH878" s="28"/>
      <c r="CI878" s="28"/>
      <c r="CJ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9"/>
      <c r="BW879" s="28"/>
      <c r="BX879" s="28"/>
      <c r="BY879" s="28"/>
      <c r="BZ879" s="28"/>
      <c r="CA879" s="28"/>
      <c r="CB879" s="28"/>
      <c r="CC879" s="28"/>
      <c r="CD879" s="28"/>
      <c r="CE879" s="28"/>
      <c r="CF879" s="28"/>
      <c r="CG879" s="28"/>
      <c r="CH879" s="28"/>
      <c r="CI879" s="28"/>
      <c r="CJ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9"/>
      <c r="BW880" s="28"/>
      <c r="BX880" s="28"/>
      <c r="BY880" s="28"/>
      <c r="BZ880" s="28"/>
      <c r="CA880" s="28"/>
      <c r="CB880" s="28"/>
      <c r="CC880" s="28"/>
      <c r="CD880" s="28"/>
      <c r="CE880" s="28"/>
      <c r="CF880" s="28"/>
      <c r="CG880" s="28"/>
      <c r="CH880" s="28"/>
      <c r="CI880" s="28"/>
      <c r="CJ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9"/>
      <c r="BW881" s="28"/>
      <c r="BX881" s="28"/>
      <c r="BY881" s="28"/>
      <c r="BZ881" s="28"/>
      <c r="CA881" s="28"/>
      <c r="CB881" s="28"/>
      <c r="CC881" s="28"/>
      <c r="CD881" s="28"/>
      <c r="CE881" s="28"/>
      <c r="CF881" s="28"/>
      <c r="CG881" s="28"/>
      <c r="CH881" s="28"/>
      <c r="CI881" s="28"/>
      <c r="CJ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9"/>
      <c r="BW882" s="28"/>
      <c r="BX882" s="28"/>
      <c r="BY882" s="28"/>
      <c r="BZ882" s="28"/>
      <c r="CA882" s="28"/>
      <c r="CB882" s="28"/>
      <c r="CC882" s="28"/>
      <c r="CD882" s="28"/>
      <c r="CE882" s="28"/>
      <c r="CF882" s="28"/>
      <c r="CG882" s="28"/>
      <c r="CH882" s="28"/>
      <c r="CI882" s="28"/>
      <c r="CJ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9"/>
      <c r="BW883" s="28"/>
      <c r="BX883" s="28"/>
      <c r="BY883" s="28"/>
      <c r="BZ883" s="28"/>
      <c r="CA883" s="28"/>
      <c r="CB883" s="28"/>
      <c r="CC883" s="28"/>
      <c r="CD883" s="28"/>
      <c r="CE883" s="28"/>
      <c r="CF883" s="28"/>
      <c r="CG883" s="28"/>
      <c r="CH883" s="28"/>
      <c r="CI883" s="28"/>
      <c r="CJ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9"/>
      <c r="BW884" s="28"/>
      <c r="BX884" s="28"/>
      <c r="BY884" s="28"/>
      <c r="BZ884" s="28"/>
      <c r="CA884" s="28"/>
      <c r="CB884" s="28"/>
      <c r="CC884" s="28"/>
      <c r="CD884" s="28"/>
      <c r="CE884" s="28"/>
      <c r="CF884" s="28"/>
      <c r="CG884" s="28"/>
      <c r="CH884" s="28"/>
      <c r="CI884" s="28"/>
      <c r="CJ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9"/>
      <c r="BW885" s="28"/>
      <c r="BX885" s="28"/>
      <c r="BY885" s="28"/>
      <c r="BZ885" s="28"/>
      <c r="CA885" s="28"/>
      <c r="CB885" s="28"/>
      <c r="CC885" s="28"/>
      <c r="CD885" s="28"/>
      <c r="CE885" s="28"/>
      <c r="CF885" s="28"/>
      <c r="CG885" s="28"/>
      <c r="CH885" s="28"/>
      <c r="CI885" s="28"/>
      <c r="CJ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9"/>
      <c r="BW886" s="28"/>
      <c r="BX886" s="28"/>
      <c r="BY886" s="28"/>
      <c r="BZ886" s="28"/>
      <c r="CA886" s="28"/>
      <c r="CB886" s="28"/>
      <c r="CC886" s="28"/>
      <c r="CD886" s="28"/>
      <c r="CE886" s="28"/>
      <c r="CF886" s="28"/>
      <c r="CG886" s="28"/>
      <c r="CH886" s="28"/>
      <c r="CI886" s="28"/>
      <c r="CJ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9"/>
      <c r="BW887" s="28"/>
      <c r="BX887" s="28"/>
      <c r="BY887" s="28"/>
      <c r="BZ887" s="28"/>
      <c r="CA887" s="28"/>
      <c r="CB887" s="28"/>
      <c r="CC887" s="28"/>
      <c r="CD887" s="28"/>
      <c r="CE887" s="28"/>
      <c r="CF887" s="28"/>
      <c r="CG887" s="28"/>
      <c r="CH887" s="28"/>
      <c r="CI887" s="28"/>
      <c r="CJ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9"/>
      <c r="BW888" s="28"/>
      <c r="BX888" s="28"/>
      <c r="BY888" s="28"/>
      <c r="BZ888" s="28"/>
      <c r="CA888" s="28"/>
      <c r="CB888" s="28"/>
      <c r="CC888" s="28"/>
      <c r="CD888" s="28"/>
      <c r="CE888" s="28"/>
      <c r="CF888" s="28"/>
      <c r="CG888" s="28"/>
      <c r="CH888" s="28"/>
      <c r="CI888" s="28"/>
      <c r="CJ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9"/>
      <c r="BW889" s="28"/>
      <c r="BX889" s="28"/>
      <c r="BY889" s="28"/>
      <c r="BZ889" s="28"/>
      <c r="CA889" s="28"/>
      <c r="CB889" s="28"/>
      <c r="CC889" s="28"/>
      <c r="CD889" s="28"/>
      <c r="CE889" s="28"/>
      <c r="CF889" s="28"/>
      <c r="CG889" s="28"/>
      <c r="CH889" s="28"/>
      <c r="CI889" s="28"/>
      <c r="CJ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9"/>
      <c r="BW890" s="28"/>
      <c r="BX890" s="28"/>
      <c r="BY890" s="28"/>
      <c r="BZ890" s="28"/>
      <c r="CA890" s="28"/>
      <c r="CB890" s="28"/>
      <c r="CC890" s="28"/>
      <c r="CD890" s="28"/>
      <c r="CE890" s="28"/>
      <c r="CF890" s="28"/>
      <c r="CG890" s="28"/>
      <c r="CH890" s="28"/>
      <c r="CI890" s="28"/>
      <c r="CJ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9"/>
      <c r="BW891" s="28"/>
      <c r="BX891" s="28"/>
      <c r="BY891" s="28"/>
      <c r="BZ891" s="28"/>
      <c r="CA891" s="28"/>
      <c r="CB891" s="28"/>
      <c r="CC891" s="28"/>
      <c r="CD891" s="28"/>
      <c r="CE891" s="28"/>
      <c r="CF891" s="28"/>
      <c r="CG891" s="28"/>
      <c r="CH891" s="28"/>
      <c r="CI891" s="28"/>
      <c r="CJ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9"/>
      <c r="BW892" s="28"/>
      <c r="BX892" s="28"/>
      <c r="BY892" s="28"/>
      <c r="BZ892" s="28"/>
      <c r="CA892" s="28"/>
      <c r="CB892" s="28"/>
      <c r="CC892" s="28"/>
      <c r="CD892" s="28"/>
      <c r="CE892" s="28"/>
      <c r="CF892" s="28"/>
      <c r="CG892" s="28"/>
      <c r="CH892" s="28"/>
      <c r="CI892" s="28"/>
      <c r="CJ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9"/>
      <c r="BW893" s="28"/>
      <c r="BX893" s="28"/>
      <c r="BY893" s="28"/>
      <c r="BZ893" s="28"/>
      <c r="CA893" s="28"/>
      <c r="CB893" s="28"/>
      <c r="CC893" s="28"/>
      <c r="CD893" s="28"/>
      <c r="CE893" s="28"/>
      <c r="CF893" s="28"/>
      <c r="CG893" s="28"/>
      <c r="CH893" s="28"/>
      <c r="CI893" s="28"/>
      <c r="CJ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9"/>
      <c r="BW894" s="28"/>
      <c r="BX894" s="28"/>
      <c r="BY894" s="28"/>
      <c r="BZ894" s="28"/>
      <c r="CA894" s="28"/>
      <c r="CB894" s="28"/>
      <c r="CC894" s="28"/>
      <c r="CD894" s="28"/>
      <c r="CE894" s="28"/>
      <c r="CF894" s="28"/>
      <c r="CG894" s="28"/>
      <c r="CH894" s="28"/>
      <c r="CI894" s="28"/>
      <c r="CJ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9"/>
      <c r="BW895" s="28"/>
      <c r="BX895" s="28"/>
      <c r="BY895" s="28"/>
      <c r="BZ895" s="28"/>
      <c r="CA895" s="28"/>
      <c r="CB895" s="28"/>
      <c r="CC895" s="28"/>
      <c r="CD895" s="28"/>
      <c r="CE895" s="28"/>
      <c r="CF895" s="28"/>
      <c r="CG895" s="28"/>
      <c r="CH895" s="28"/>
      <c r="CI895" s="28"/>
      <c r="CJ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9"/>
      <c r="BW896" s="28"/>
      <c r="BX896" s="28"/>
      <c r="BY896" s="28"/>
      <c r="BZ896" s="28"/>
      <c r="CA896" s="28"/>
      <c r="CB896" s="28"/>
      <c r="CC896" s="28"/>
      <c r="CD896" s="28"/>
      <c r="CE896" s="28"/>
      <c r="CF896" s="28"/>
      <c r="CG896" s="28"/>
      <c r="CH896" s="28"/>
      <c r="CI896" s="28"/>
      <c r="CJ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9"/>
      <c r="BW897" s="28"/>
      <c r="BX897" s="28"/>
      <c r="BY897" s="28"/>
      <c r="BZ897" s="28"/>
      <c r="CA897" s="28"/>
      <c r="CB897" s="28"/>
      <c r="CC897" s="28"/>
      <c r="CD897" s="28"/>
      <c r="CE897" s="28"/>
      <c r="CF897" s="28"/>
      <c r="CG897" s="28"/>
      <c r="CH897" s="28"/>
      <c r="CI897" s="28"/>
      <c r="CJ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9"/>
      <c r="BW898" s="28"/>
      <c r="BX898" s="28"/>
      <c r="BY898" s="28"/>
      <c r="BZ898" s="28"/>
      <c r="CA898" s="28"/>
      <c r="CB898" s="28"/>
      <c r="CC898" s="28"/>
      <c r="CD898" s="28"/>
      <c r="CE898" s="28"/>
      <c r="CF898" s="28"/>
      <c r="CG898" s="28"/>
      <c r="CH898" s="28"/>
      <c r="CI898" s="28"/>
      <c r="CJ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9"/>
      <c r="BW899" s="28"/>
      <c r="BX899" s="28"/>
      <c r="BY899" s="28"/>
      <c r="BZ899" s="28"/>
      <c r="CA899" s="28"/>
      <c r="CB899" s="28"/>
      <c r="CC899" s="28"/>
      <c r="CD899" s="28"/>
      <c r="CE899" s="28"/>
      <c r="CF899" s="28"/>
      <c r="CG899" s="28"/>
      <c r="CH899" s="28"/>
      <c r="CI899" s="28"/>
      <c r="CJ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9"/>
      <c r="BW900" s="28"/>
      <c r="BX900" s="28"/>
      <c r="BY900" s="28"/>
      <c r="BZ900" s="28"/>
      <c r="CA900" s="28"/>
      <c r="CB900" s="28"/>
      <c r="CC900" s="28"/>
      <c r="CD900" s="28"/>
      <c r="CE900" s="28"/>
      <c r="CF900" s="28"/>
      <c r="CG900" s="28"/>
      <c r="CH900" s="28"/>
      <c r="CI900" s="28"/>
      <c r="CJ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9"/>
      <c r="BW901" s="28"/>
      <c r="BX901" s="28"/>
      <c r="BY901" s="28"/>
      <c r="BZ901" s="28"/>
      <c r="CA901" s="28"/>
      <c r="CB901" s="28"/>
      <c r="CC901" s="28"/>
      <c r="CD901" s="28"/>
      <c r="CE901" s="28"/>
      <c r="CF901" s="28"/>
      <c r="CG901" s="28"/>
      <c r="CH901" s="28"/>
      <c r="CI901" s="28"/>
      <c r="CJ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9"/>
      <c r="BW902" s="28"/>
      <c r="BX902" s="28"/>
      <c r="BY902" s="28"/>
      <c r="BZ902" s="28"/>
      <c r="CA902" s="28"/>
      <c r="CB902" s="28"/>
      <c r="CC902" s="28"/>
      <c r="CD902" s="28"/>
      <c r="CE902" s="28"/>
      <c r="CF902" s="28"/>
      <c r="CG902" s="28"/>
      <c r="CH902" s="28"/>
      <c r="CI902" s="28"/>
      <c r="CJ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9"/>
      <c r="BW903" s="28"/>
      <c r="BX903" s="28"/>
      <c r="BY903" s="28"/>
      <c r="BZ903" s="28"/>
      <c r="CA903" s="28"/>
      <c r="CB903" s="28"/>
      <c r="CC903" s="28"/>
      <c r="CD903" s="28"/>
      <c r="CE903" s="28"/>
      <c r="CF903" s="28"/>
      <c r="CG903" s="28"/>
      <c r="CH903" s="28"/>
      <c r="CI903" s="28"/>
      <c r="CJ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9"/>
      <c r="BW904" s="28"/>
      <c r="BX904" s="28"/>
      <c r="BY904" s="28"/>
      <c r="BZ904" s="28"/>
      <c r="CA904" s="28"/>
      <c r="CB904" s="28"/>
      <c r="CC904" s="28"/>
      <c r="CD904" s="28"/>
      <c r="CE904" s="28"/>
      <c r="CF904" s="28"/>
      <c r="CG904" s="28"/>
      <c r="CH904" s="28"/>
      <c r="CI904" s="28"/>
      <c r="CJ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9"/>
      <c r="BW905" s="28"/>
      <c r="BX905" s="28"/>
      <c r="BY905" s="28"/>
      <c r="BZ905" s="28"/>
      <c r="CA905" s="28"/>
      <c r="CB905" s="28"/>
      <c r="CC905" s="28"/>
      <c r="CD905" s="28"/>
      <c r="CE905" s="28"/>
      <c r="CF905" s="28"/>
      <c r="CG905" s="28"/>
      <c r="CH905" s="28"/>
      <c r="CI905" s="28"/>
      <c r="CJ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9"/>
      <c r="BW906" s="28"/>
      <c r="BX906" s="28"/>
      <c r="BY906" s="28"/>
      <c r="BZ906" s="28"/>
      <c r="CA906" s="28"/>
      <c r="CB906" s="28"/>
      <c r="CC906" s="28"/>
      <c r="CD906" s="28"/>
      <c r="CE906" s="28"/>
      <c r="CF906" s="28"/>
      <c r="CG906" s="28"/>
      <c r="CH906" s="28"/>
      <c r="CI906" s="28"/>
      <c r="CJ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9"/>
      <c r="BW907" s="28"/>
      <c r="BX907" s="28"/>
      <c r="BY907" s="28"/>
      <c r="BZ907" s="28"/>
      <c r="CA907" s="28"/>
      <c r="CB907" s="28"/>
      <c r="CC907" s="28"/>
      <c r="CD907" s="28"/>
      <c r="CE907" s="28"/>
      <c r="CF907" s="28"/>
      <c r="CG907" s="28"/>
      <c r="CH907" s="28"/>
      <c r="CI907" s="28"/>
      <c r="CJ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9"/>
      <c r="BW908" s="28"/>
      <c r="BX908" s="28"/>
      <c r="BY908" s="28"/>
      <c r="BZ908" s="28"/>
      <c r="CA908" s="28"/>
      <c r="CB908" s="28"/>
      <c r="CC908" s="28"/>
      <c r="CD908" s="28"/>
      <c r="CE908" s="28"/>
      <c r="CF908" s="28"/>
      <c r="CG908" s="28"/>
      <c r="CH908" s="28"/>
      <c r="CI908" s="28"/>
      <c r="CJ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9"/>
      <c r="BW909" s="28"/>
      <c r="BX909" s="28"/>
      <c r="BY909" s="28"/>
      <c r="BZ909" s="28"/>
      <c r="CA909" s="28"/>
      <c r="CB909" s="28"/>
      <c r="CC909" s="28"/>
      <c r="CD909" s="28"/>
      <c r="CE909" s="28"/>
      <c r="CF909" s="28"/>
      <c r="CG909" s="28"/>
      <c r="CH909" s="28"/>
      <c r="CI909" s="28"/>
      <c r="CJ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9"/>
      <c r="BW910" s="28"/>
      <c r="BX910" s="28"/>
      <c r="BY910" s="28"/>
      <c r="BZ910" s="28"/>
      <c r="CA910" s="28"/>
      <c r="CB910" s="28"/>
      <c r="CC910" s="28"/>
      <c r="CD910" s="28"/>
      <c r="CE910" s="28"/>
      <c r="CF910" s="28"/>
      <c r="CG910" s="28"/>
      <c r="CH910" s="28"/>
      <c r="CI910" s="28"/>
      <c r="CJ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9"/>
      <c r="BW911" s="28"/>
      <c r="BX911" s="28"/>
      <c r="BY911" s="28"/>
      <c r="BZ911" s="28"/>
      <c r="CA911" s="28"/>
      <c r="CB911" s="28"/>
      <c r="CC911" s="28"/>
      <c r="CD911" s="28"/>
      <c r="CE911" s="28"/>
      <c r="CF911" s="28"/>
      <c r="CG911" s="28"/>
      <c r="CH911" s="28"/>
      <c r="CI911" s="28"/>
      <c r="CJ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9"/>
      <c r="BW912" s="28"/>
      <c r="BX912" s="28"/>
      <c r="BY912" s="28"/>
      <c r="BZ912" s="28"/>
      <c r="CA912" s="28"/>
      <c r="CB912" s="28"/>
      <c r="CC912" s="28"/>
      <c r="CD912" s="28"/>
      <c r="CE912" s="28"/>
      <c r="CF912" s="28"/>
      <c r="CG912" s="28"/>
      <c r="CH912" s="28"/>
      <c r="CI912" s="28"/>
      <c r="CJ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9"/>
      <c r="BW913" s="28"/>
      <c r="BX913" s="28"/>
      <c r="BY913" s="28"/>
      <c r="BZ913" s="28"/>
      <c r="CA913" s="28"/>
      <c r="CB913" s="28"/>
      <c r="CC913" s="28"/>
      <c r="CD913" s="28"/>
      <c r="CE913" s="28"/>
      <c r="CF913" s="28"/>
      <c r="CG913" s="28"/>
      <c r="CH913" s="28"/>
      <c r="CI913" s="28"/>
      <c r="CJ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9"/>
      <c r="BW914" s="28"/>
      <c r="BX914" s="28"/>
      <c r="BY914" s="28"/>
      <c r="BZ914" s="28"/>
      <c r="CA914" s="28"/>
      <c r="CB914" s="28"/>
      <c r="CC914" s="28"/>
      <c r="CD914" s="28"/>
      <c r="CE914" s="28"/>
      <c r="CF914" s="28"/>
      <c r="CG914" s="28"/>
      <c r="CH914" s="28"/>
      <c r="CI914" s="28"/>
      <c r="CJ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9"/>
      <c r="BW915" s="28"/>
      <c r="BX915" s="28"/>
      <c r="BY915" s="28"/>
      <c r="BZ915" s="28"/>
      <c r="CA915" s="28"/>
      <c r="CB915" s="28"/>
      <c r="CC915" s="28"/>
      <c r="CD915" s="28"/>
      <c r="CE915" s="28"/>
      <c r="CF915" s="28"/>
      <c r="CG915" s="28"/>
      <c r="CH915" s="28"/>
      <c r="CI915" s="28"/>
      <c r="CJ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9"/>
      <c r="BW916" s="28"/>
      <c r="BX916" s="28"/>
      <c r="BY916" s="28"/>
      <c r="BZ916" s="28"/>
      <c r="CA916" s="28"/>
      <c r="CB916" s="28"/>
      <c r="CC916" s="28"/>
      <c r="CD916" s="28"/>
      <c r="CE916" s="28"/>
      <c r="CF916" s="28"/>
      <c r="CG916" s="28"/>
      <c r="CH916" s="28"/>
      <c r="CI916" s="28"/>
      <c r="CJ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9"/>
      <c r="BW917" s="28"/>
      <c r="BX917" s="28"/>
      <c r="BY917" s="28"/>
      <c r="BZ917" s="28"/>
      <c r="CA917" s="28"/>
      <c r="CB917" s="28"/>
      <c r="CC917" s="28"/>
      <c r="CD917" s="28"/>
      <c r="CE917" s="28"/>
      <c r="CF917" s="28"/>
      <c r="CG917" s="28"/>
      <c r="CH917" s="28"/>
      <c r="CI917" s="28"/>
      <c r="CJ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9"/>
      <c r="BW918" s="28"/>
      <c r="BX918" s="28"/>
      <c r="BY918" s="28"/>
      <c r="BZ918" s="28"/>
      <c r="CA918" s="28"/>
      <c r="CB918" s="28"/>
      <c r="CC918" s="28"/>
      <c r="CD918" s="28"/>
      <c r="CE918" s="28"/>
      <c r="CF918" s="28"/>
      <c r="CG918" s="28"/>
      <c r="CH918" s="28"/>
      <c r="CI918" s="28"/>
      <c r="CJ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9"/>
      <c r="BW919" s="28"/>
      <c r="BX919" s="28"/>
      <c r="BY919" s="28"/>
      <c r="BZ919" s="28"/>
      <c r="CA919" s="28"/>
      <c r="CB919" s="28"/>
      <c r="CC919" s="28"/>
      <c r="CD919" s="28"/>
      <c r="CE919" s="28"/>
      <c r="CF919" s="28"/>
      <c r="CG919" s="28"/>
      <c r="CH919" s="28"/>
      <c r="CI919" s="28"/>
      <c r="CJ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9"/>
      <c r="BW920" s="28"/>
      <c r="BX920" s="28"/>
      <c r="BY920" s="28"/>
      <c r="BZ920" s="28"/>
      <c r="CA920" s="28"/>
      <c r="CB920" s="28"/>
      <c r="CC920" s="28"/>
      <c r="CD920" s="28"/>
      <c r="CE920" s="28"/>
      <c r="CF920" s="28"/>
      <c r="CG920" s="28"/>
      <c r="CH920" s="28"/>
      <c r="CI920" s="28"/>
      <c r="CJ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9"/>
      <c r="BW921" s="28"/>
      <c r="BX921" s="28"/>
      <c r="BY921" s="28"/>
      <c r="BZ921" s="28"/>
      <c r="CA921" s="28"/>
      <c r="CB921" s="28"/>
      <c r="CC921" s="28"/>
      <c r="CD921" s="28"/>
      <c r="CE921" s="28"/>
      <c r="CF921" s="28"/>
      <c r="CG921" s="28"/>
      <c r="CH921" s="28"/>
      <c r="CI921" s="28"/>
      <c r="CJ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9"/>
      <c r="BW922" s="28"/>
      <c r="BX922" s="28"/>
      <c r="BY922" s="28"/>
      <c r="BZ922" s="28"/>
      <c r="CA922" s="28"/>
      <c r="CB922" s="28"/>
      <c r="CC922" s="28"/>
      <c r="CD922" s="28"/>
      <c r="CE922" s="28"/>
      <c r="CF922" s="28"/>
      <c r="CG922" s="28"/>
      <c r="CH922" s="28"/>
      <c r="CI922" s="28"/>
      <c r="CJ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9"/>
      <c r="BW923" s="28"/>
      <c r="BX923" s="28"/>
      <c r="BY923" s="28"/>
      <c r="BZ923" s="28"/>
      <c r="CA923" s="28"/>
      <c r="CB923" s="28"/>
      <c r="CC923" s="28"/>
      <c r="CD923" s="28"/>
      <c r="CE923" s="28"/>
      <c r="CF923" s="28"/>
      <c r="CG923" s="28"/>
      <c r="CH923" s="28"/>
      <c r="CI923" s="28"/>
      <c r="CJ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9"/>
      <c r="BW924" s="28"/>
      <c r="BX924" s="28"/>
      <c r="BY924" s="28"/>
      <c r="BZ924" s="28"/>
      <c r="CA924" s="28"/>
      <c r="CB924" s="28"/>
      <c r="CC924" s="28"/>
      <c r="CD924" s="28"/>
      <c r="CE924" s="28"/>
      <c r="CF924" s="28"/>
      <c r="CG924" s="28"/>
      <c r="CH924" s="28"/>
      <c r="CI924" s="28"/>
      <c r="CJ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9"/>
      <c r="BW925" s="28"/>
      <c r="BX925" s="28"/>
      <c r="BY925" s="28"/>
      <c r="BZ925" s="28"/>
      <c r="CA925" s="28"/>
      <c r="CB925" s="28"/>
      <c r="CC925" s="28"/>
      <c r="CD925" s="28"/>
      <c r="CE925" s="28"/>
      <c r="CF925" s="28"/>
      <c r="CG925" s="28"/>
      <c r="CH925" s="28"/>
      <c r="CI925" s="28"/>
      <c r="CJ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9"/>
      <c r="BW926" s="28"/>
      <c r="BX926" s="28"/>
      <c r="BY926" s="28"/>
      <c r="BZ926" s="28"/>
      <c r="CA926" s="28"/>
      <c r="CB926" s="28"/>
      <c r="CC926" s="28"/>
      <c r="CD926" s="28"/>
      <c r="CE926" s="28"/>
      <c r="CF926" s="28"/>
      <c r="CG926" s="28"/>
      <c r="CH926" s="28"/>
      <c r="CI926" s="28"/>
      <c r="CJ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9"/>
      <c r="BW927" s="28"/>
      <c r="BX927" s="28"/>
      <c r="BY927" s="28"/>
      <c r="BZ927" s="28"/>
      <c r="CA927" s="28"/>
      <c r="CB927" s="28"/>
      <c r="CC927" s="28"/>
      <c r="CD927" s="28"/>
      <c r="CE927" s="28"/>
      <c r="CF927" s="28"/>
      <c r="CG927" s="28"/>
      <c r="CH927" s="28"/>
      <c r="CI927" s="28"/>
      <c r="CJ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9"/>
      <c r="BW928" s="28"/>
      <c r="BX928" s="28"/>
      <c r="BY928" s="28"/>
      <c r="BZ928" s="28"/>
      <c r="CA928" s="28"/>
      <c r="CB928" s="28"/>
      <c r="CC928" s="28"/>
      <c r="CD928" s="28"/>
      <c r="CE928" s="28"/>
      <c r="CF928" s="28"/>
      <c r="CG928" s="28"/>
      <c r="CH928" s="28"/>
      <c r="CI928" s="28"/>
      <c r="CJ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9"/>
      <c r="BW929" s="28"/>
      <c r="BX929" s="28"/>
      <c r="BY929" s="28"/>
      <c r="BZ929" s="28"/>
      <c r="CA929" s="28"/>
      <c r="CB929" s="28"/>
      <c r="CC929" s="28"/>
      <c r="CD929" s="28"/>
      <c r="CE929" s="28"/>
      <c r="CF929" s="28"/>
      <c r="CG929" s="28"/>
      <c r="CH929" s="28"/>
      <c r="CI929" s="28"/>
      <c r="CJ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9"/>
      <c r="BW930" s="28"/>
      <c r="BX930" s="28"/>
      <c r="BY930" s="28"/>
      <c r="BZ930" s="28"/>
      <c r="CA930" s="28"/>
      <c r="CB930" s="28"/>
      <c r="CC930" s="28"/>
      <c r="CD930" s="28"/>
      <c r="CE930" s="28"/>
      <c r="CF930" s="28"/>
      <c r="CG930" s="28"/>
      <c r="CH930" s="28"/>
      <c r="CI930" s="28"/>
      <c r="CJ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9"/>
      <c r="BW931" s="28"/>
      <c r="BX931" s="28"/>
      <c r="BY931" s="28"/>
      <c r="BZ931" s="28"/>
      <c r="CA931" s="28"/>
      <c r="CB931" s="28"/>
      <c r="CC931" s="28"/>
      <c r="CD931" s="28"/>
      <c r="CE931" s="28"/>
      <c r="CF931" s="28"/>
      <c r="CG931" s="28"/>
      <c r="CH931" s="28"/>
      <c r="CI931" s="28"/>
      <c r="CJ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9"/>
      <c r="BW932" s="28"/>
      <c r="BX932" s="28"/>
      <c r="BY932" s="28"/>
      <c r="BZ932" s="28"/>
      <c r="CA932" s="28"/>
      <c r="CB932" s="28"/>
      <c r="CC932" s="28"/>
      <c r="CD932" s="28"/>
      <c r="CE932" s="28"/>
      <c r="CF932" s="28"/>
      <c r="CG932" s="28"/>
      <c r="CH932" s="28"/>
      <c r="CI932" s="28"/>
      <c r="CJ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9"/>
      <c r="BW933" s="28"/>
      <c r="BX933" s="28"/>
      <c r="BY933" s="28"/>
      <c r="BZ933" s="28"/>
      <c r="CA933" s="28"/>
      <c r="CB933" s="28"/>
      <c r="CC933" s="28"/>
      <c r="CD933" s="28"/>
      <c r="CE933" s="28"/>
      <c r="CF933" s="28"/>
      <c r="CG933" s="28"/>
      <c r="CH933" s="28"/>
      <c r="CI933" s="28"/>
      <c r="CJ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9"/>
      <c r="BW934" s="28"/>
      <c r="BX934" s="28"/>
      <c r="BY934" s="28"/>
      <c r="BZ934" s="28"/>
      <c r="CA934" s="28"/>
      <c r="CB934" s="28"/>
      <c r="CC934" s="28"/>
      <c r="CD934" s="28"/>
      <c r="CE934" s="28"/>
      <c r="CF934" s="28"/>
      <c r="CG934" s="28"/>
      <c r="CH934" s="28"/>
      <c r="CI934" s="28"/>
      <c r="CJ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9"/>
      <c r="BW935" s="28"/>
      <c r="BX935" s="28"/>
      <c r="BY935" s="28"/>
      <c r="BZ935" s="28"/>
      <c r="CA935" s="28"/>
      <c r="CB935" s="28"/>
      <c r="CC935" s="28"/>
      <c r="CD935" s="28"/>
      <c r="CE935" s="28"/>
      <c r="CF935" s="28"/>
      <c r="CG935" s="28"/>
      <c r="CH935" s="28"/>
      <c r="CI935" s="28"/>
      <c r="CJ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9"/>
      <c r="BW936" s="28"/>
      <c r="BX936" s="28"/>
      <c r="BY936" s="28"/>
      <c r="BZ936" s="28"/>
      <c r="CA936" s="28"/>
      <c r="CB936" s="28"/>
      <c r="CC936" s="28"/>
      <c r="CD936" s="28"/>
      <c r="CE936" s="28"/>
      <c r="CF936" s="28"/>
      <c r="CG936" s="28"/>
      <c r="CH936" s="28"/>
      <c r="CI936" s="28"/>
      <c r="CJ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9"/>
      <c r="BW937" s="28"/>
      <c r="BX937" s="28"/>
      <c r="BY937" s="28"/>
      <c r="BZ937" s="28"/>
      <c r="CA937" s="28"/>
      <c r="CB937" s="28"/>
      <c r="CC937" s="28"/>
      <c r="CD937" s="28"/>
      <c r="CE937" s="28"/>
      <c r="CF937" s="28"/>
      <c r="CG937" s="28"/>
      <c r="CH937" s="28"/>
      <c r="CI937" s="28"/>
      <c r="CJ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9"/>
      <c r="BW938" s="28"/>
      <c r="BX938" s="28"/>
      <c r="BY938" s="28"/>
      <c r="BZ938" s="28"/>
      <c r="CA938" s="28"/>
      <c r="CB938" s="28"/>
      <c r="CC938" s="28"/>
      <c r="CD938" s="28"/>
      <c r="CE938" s="28"/>
      <c r="CF938" s="28"/>
      <c r="CG938" s="28"/>
      <c r="CH938" s="28"/>
      <c r="CI938" s="28"/>
      <c r="CJ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9"/>
      <c r="BW939" s="28"/>
      <c r="BX939" s="28"/>
      <c r="BY939" s="28"/>
      <c r="BZ939" s="28"/>
      <c r="CA939" s="28"/>
      <c r="CB939" s="28"/>
      <c r="CC939" s="28"/>
      <c r="CD939" s="28"/>
      <c r="CE939" s="28"/>
      <c r="CF939" s="28"/>
      <c r="CG939" s="28"/>
      <c r="CH939" s="28"/>
      <c r="CI939" s="28"/>
      <c r="CJ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9"/>
      <c r="BW940" s="28"/>
      <c r="BX940" s="28"/>
      <c r="BY940" s="28"/>
      <c r="BZ940" s="28"/>
      <c r="CA940" s="28"/>
      <c r="CB940" s="28"/>
      <c r="CC940" s="28"/>
      <c r="CD940" s="28"/>
      <c r="CE940" s="28"/>
      <c r="CF940" s="28"/>
      <c r="CG940" s="28"/>
      <c r="CH940" s="28"/>
      <c r="CI940" s="28"/>
      <c r="CJ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9"/>
      <c r="BW941" s="28"/>
      <c r="BX941" s="28"/>
      <c r="BY941" s="28"/>
      <c r="BZ941" s="28"/>
      <c r="CA941" s="28"/>
      <c r="CB941" s="28"/>
      <c r="CC941" s="28"/>
      <c r="CD941" s="28"/>
      <c r="CE941" s="28"/>
      <c r="CF941" s="28"/>
      <c r="CG941" s="28"/>
      <c r="CH941" s="28"/>
      <c r="CI941" s="28"/>
      <c r="CJ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9"/>
      <c r="BW942" s="28"/>
      <c r="BX942" s="28"/>
      <c r="BY942" s="28"/>
      <c r="BZ942" s="28"/>
      <c r="CA942" s="28"/>
      <c r="CB942" s="28"/>
      <c r="CC942" s="28"/>
      <c r="CD942" s="28"/>
      <c r="CE942" s="28"/>
      <c r="CF942" s="28"/>
      <c r="CG942" s="28"/>
      <c r="CH942" s="28"/>
      <c r="CI942" s="28"/>
      <c r="CJ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9"/>
      <c r="BW943" s="28"/>
      <c r="BX943" s="28"/>
      <c r="BY943" s="28"/>
      <c r="BZ943" s="28"/>
      <c r="CA943" s="28"/>
      <c r="CB943" s="28"/>
      <c r="CC943" s="28"/>
      <c r="CD943" s="28"/>
      <c r="CE943" s="28"/>
      <c r="CF943" s="28"/>
      <c r="CG943" s="28"/>
      <c r="CH943" s="28"/>
      <c r="CI943" s="28"/>
      <c r="CJ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9"/>
      <c r="BW944" s="28"/>
      <c r="BX944" s="28"/>
      <c r="BY944" s="28"/>
      <c r="BZ944" s="28"/>
      <c r="CA944" s="28"/>
      <c r="CB944" s="28"/>
      <c r="CC944" s="28"/>
      <c r="CD944" s="28"/>
      <c r="CE944" s="28"/>
      <c r="CF944" s="28"/>
      <c r="CG944" s="28"/>
      <c r="CH944" s="28"/>
      <c r="CI944" s="28"/>
      <c r="CJ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9"/>
      <c r="BW945" s="28"/>
      <c r="BX945" s="28"/>
      <c r="BY945" s="28"/>
      <c r="BZ945" s="28"/>
      <c r="CA945" s="28"/>
      <c r="CB945" s="28"/>
      <c r="CC945" s="28"/>
      <c r="CD945" s="28"/>
      <c r="CE945" s="28"/>
      <c r="CF945" s="28"/>
      <c r="CG945" s="28"/>
      <c r="CH945" s="28"/>
      <c r="CI945" s="28"/>
      <c r="CJ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9"/>
      <c r="BW946" s="28"/>
      <c r="BX946" s="28"/>
      <c r="BY946" s="28"/>
      <c r="BZ946" s="28"/>
      <c r="CA946" s="28"/>
      <c r="CB946" s="28"/>
      <c r="CC946" s="28"/>
      <c r="CD946" s="28"/>
      <c r="CE946" s="28"/>
      <c r="CF946" s="28"/>
      <c r="CG946" s="28"/>
      <c r="CH946" s="28"/>
      <c r="CI946" s="28"/>
      <c r="CJ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9"/>
      <c r="BW947" s="28"/>
      <c r="BX947" s="28"/>
      <c r="BY947" s="28"/>
      <c r="BZ947" s="28"/>
      <c r="CA947" s="28"/>
      <c r="CB947" s="28"/>
      <c r="CC947" s="28"/>
      <c r="CD947" s="28"/>
      <c r="CE947" s="28"/>
      <c r="CF947" s="28"/>
      <c r="CG947" s="28"/>
      <c r="CH947" s="28"/>
      <c r="CI947" s="28"/>
      <c r="CJ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9"/>
      <c r="BW948" s="28"/>
      <c r="BX948" s="28"/>
      <c r="BY948" s="28"/>
      <c r="BZ948" s="28"/>
      <c r="CA948" s="28"/>
      <c r="CB948" s="28"/>
      <c r="CC948" s="28"/>
      <c r="CD948" s="28"/>
      <c r="CE948" s="28"/>
      <c r="CF948" s="28"/>
      <c r="CG948" s="28"/>
      <c r="CH948" s="28"/>
      <c r="CI948" s="28"/>
      <c r="CJ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9"/>
      <c r="BW949" s="28"/>
      <c r="BX949" s="28"/>
      <c r="BY949" s="28"/>
      <c r="BZ949" s="28"/>
      <c r="CA949" s="28"/>
      <c r="CB949" s="28"/>
      <c r="CC949" s="28"/>
      <c r="CD949" s="28"/>
      <c r="CE949" s="28"/>
      <c r="CF949" s="28"/>
      <c r="CG949" s="28"/>
      <c r="CH949" s="28"/>
      <c r="CI949" s="28"/>
      <c r="CJ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9"/>
      <c r="BW950" s="28"/>
      <c r="BX950" s="28"/>
      <c r="BY950" s="28"/>
      <c r="BZ950" s="28"/>
      <c r="CA950" s="28"/>
      <c r="CB950" s="28"/>
      <c r="CC950" s="28"/>
      <c r="CD950" s="28"/>
      <c r="CE950" s="28"/>
      <c r="CF950" s="28"/>
      <c r="CG950" s="28"/>
      <c r="CH950" s="28"/>
      <c r="CI950" s="28"/>
      <c r="CJ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9"/>
      <c r="BW951" s="28"/>
      <c r="BX951" s="28"/>
      <c r="BY951" s="28"/>
      <c r="BZ951" s="28"/>
      <c r="CA951" s="28"/>
      <c r="CB951" s="28"/>
      <c r="CC951" s="28"/>
      <c r="CD951" s="28"/>
      <c r="CE951" s="28"/>
      <c r="CF951" s="28"/>
      <c r="CG951" s="28"/>
      <c r="CH951" s="28"/>
      <c r="CI951" s="28"/>
      <c r="CJ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9"/>
      <c r="BW952" s="28"/>
      <c r="BX952" s="28"/>
      <c r="BY952" s="28"/>
      <c r="BZ952" s="28"/>
      <c r="CA952" s="28"/>
      <c r="CB952" s="28"/>
      <c r="CC952" s="28"/>
      <c r="CD952" s="28"/>
      <c r="CE952" s="28"/>
      <c r="CF952" s="28"/>
      <c r="CG952" s="28"/>
      <c r="CH952" s="28"/>
      <c r="CI952" s="28"/>
      <c r="CJ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9"/>
      <c r="BW953" s="28"/>
      <c r="BX953" s="28"/>
      <c r="BY953" s="28"/>
      <c r="BZ953" s="28"/>
      <c r="CA953" s="28"/>
      <c r="CB953" s="28"/>
      <c r="CC953" s="28"/>
      <c r="CD953" s="28"/>
      <c r="CE953" s="28"/>
      <c r="CF953" s="28"/>
      <c r="CG953" s="28"/>
      <c r="CH953" s="28"/>
      <c r="CI953" s="28"/>
      <c r="CJ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9"/>
      <c r="BW954" s="28"/>
      <c r="BX954" s="28"/>
      <c r="BY954" s="28"/>
      <c r="BZ954" s="28"/>
      <c r="CA954" s="28"/>
      <c r="CB954" s="28"/>
      <c r="CC954" s="28"/>
      <c r="CD954" s="28"/>
      <c r="CE954" s="28"/>
      <c r="CF954" s="28"/>
      <c r="CG954" s="28"/>
      <c r="CH954" s="28"/>
      <c r="CI954" s="28"/>
      <c r="CJ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9"/>
      <c r="BW955" s="28"/>
      <c r="BX955" s="28"/>
      <c r="BY955" s="28"/>
      <c r="BZ955" s="28"/>
      <c r="CA955" s="28"/>
      <c r="CB955" s="28"/>
      <c r="CC955" s="28"/>
      <c r="CD955" s="28"/>
      <c r="CE955" s="28"/>
      <c r="CF955" s="28"/>
      <c r="CG955" s="28"/>
      <c r="CH955" s="28"/>
      <c r="CI955" s="28"/>
      <c r="CJ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9"/>
      <c r="BW956" s="28"/>
      <c r="BX956" s="28"/>
      <c r="BY956" s="28"/>
      <c r="BZ956" s="28"/>
      <c r="CA956" s="28"/>
      <c r="CB956" s="28"/>
      <c r="CC956" s="28"/>
      <c r="CD956" s="28"/>
      <c r="CE956" s="28"/>
      <c r="CF956" s="28"/>
      <c r="CG956" s="28"/>
      <c r="CH956" s="28"/>
      <c r="CI956" s="28"/>
      <c r="CJ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9"/>
      <c r="BW957" s="28"/>
      <c r="BX957" s="28"/>
      <c r="BY957" s="28"/>
      <c r="BZ957" s="28"/>
      <c r="CA957" s="28"/>
      <c r="CB957" s="28"/>
      <c r="CC957" s="28"/>
      <c r="CD957" s="28"/>
      <c r="CE957" s="28"/>
      <c r="CF957" s="28"/>
      <c r="CG957" s="28"/>
      <c r="CH957" s="28"/>
      <c r="CI957" s="28"/>
      <c r="CJ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9"/>
      <c r="BW958" s="28"/>
      <c r="BX958" s="28"/>
      <c r="BY958" s="28"/>
      <c r="BZ958" s="28"/>
      <c r="CA958" s="28"/>
      <c r="CB958" s="28"/>
      <c r="CC958" s="28"/>
      <c r="CD958" s="28"/>
      <c r="CE958" s="28"/>
      <c r="CF958" s="28"/>
      <c r="CG958" s="28"/>
      <c r="CH958" s="28"/>
      <c r="CI958" s="28"/>
      <c r="CJ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9"/>
      <c r="BW959" s="28"/>
      <c r="BX959" s="28"/>
      <c r="BY959" s="28"/>
      <c r="BZ959" s="28"/>
      <c r="CA959" s="28"/>
      <c r="CB959" s="28"/>
      <c r="CC959" s="28"/>
      <c r="CD959" s="28"/>
      <c r="CE959" s="28"/>
      <c r="CF959" s="28"/>
      <c r="CG959" s="28"/>
      <c r="CH959" s="28"/>
      <c r="CI959" s="28"/>
      <c r="CJ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9"/>
      <c r="BW960" s="28"/>
      <c r="BX960" s="28"/>
      <c r="BY960" s="28"/>
      <c r="BZ960" s="28"/>
      <c r="CA960" s="28"/>
      <c r="CB960" s="28"/>
      <c r="CC960" s="28"/>
      <c r="CD960" s="28"/>
      <c r="CE960" s="28"/>
      <c r="CF960" s="28"/>
      <c r="CG960" s="28"/>
      <c r="CH960" s="28"/>
      <c r="CI960" s="28"/>
      <c r="CJ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9"/>
      <c r="BW961" s="28"/>
      <c r="BX961" s="28"/>
      <c r="BY961" s="28"/>
      <c r="BZ961" s="28"/>
      <c r="CA961" s="28"/>
      <c r="CB961" s="28"/>
      <c r="CC961" s="28"/>
      <c r="CD961" s="28"/>
      <c r="CE961" s="28"/>
      <c r="CF961" s="28"/>
      <c r="CG961" s="28"/>
      <c r="CH961" s="28"/>
      <c r="CI961" s="28"/>
      <c r="CJ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9"/>
      <c r="BW962" s="28"/>
      <c r="BX962" s="28"/>
      <c r="BY962" s="28"/>
      <c r="BZ962" s="28"/>
      <c r="CA962" s="28"/>
      <c r="CB962" s="28"/>
      <c r="CC962" s="28"/>
      <c r="CD962" s="28"/>
      <c r="CE962" s="28"/>
      <c r="CF962" s="28"/>
      <c r="CG962" s="28"/>
      <c r="CH962" s="28"/>
      <c r="CI962" s="28"/>
      <c r="CJ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9"/>
      <c r="BW963" s="28"/>
      <c r="BX963" s="28"/>
      <c r="BY963" s="28"/>
      <c r="BZ963" s="28"/>
      <c r="CA963" s="28"/>
      <c r="CB963" s="28"/>
      <c r="CC963" s="28"/>
      <c r="CD963" s="28"/>
      <c r="CE963" s="28"/>
      <c r="CF963" s="28"/>
      <c r="CG963" s="28"/>
      <c r="CH963" s="28"/>
      <c r="CI963" s="28"/>
      <c r="CJ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9"/>
      <c r="BW964" s="28"/>
      <c r="BX964" s="28"/>
      <c r="BY964" s="28"/>
      <c r="BZ964" s="28"/>
      <c r="CA964" s="28"/>
      <c r="CB964" s="28"/>
      <c r="CC964" s="28"/>
      <c r="CD964" s="28"/>
      <c r="CE964" s="28"/>
      <c r="CF964" s="28"/>
      <c r="CG964" s="28"/>
      <c r="CH964" s="28"/>
      <c r="CI964" s="28"/>
      <c r="CJ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9"/>
      <c r="BW965" s="28"/>
      <c r="BX965" s="28"/>
      <c r="BY965" s="28"/>
      <c r="BZ965" s="28"/>
      <c r="CA965" s="28"/>
      <c r="CB965" s="28"/>
      <c r="CC965" s="28"/>
      <c r="CD965" s="28"/>
      <c r="CE965" s="28"/>
      <c r="CF965" s="28"/>
      <c r="CG965" s="28"/>
      <c r="CH965" s="28"/>
      <c r="CI965" s="28"/>
      <c r="CJ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9"/>
      <c r="BW966" s="28"/>
      <c r="BX966" s="28"/>
      <c r="BY966" s="28"/>
      <c r="BZ966" s="28"/>
      <c r="CA966" s="28"/>
      <c r="CB966" s="28"/>
      <c r="CC966" s="28"/>
      <c r="CD966" s="28"/>
      <c r="CE966" s="28"/>
      <c r="CF966" s="28"/>
      <c r="CG966" s="28"/>
      <c r="CH966" s="28"/>
      <c r="CI966" s="28"/>
      <c r="CJ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9"/>
      <c r="BW967" s="28"/>
      <c r="BX967" s="28"/>
      <c r="BY967" s="28"/>
      <c r="BZ967" s="28"/>
      <c r="CA967" s="28"/>
      <c r="CB967" s="28"/>
      <c r="CC967" s="28"/>
      <c r="CD967" s="28"/>
      <c r="CE967" s="28"/>
      <c r="CF967" s="28"/>
      <c r="CG967" s="28"/>
      <c r="CH967" s="28"/>
      <c r="CI967" s="28"/>
      <c r="CJ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9"/>
      <c r="BW968" s="28"/>
      <c r="BX968" s="28"/>
      <c r="BY968" s="28"/>
      <c r="BZ968" s="28"/>
      <c r="CA968" s="28"/>
      <c r="CB968" s="28"/>
      <c r="CC968" s="28"/>
      <c r="CD968" s="28"/>
      <c r="CE968" s="28"/>
      <c r="CF968" s="28"/>
      <c r="CG968" s="28"/>
      <c r="CH968" s="28"/>
      <c r="CI968" s="28"/>
      <c r="CJ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9"/>
      <c r="BW969" s="28"/>
      <c r="BX969" s="28"/>
      <c r="BY969" s="28"/>
      <c r="BZ969" s="28"/>
      <c r="CA969" s="28"/>
      <c r="CB969" s="28"/>
      <c r="CC969" s="28"/>
      <c r="CD969" s="28"/>
      <c r="CE969" s="28"/>
      <c r="CF969" s="28"/>
      <c r="CG969" s="28"/>
      <c r="CH969" s="28"/>
      <c r="CI969" s="28"/>
      <c r="CJ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9"/>
      <c r="BW970" s="28"/>
      <c r="BX970" s="28"/>
      <c r="BY970" s="28"/>
      <c r="BZ970" s="28"/>
      <c r="CA970" s="28"/>
      <c r="CB970" s="28"/>
      <c r="CC970" s="28"/>
      <c r="CD970" s="28"/>
      <c r="CE970" s="28"/>
      <c r="CF970" s="28"/>
      <c r="CG970" s="28"/>
      <c r="CH970" s="28"/>
      <c r="CI970" s="28"/>
      <c r="CJ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9"/>
      <c r="BW971" s="28"/>
      <c r="BX971" s="28"/>
      <c r="BY971" s="28"/>
      <c r="BZ971" s="28"/>
      <c r="CA971" s="28"/>
      <c r="CB971" s="28"/>
      <c r="CC971" s="28"/>
      <c r="CD971" s="28"/>
      <c r="CE971" s="28"/>
      <c r="CF971" s="28"/>
      <c r="CG971" s="28"/>
      <c r="CH971" s="28"/>
      <c r="CI971" s="28"/>
      <c r="CJ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9"/>
      <c r="BW972" s="28"/>
      <c r="BX972" s="28"/>
      <c r="BY972" s="28"/>
      <c r="BZ972" s="28"/>
      <c r="CA972" s="28"/>
      <c r="CB972" s="28"/>
      <c r="CC972" s="28"/>
      <c r="CD972" s="28"/>
      <c r="CE972" s="28"/>
      <c r="CF972" s="28"/>
      <c r="CG972" s="28"/>
      <c r="CH972" s="28"/>
      <c r="CI972" s="28"/>
      <c r="CJ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9"/>
      <c r="BW973" s="28"/>
      <c r="BX973" s="28"/>
      <c r="BY973" s="28"/>
      <c r="BZ973" s="28"/>
      <c r="CA973" s="28"/>
      <c r="CB973" s="28"/>
      <c r="CC973" s="28"/>
      <c r="CD973" s="28"/>
      <c r="CE973" s="28"/>
      <c r="CF973" s="28"/>
      <c r="CG973" s="28"/>
      <c r="CH973" s="28"/>
      <c r="CI973" s="28"/>
      <c r="CJ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9"/>
      <c r="BW974" s="28"/>
      <c r="BX974" s="28"/>
      <c r="BY974" s="28"/>
      <c r="BZ974" s="28"/>
      <c r="CA974" s="28"/>
      <c r="CB974" s="28"/>
      <c r="CC974" s="28"/>
      <c r="CD974" s="28"/>
      <c r="CE974" s="28"/>
      <c r="CF974" s="28"/>
      <c r="CG974" s="28"/>
      <c r="CH974" s="28"/>
      <c r="CI974" s="28"/>
      <c r="CJ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9"/>
      <c r="BW975" s="28"/>
      <c r="BX975" s="28"/>
      <c r="BY975" s="28"/>
      <c r="BZ975" s="28"/>
      <c r="CA975" s="28"/>
      <c r="CB975" s="28"/>
      <c r="CC975" s="28"/>
      <c r="CD975" s="28"/>
      <c r="CE975" s="28"/>
      <c r="CF975" s="28"/>
      <c r="CG975" s="28"/>
      <c r="CH975" s="28"/>
      <c r="CI975" s="28"/>
      <c r="CJ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9"/>
      <c r="BW976" s="28"/>
      <c r="BX976" s="28"/>
      <c r="BY976" s="28"/>
      <c r="BZ976" s="28"/>
      <c r="CA976" s="28"/>
      <c r="CB976" s="28"/>
      <c r="CC976" s="28"/>
      <c r="CD976" s="28"/>
      <c r="CE976" s="28"/>
      <c r="CF976" s="28"/>
      <c r="CG976" s="28"/>
      <c r="CH976" s="28"/>
      <c r="CI976" s="28"/>
      <c r="CJ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9"/>
      <c r="BW977" s="28"/>
      <c r="BX977" s="28"/>
      <c r="BY977" s="28"/>
      <c r="BZ977" s="28"/>
      <c r="CA977" s="28"/>
      <c r="CB977" s="28"/>
      <c r="CC977" s="28"/>
      <c r="CD977" s="28"/>
      <c r="CE977" s="28"/>
      <c r="CF977" s="28"/>
      <c r="CG977" s="28"/>
      <c r="CH977" s="28"/>
      <c r="CI977" s="28"/>
      <c r="CJ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9"/>
      <c r="BW978" s="28"/>
      <c r="BX978" s="28"/>
      <c r="BY978" s="28"/>
      <c r="BZ978" s="28"/>
      <c r="CA978" s="28"/>
      <c r="CB978" s="28"/>
      <c r="CC978" s="28"/>
      <c r="CD978" s="28"/>
      <c r="CE978" s="28"/>
      <c r="CF978" s="28"/>
      <c r="CG978" s="28"/>
      <c r="CH978" s="28"/>
      <c r="CI978" s="28"/>
      <c r="CJ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9"/>
      <c r="BW979" s="28"/>
      <c r="BX979" s="28"/>
      <c r="BY979" s="28"/>
      <c r="BZ979" s="28"/>
      <c r="CA979" s="28"/>
      <c r="CB979" s="28"/>
      <c r="CC979" s="28"/>
      <c r="CD979" s="28"/>
      <c r="CE979" s="28"/>
      <c r="CF979" s="28"/>
      <c r="CG979" s="28"/>
      <c r="CH979" s="28"/>
      <c r="CI979" s="28"/>
      <c r="CJ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9"/>
      <c r="BW980" s="28"/>
      <c r="BX980" s="28"/>
      <c r="BY980" s="28"/>
      <c r="BZ980" s="28"/>
      <c r="CA980" s="28"/>
      <c r="CB980" s="28"/>
      <c r="CC980" s="28"/>
      <c r="CD980" s="28"/>
      <c r="CE980" s="28"/>
      <c r="CF980" s="28"/>
      <c r="CG980" s="28"/>
      <c r="CH980" s="28"/>
      <c r="CI980" s="28"/>
      <c r="CJ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9"/>
      <c r="BW981" s="28"/>
      <c r="BX981" s="28"/>
      <c r="BY981" s="28"/>
      <c r="BZ981" s="28"/>
      <c r="CA981" s="28"/>
      <c r="CB981" s="28"/>
      <c r="CC981" s="28"/>
      <c r="CD981" s="28"/>
      <c r="CE981" s="28"/>
      <c r="CF981" s="28"/>
      <c r="CG981" s="28"/>
      <c r="CH981" s="28"/>
      <c r="CI981" s="28"/>
      <c r="CJ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9"/>
      <c r="BW982" s="28"/>
      <c r="BX982" s="28"/>
      <c r="BY982" s="28"/>
      <c r="BZ982" s="28"/>
      <c r="CA982" s="28"/>
      <c r="CB982" s="28"/>
      <c r="CC982" s="28"/>
      <c r="CD982" s="28"/>
      <c r="CE982" s="28"/>
      <c r="CF982" s="28"/>
      <c r="CG982" s="28"/>
      <c r="CH982" s="28"/>
      <c r="CI982" s="28"/>
      <c r="CJ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9"/>
      <c r="BW983" s="28"/>
      <c r="BX983" s="28"/>
      <c r="BY983" s="28"/>
      <c r="BZ983" s="28"/>
      <c r="CA983" s="28"/>
      <c r="CB983" s="28"/>
      <c r="CC983" s="28"/>
      <c r="CD983" s="28"/>
      <c r="CE983" s="28"/>
      <c r="CF983" s="28"/>
      <c r="CG983" s="28"/>
      <c r="CH983" s="28"/>
      <c r="CI983" s="28"/>
      <c r="CJ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9"/>
      <c r="BW984" s="28"/>
      <c r="BX984" s="28"/>
      <c r="BY984" s="28"/>
      <c r="BZ984" s="28"/>
      <c r="CA984" s="28"/>
      <c r="CB984" s="28"/>
      <c r="CC984" s="28"/>
      <c r="CD984" s="28"/>
      <c r="CE984" s="28"/>
      <c r="CF984" s="28"/>
      <c r="CG984" s="28"/>
      <c r="CH984" s="28"/>
      <c r="CI984" s="28"/>
      <c r="CJ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9"/>
      <c r="BW985" s="28"/>
      <c r="BX985" s="28"/>
      <c r="BY985" s="28"/>
      <c r="BZ985" s="28"/>
      <c r="CA985" s="28"/>
      <c r="CB985" s="28"/>
      <c r="CC985" s="28"/>
      <c r="CD985" s="28"/>
      <c r="CE985" s="28"/>
      <c r="CF985" s="28"/>
      <c r="CG985" s="28"/>
      <c r="CH985" s="28"/>
      <c r="CI985" s="28"/>
      <c r="CJ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9"/>
      <c r="BW986" s="28"/>
      <c r="BX986" s="28"/>
      <c r="BY986" s="28"/>
      <c r="BZ986" s="28"/>
      <c r="CA986" s="28"/>
      <c r="CB986" s="28"/>
      <c r="CC986" s="28"/>
      <c r="CD986" s="28"/>
      <c r="CE986" s="28"/>
      <c r="CF986" s="28"/>
      <c r="CG986" s="28"/>
      <c r="CH986" s="28"/>
      <c r="CI986" s="28"/>
      <c r="CJ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28"/>
      <c r="BP987" s="28"/>
      <c r="BQ987" s="28"/>
      <c r="BR987" s="28"/>
      <c r="BS987" s="28"/>
      <c r="BT987" s="28"/>
      <c r="BU987" s="28"/>
      <c r="BV987" s="29"/>
      <c r="BW987" s="28"/>
      <c r="BX987" s="28"/>
      <c r="BY987" s="28"/>
      <c r="BZ987" s="28"/>
      <c r="CA987" s="28"/>
      <c r="CB987" s="28"/>
      <c r="CC987" s="28"/>
      <c r="CD987" s="28"/>
      <c r="CE987" s="28"/>
      <c r="CF987" s="28"/>
      <c r="CG987" s="28"/>
      <c r="CH987" s="28"/>
      <c r="CI987" s="28"/>
      <c r="CJ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9"/>
      <c r="BW988" s="28"/>
      <c r="BX988" s="28"/>
      <c r="BY988" s="28"/>
      <c r="BZ988" s="28"/>
      <c r="CA988" s="28"/>
      <c r="CB988" s="28"/>
      <c r="CC988" s="28"/>
      <c r="CD988" s="28"/>
      <c r="CE988" s="28"/>
      <c r="CF988" s="28"/>
      <c r="CG988" s="28"/>
      <c r="CH988" s="28"/>
      <c r="CI988" s="28"/>
      <c r="CJ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c r="BE989" s="28"/>
      <c r="BF989" s="28"/>
      <c r="BG989" s="28"/>
      <c r="BH989" s="28"/>
      <c r="BI989" s="28"/>
      <c r="BJ989" s="28"/>
      <c r="BK989" s="28"/>
      <c r="BL989" s="28"/>
      <c r="BM989" s="28"/>
      <c r="BN989" s="28"/>
      <c r="BO989" s="28"/>
      <c r="BP989" s="28"/>
      <c r="BQ989" s="28"/>
      <c r="BR989" s="28"/>
      <c r="BS989" s="28"/>
      <c r="BT989" s="28"/>
      <c r="BU989" s="28"/>
      <c r="BV989" s="29"/>
      <c r="BW989" s="28"/>
      <c r="BX989" s="28"/>
      <c r="BY989" s="28"/>
      <c r="BZ989" s="28"/>
      <c r="CA989" s="28"/>
      <c r="CB989" s="28"/>
      <c r="CC989" s="28"/>
      <c r="CD989" s="28"/>
      <c r="CE989" s="28"/>
      <c r="CF989" s="28"/>
      <c r="CG989" s="28"/>
      <c r="CH989" s="28"/>
      <c r="CI989" s="28"/>
      <c r="CJ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9"/>
      <c r="BW990" s="28"/>
      <c r="BX990" s="28"/>
      <c r="BY990" s="28"/>
      <c r="BZ990" s="28"/>
      <c r="CA990" s="28"/>
      <c r="CB990" s="28"/>
      <c r="CC990" s="28"/>
      <c r="CD990" s="28"/>
      <c r="CE990" s="28"/>
      <c r="CF990" s="28"/>
      <c r="CG990" s="28"/>
      <c r="CH990" s="28"/>
      <c r="CI990" s="28"/>
      <c r="CJ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28"/>
      <c r="BP991" s="28"/>
      <c r="BQ991" s="28"/>
      <c r="BR991" s="28"/>
      <c r="BS991" s="28"/>
      <c r="BT991" s="28"/>
      <c r="BU991" s="28"/>
      <c r="BV991" s="29"/>
      <c r="BW991" s="28"/>
      <c r="BX991" s="28"/>
      <c r="BY991" s="28"/>
      <c r="BZ991" s="28"/>
      <c r="CA991" s="28"/>
      <c r="CB991" s="28"/>
      <c r="CC991" s="28"/>
      <c r="CD991" s="28"/>
      <c r="CE991" s="28"/>
      <c r="CF991" s="28"/>
      <c r="CG991" s="28"/>
      <c r="CH991" s="28"/>
      <c r="CI991" s="28"/>
      <c r="CJ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9"/>
      <c r="BW992" s="28"/>
      <c r="BX992" s="28"/>
      <c r="BY992" s="28"/>
      <c r="BZ992" s="28"/>
      <c r="CA992" s="28"/>
      <c r="CB992" s="28"/>
      <c r="CC992" s="28"/>
      <c r="CD992" s="28"/>
      <c r="CE992" s="28"/>
      <c r="CF992" s="28"/>
      <c r="CG992" s="28"/>
      <c r="CH992" s="28"/>
      <c r="CI992" s="28"/>
      <c r="CJ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c r="BE993" s="28"/>
      <c r="BF993" s="28"/>
      <c r="BG993" s="28"/>
      <c r="BH993" s="28"/>
      <c r="BI993" s="28"/>
      <c r="BJ993" s="28"/>
      <c r="BK993" s="28"/>
      <c r="BL993" s="28"/>
      <c r="BM993" s="28"/>
      <c r="BN993" s="28"/>
      <c r="BO993" s="28"/>
      <c r="BP993" s="28"/>
      <c r="BQ993" s="28"/>
      <c r="BR993" s="28"/>
      <c r="BS993" s="28"/>
      <c r="BT993" s="28"/>
      <c r="BU993" s="28"/>
      <c r="BV993" s="29"/>
      <c r="BW993" s="28"/>
      <c r="BX993" s="28"/>
      <c r="BY993" s="28"/>
      <c r="BZ993" s="28"/>
      <c r="CA993" s="28"/>
      <c r="CB993" s="28"/>
      <c r="CC993" s="28"/>
      <c r="CD993" s="28"/>
      <c r="CE993" s="28"/>
      <c r="CF993" s="28"/>
      <c r="CG993" s="28"/>
      <c r="CH993" s="28"/>
      <c r="CI993" s="28"/>
      <c r="CJ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9"/>
      <c r="BW994" s="28"/>
      <c r="BX994" s="28"/>
      <c r="BY994" s="28"/>
      <c r="BZ994" s="28"/>
      <c r="CA994" s="28"/>
      <c r="CB994" s="28"/>
      <c r="CC994" s="28"/>
      <c r="CD994" s="28"/>
      <c r="CE994" s="28"/>
      <c r="CF994" s="28"/>
      <c r="CG994" s="28"/>
      <c r="CH994" s="28"/>
      <c r="CI994" s="28"/>
      <c r="CJ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c r="BE995" s="28"/>
      <c r="BF995" s="28"/>
      <c r="BG995" s="28"/>
      <c r="BH995" s="28"/>
      <c r="BI995" s="28"/>
      <c r="BJ995" s="28"/>
      <c r="BK995" s="28"/>
      <c r="BL995" s="28"/>
      <c r="BM995" s="28"/>
      <c r="BN995" s="28"/>
      <c r="BO995" s="28"/>
      <c r="BP995" s="28"/>
      <c r="BQ995" s="28"/>
      <c r="BR995" s="28"/>
      <c r="BS995" s="28"/>
      <c r="BT995" s="28"/>
      <c r="BU995" s="28"/>
      <c r="BV995" s="29"/>
      <c r="BW995" s="28"/>
      <c r="BX995" s="28"/>
      <c r="BY995" s="28"/>
      <c r="BZ995" s="28"/>
      <c r="CA995" s="28"/>
      <c r="CB995" s="28"/>
      <c r="CC995" s="28"/>
      <c r="CD995" s="28"/>
      <c r="CE995" s="28"/>
      <c r="CF995" s="28"/>
      <c r="CG995" s="28"/>
      <c r="CH995" s="28"/>
      <c r="CI995" s="28"/>
      <c r="CJ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9"/>
      <c r="BW996" s="28"/>
      <c r="BX996" s="28"/>
      <c r="BY996" s="28"/>
      <c r="BZ996" s="28"/>
      <c r="CA996" s="28"/>
      <c r="CB996" s="28"/>
      <c r="CC996" s="28"/>
      <c r="CD996" s="28"/>
      <c r="CE996" s="28"/>
      <c r="CF996" s="28"/>
      <c r="CG996" s="28"/>
      <c r="CH996" s="28"/>
      <c r="CI996" s="28"/>
      <c r="CJ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c r="BE997" s="28"/>
      <c r="BF997" s="28"/>
      <c r="BG997" s="28"/>
      <c r="BH997" s="28"/>
      <c r="BI997" s="28"/>
      <c r="BJ997" s="28"/>
      <c r="BK997" s="28"/>
      <c r="BL997" s="28"/>
      <c r="BM997" s="28"/>
      <c r="BN997" s="28"/>
      <c r="BO997" s="28"/>
      <c r="BP997" s="28"/>
      <c r="BQ997" s="28"/>
      <c r="BR997" s="28"/>
      <c r="BS997" s="28"/>
      <c r="BT997" s="28"/>
      <c r="BU997" s="28"/>
      <c r="BV997" s="29"/>
      <c r="BW997" s="28"/>
      <c r="BX997" s="28"/>
      <c r="BY997" s="28"/>
      <c r="BZ997" s="28"/>
      <c r="CA997" s="28"/>
      <c r="CB997" s="28"/>
      <c r="CC997" s="28"/>
      <c r="CD997" s="28"/>
      <c r="CE997" s="28"/>
      <c r="CF997" s="28"/>
      <c r="CG997" s="28"/>
      <c r="CH997" s="28"/>
      <c r="CI997" s="28"/>
      <c r="CJ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9"/>
      <c r="BW998" s="28"/>
      <c r="BX998" s="28"/>
      <c r="BY998" s="28"/>
      <c r="BZ998" s="28"/>
      <c r="CA998" s="28"/>
      <c r="CB998" s="28"/>
      <c r="CC998" s="28"/>
      <c r="CD998" s="28"/>
      <c r="CE998" s="28"/>
      <c r="CF998" s="28"/>
      <c r="CG998" s="28"/>
      <c r="CH998" s="28"/>
      <c r="CI998" s="28"/>
      <c r="CJ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c r="BE999" s="28"/>
      <c r="BF999" s="28"/>
      <c r="BG999" s="28"/>
      <c r="BH999" s="28"/>
      <c r="BI999" s="28"/>
      <c r="BJ999" s="28"/>
      <c r="BK999" s="28"/>
      <c r="BL999" s="28"/>
      <c r="BM999" s="28"/>
      <c r="BN999" s="28"/>
      <c r="BO999" s="28"/>
      <c r="BP999" s="28"/>
      <c r="BQ999" s="28"/>
      <c r="BR999" s="28"/>
      <c r="BS999" s="28"/>
      <c r="BT999" s="28"/>
      <c r="BU999" s="28"/>
      <c r="BV999" s="29"/>
      <c r="BW999" s="28"/>
      <c r="BX999" s="28"/>
      <c r="BY999" s="28"/>
      <c r="BZ999" s="28"/>
      <c r="CA999" s="28"/>
      <c r="CB999" s="28"/>
      <c r="CC999" s="28"/>
      <c r="CD999" s="28"/>
      <c r="CE999" s="28"/>
      <c r="CF999" s="28"/>
      <c r="CG999" s="28"/>
      <c r="CH999" s="28"/>
      <c r="CI999" s="28"/>
      <c r="CJ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9"/>
      <c r="BW1000" s="28"/>
      <c r="BX1000" s="28"/>
      <c r="BY1000" s="28"/>
      <c r="BZ1000" s="28"/>
      <c r="CA1000" s="28"/>
      <c r="CB1000" s="28"/>
      <c r="CC1000" s="28"/>
      <c r="CD1000" s="28"/>
      <c r="CE1000" s="28"/>
      <c r="CF1000" s="28"/>
      <c r="CG1000" s="28"/>
      <c r="CH1000" s="28"/>
      <c r="CI1000" s="28"/>
      <c r="CJ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c r="AJ1001" s="28"/>
      <c r="AK1001" s="28"/>
      <c r="AL1001" s="28"/>
      <c r="AM1001" s="28"/>
      <c r="AN1001" s="28"/>
      <c r="AO1001" s="28"/>
      <c r="AP1001" s="28"/>
      <c r="AQ1001" s="28"/>
      <c r="AR1001" s="28"/>
      <c r="AS1001" s="28"/>
      <c r="AT1001" s="28"/>
      <c r="AU1001" s="28"/>
      <c r="AV1001" s="28"/>
      <c r="AW1001" s="28"/>
      <c r="AX1001" s="28"/>
      <c r="AY1001" s="28"/>
      <c r="AZ1001" s="28"/>
      <c r="BA1001" s="28"/>
      <c r="BB1001" s="28"/>
      <c r="BC1001" s="28"/>
      <c r="BD1001" s="28"/>
      <c r="BE1001" s="28"/>
      <c r="BF1001" s="28"/>
      <c r="BG1001" s="28"/>
      <c r="BH1001" s="28"/>
      <c r="BI1001" s="28"/>
      <c r="BJ1001" s="28"/>
      <c r="BK1001" s="28"/>
      <c r="BL1001" s="28"/>
      <c r="BM1001" s="28"/>
      <c r="BN1001" s="28"/>
      <c r="BO1001" s="28"/>
      <c r="BP1001" s="28"/>
      <c r="BQ1001" s="28"/>
      <c r="BR1001" s="28"/>
      <c r="BS1001" s="28"/>
      <c r="BT1001" s="28"/>
      <c r="BU1001" s="28"/>
      <c r="BV1001" s="29"/>
      <c r="BW1001" s="28"/>
      <c r="BX1001" s="28"/>
      <c r="BY1001" s="28"/>
      <c r="BZ1001" s="28"/>
      <c r="CA1001" s="28"/>
      <c r="CB1001" s="28"/>
      <c r="CC1001" s="28"/>
      <c r="CD1001" s="28"/>
      <c r="CE1001" s="28"/>
      <c r="CF1001" s="28"/>
      <c r="CG1001" s="28"/>
      <c r="CH1001" s="28"/>
      <c r="CI1001" s="28"/>
      <c r="CJ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28"/>
      <c r="BA1002" s="28"/>
      <c r="BB1002" s="28"/>
      <c r="BC1002" s="28"/>
      <c r="BD1002" s="28"/>
      <c r="BE1002" s="28"/>
      <c r="BF1002" s="28"/>
      <c r="BG1002" s="28"/>
      <c r="BH1002" s="28"/>
      <c r="BI1002" s="28"/>
      <c r="BJ1002" s="28"/>
      <c r="BK1002" s="28"/>
      <c r="BL1002" s="28"/>
      <c r="BM1002" s="28"/>
      <c r="BN1002" s="28"/>
      <c r="BO1002" s="28"/>
      <c r="BP1002" s="28"/>
      <c r="BQ1002" s="28"/>
      <c r="BR1002" s="28"/>
      <c r="BS1002" s="28"/>
      <c r="BT1002" s="28"/>
      <c r="BU1002" s="28"/>
      <c r="BV1002" s="29"/>
      <c r="BW1002" s="28"/>
      <c r="BX1002" s="28"/>
      <c r="BY1002" s="28"/>
      <c r="BZ1002" s="28"/>
      <c r="CA1002" s="28"/>
      <c r="CB1002" s="28"/>
      <c r="CC1002" s="28"/>
      <c r="CD1002" s="28"/>
      <c r="CE1002" s="28"/>
      <c r="CF1002" s="28"/>
      <c r="CG1002" s="28"/>
      <c r="CH1002" s="28"/>
      <c r="CI1002" s="28"/>
      <c r="CJ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c r="AG1003" s="28"/>
      <c r="AH1003" s="28"/>
      <c r="AI1003" s="28"/>
      <c r="AJ1003" s="28"/>
      <c r="AK1003" s="28"/>
      <c r="AL1003" s="28"/>
      <c r="AM1003" s="28"/>
      <c r="AN1003" s="28"/>
      <c r="AO1003" s="28"/>
      <c r="AP1003" s="28"/>
      <c r="AQ1003" s="28"/>
      <c r="AR1003" s="28"/>
      <c r="AS1003" s="28"/>
      <c r="AT1003" s="28"/>
      <c r="AU1003" s="28"/>
      <c r="AV1003" s="28"/>
      <c r="AW1003" s="28"/>
      <c r="AX1003" s="28"/>
      <c r="AY1003" s="28"/>
      <c r="AZ1003" s="28"/>
      <c r="BA1003" s="28"/>
      <c r="BB1003" s="28"/>
      <c r="BC1003" s="28"/>
      <c r="BD1003" s="28"/>
      <c r="BE1003" s="28"/>
      <c r="BF1003" s="28"/>
      <c r="BG1003" s="28"/>
      <c r="BH1003" s="28"/>
      <c r="BI1003" s="28"/>
      <c r="BJ1003" s="28"/>
      <c r="BK1003" s="28"/>
      <c r="BL1003" s="28"/>
      <c r="BM1003" s="28"/>
      <c r="BN1003" s="28"/>
      <c r="BO1003" s="28"/>
      <c r="BP1003" s="28"/>
      <c r="BQ1003" s="28"/>
      <c r="BR1003" s="28"/>
      <c r="BS1003" s="28"/>
      <c r="BT1003" s="28"/>
      <c r="BU1003" s="28"/>
      <c r="BV1003" s="29"/>
      <c r="BW1003" s="28"/>
      <c r="BX1003" s="28"/>
      <c r="BY1003" s="28"/>
      <c r="BZ1003" s="28"/>
      <c r="CA1003" s="28"/>
      <c r="CB1003" s="28"/>
      <c r="CC1003" s="28"/>
      <c r="CD1003" s="28"/>
      <c r="CE1003" s="28"/>
      <c r="CF1003" s="28"/>
      <c r="CG1003" s="28"/>
      <c r="CH1003" s="28"/>
      <c r="CI1003" s="28"/>
      <c r="CJ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c r="AH1004" s="28"/>
      <c r="AI1004" s="28"/>
      <c r="AJ1004" s="28"/>
      <c r="AK1004" s="28"/>
      <c r="AL1004" s="28"/>
      <c r="AM1004" s="28"/>
      <c r="AN1004" s="28"/>
      <c r="AO1004" s="28"/>
      <c r="AP1004" s="28"/>
      <c r="AQ1004" s="28"/>
      <c r="AR1004" s="28"/>
      <c r="AS1004" s="28"/>
      <c r="AT1004" s="28"/>
      <c r="AU1004" s="28"/>
      <c r="AV1004" s="28"/>
      <c r="AW1004" s="28"/>
      <c r="AX1004" s="28"/>
      <c r="AY1004" s="28"/>
      <c r="AZ1004" s="28"/>
      <c r="BA1004" s="28"/>
      <c r="BB1004" s="28"/>
      <c r="BC1004" s="28"/>
      <c r="BD1004" s="28"/>
      <c r="BE1004" s="28"/>
      <c r="BF1004" s="28"/>
      <c r="BG1004" s="28"/>
      <c r="BH1004" s="28"/>
      <c r="BI1004" s="28"/>
      <c r="BJ1004" s="28"/>
      <c r="BK1004" s="28"/>
      <c r="BL1004" s="28"/>
      <c r="BM1004" s="28"/>
      <c r="BN1004" s="28"/>
      <c r="BO1004" s="28"/>
      <c r="BP1004" s="28"/>
      <c r="BQ1004" s="28"/>
      <c r="BR1004" s="28"/>
      <c r="BS1004" s="28"/>
      <c r="BT1004" s="28"/>
      <c r="BU1004" s="28"/>
      <c r="BV1004" s="29"/>
      <c r="BW1004" s="28"/>
      <c r="BX1004" s="28"/>
      <c r="BY1004" s="28"/>
      <c r="BZ1004" s="28"/>
      <c r="CA1004" s="28"/>
      <c r="CB1004" s="28"/>
      <c r="CC1004" s="28"/>
      <c r="CD1004" s="28"/>
      <c r="CE1004" s="28"/>
      <c r="CF1004" s="28"/>
      <c r="CG1004" s="28"/>
      <c r="CH1004" s="28"/>
      <c r="CI1004" s="28"/>
      <c r="CJ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c r="AG1005" s="28"/>
      <c r="AH1005" s="28"/>
      <c r="AI1005" s="28"/>
      <c r="AJ1005" s="28"/>
      <c r="AK1005" s="28"/>
      <c r="AL1005" s="28"/>
      <c r="AM1005" s="28"/>
      <c r="AN1005" s="28"/>
      <c r="AO1005" s="28"/>
      <c r="AP1005" s="28"/>
      <c r="AQ1005" s="28"/>
      <c r="AR1005" s="28"/>
      <c r="AS1005" s="28"/>
      <c r="AT1005" s="28"/>
      <c r="AU1005" s="28"/>
      <c r="AV1005" s="28"/>
      <c r="AW1005" s="28"/>
      <c r="AX1005" s="28"/>
      <c r="AY1005" s="28"/>
      <c r="AZ1005" s="28"/>
      <c r="BA1005" s="28"/>
      <c r="BB1005" s="28"/>
      <c r="BC1005" s="28"/>
      <c r="BD1005" s="28"/>
      <c r="BE1005" s="28"/>
      <c r="BF1005" s="28"/>
      <c r="BG1005" s="28"/>
      <c r="BH1005" s="28"/>
      <c r="BI1005" s="28"/>
      <c r="BJ1005" s="28"/>
      <c r="BK1005" s="28"/>
      <c r="BL1005" s="28"/>
      <c r="BM1005" s="28"/>
      <c r="BN1005" s="28"/>
      <c r="BO1005" s="28"/>
      <c r="BP1005" s="28"/>
      <c r="BQ1005" s="28"/>
      <c r="BR1005" s="28"/>
      <c r="BS1005" s="28"/>
      <c r="BT1005" s="28"/>
      <c r="BU1005" s="28"/>
      <c r="BV1005" s="29"/>
      <c r="BW1005" s="28"/>
      <c r="BX1005" s="28"/>
      <c r="BY1005" s="28"/>
      <c r="BZ1005" s="28"/>
      <c r="CA1005" s="28"/>
      <c r="CB1005" s="28"/>
      <c r="CC1005" s="28"/>
      <c r="CD1005" s="28"/>
      <c r="CE1005" s="28"/>
      <c r="CF1005" s="28"/>
      <c r="CG1005" s="28"/>
      <c r="CH1005" s="28"/>
      <c r="CI1005" s="28"/>
      <c r="CJ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c r="AH1006" s="28"/>
      <c r="AI1006" s="28"/>
      <c r="AJ1006" s="28"/>
      <c r="AK1006" s="28"/>
      <c r="AL1006" s="28"/>
      <c r="AM1006" s="28"/>
      <c r="AN1006" s="28"/>
      <c r="AO1006" s="28"/>
      <c r="AP1006" s="28"/>
      <c r="AQ1006" s="28"/>
      <c r="AR1006" s="28"/>
      <c r="AS1006" s="28"/>
      <c r="AT1006" s="28"/>
      <c r="AU1006" s="28"/>
      <c r="AV1006" s="28"/>
      <c r="AW1006" s="28"/>
      <c r="AX1006" s="28"/>
      <c r="AY1006" s="28"/>
      <c r="AZ1006" s="28"/>
      <c r="BA1006" s="28"/>
      <c r="BB1006" s="28"/>
      <c r="BC1006" s="28"/>
      <c r="BD1006" s="28"/>
      <c r="BE1006" s="28"/>
      <c r="BF1006" s="28"/>
      <c r="BG1006" s="28"/>
      <c r="BH1006" s="28"/>
      <c r="BI1006" s="28"/>
      <c r="BJ1006" s="28"/>
      <c r="BK1006" s="28"/>
      <c r="BL1006" s="28"/>
      <c r="BM1006" s="28"/>
      <c r="BN1006" s="28"/>
      <c r="BO1006" s="28"/>
      <c r="BP1006" s="28"/>
      <c r="BQ1006" s="28"/>
      <c r="BR1006" s="28"/>
      <c r="BS1006" s="28"/>
      <c r="BT1006" s="28"/>
      <c r="BU1006" s="28"/>
      <c r="BV1006" s="29"/>
      <c r="BW1006" s="28"/>
      <c r="BX1006" s="28"/>
      <c r="BY1006" s="28"/>
      <c r="BZ1006" s="28"/>
      <c r="CA1006" s="28"/>
      <c r="CB1006" s="28"/>
      <c r="CC1006" s="28"/>
      <c r="CD1006" s="28"/>
      <c r="CE1006" s="28"/>
      <c r="CF1006" s="28"/>
      <c r="CG1006" s="28"/>
      <c r="CH1006" s="28"/>
      <c r="CI1006" s="28"/>
      <c r="CJ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c r="AG1007" s="28"/>
      <c r="AH1007" s="28"/>
      <c r="AI1007" s="28"/>
      <c r="AJ1007" s="28"/>
      <c r="AK1007" s="28"/>
      <c r="AL1007" s="28"/>
      <c r="AM1007" s="28"/>
      <c r="AN1007" s="28"/>
      <c r="AO1007" s="28"/>
      <c r="AP1007" s="28"/>
      <c r="AQ1007" s="28"/>
      <c r="AR1007" s="28"/>
      <c r="AS1007" s="28"/>
      <c r="AT1007" s="28"/>
      <c r="AU1007" s="28"/>
      <c r="AV1007" s="28"/>
      <c r="AW1007" s="28"/>
      <c r="AX1007" s="28"/>
      <c r="AY1007" s="28"/>
      <c r="AZ1007" s="28"/>
      <c r="BA1007" s="28"/>
      <c r="BB1007" s="28"/>
      <c r="BC1007" s="28"/>
      <c r="BD1007" s="28"/>
      <c r="BE1007" s="28"/>
      <c r="BF1007" s="28"/>
      <c r="BG1007" s="28"/>
      <c r="BH1007" s="28"/>
      <c r="BI1007" s="28"/>
      <c r="BJ1007" s="28"/>
      <c r="BK1007" s="28"/>
      <c r="BL1007" s="28"/>
      <c r="BM1007" s="28"/>
      <c r="BN1007" s="28"/>
      <c r="BO1007" s="28"/>
      <c r="BP1007" s="28"/>
      <c r="BQ1007" s="28"/>
      <c r="BR1007" s="28"/>
      <c r="BS1007" s="28"/>
      <c r="BT1007" s="28"/>
      <c r="BU1007" s="28"/>
      <c r="BV1007" s="29"/>
      <c r="BW1007" s="28"/>
      <c r="BX1007" s="28"/>
      <c r="BY1007" s="28"/>
      <c r="BZ1007" s="28"/>
      <c r="CA1007" s="28"/>
      <c r="CB1007" s="28"/>
      <c r="CC1007" s="28"/>
      <c r="CD1007" s="28"/>
      <c r="CE1007" s="28"/>
      <c r="CF1007" s="28"/>
      <c r="CG1007" s="28"/>
      <c r="CH1007" s="28"/>
      <c r="CI1007" s="28"/>
      <c r="CJ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c r="AH1008" s="28"/>
      <c r="AI1008" s="28"/>
      <c r="AJ1008" s="28"/>
      <c r="AK1008" s="28"/>
      <c r="AL1008" s="28"/>
      <c r="AM1008" s="28"/>
      <c r="AN1008" s="28"/>
      <c r="AO1008" s="28"/>
      <c r="AP1008" s="28"/>
      <c r="AQ1008" s="28"/>
      <c r="AR1008" s="28"/>
      <c r="AS1008" s="28"/>
      <c r="AT1008" s="28"/>
      <c r="AU1008" s="28"/>
      <c r="AV1008" s="28"/>
      <c r="AW1008" s="28"/>
      <c r="AX1008" s="28"/>
      <c r="AY1008" s="28"/>
      <c r="AZ1008" s="28"/>
      <c r="BA1008" s="28"/>
      <c r="BB1008" s="28"/>
      <c r="BC1008" s="28"/>
      <c r="BD1008" s="28"/>
      <c r="BE1008" s="28"/>
      <c r="BF1008" s="28"/>
      <c r="BG1008" s="28"/>
      <c r="BH1008" s="28"/>
      <c r="BI1008" s="28"/>
      <c r="BJ1008" s="28"/>
      <c r="BK1008" s="28"/>
      <c r="BL1008" s="28"/>
      <c r="BM1008" s="28"/>
      <c r="BN1008" s="28"/>
      <c r="BO1008" s="28"/>
      <c r="BP1008" s="28"/>
      <c r="BQ1008" s="28"/>
      <c r="BR1008" s="28"/>
      <c r="BS1008" s="28"/>
      <c r="BT1008" s="28"/>
      <c r="BU1008" s="28"/>
      <c r="BV1008" s="29"/>
      <c r="BW1008" s="28"/>
      <c r="BX1008" s="28"/>
      <c r="BY1008" s="28"/>
      <c r="BZ1008" s="28"/>
      <c r="CA1008" s="28"/>
      <c r="CB1008" s="28"/>
      <c r="CC1008" s="28"/>
      <c r="CD1008" s="28"/>
      <c r="CE1008" s="28"/>
      <c r="CF1008" s="28"/>
      <c r="CG1008" s="28"/>
      <c r="CH1008" s="28"/>
      <c r="CI1008" s="28"/>
      <c r="CJ1008" s="28"/>
    </row>
  </sheetData>
  <mergeCells count="6">
    <mergeCell ref="Z18:AA25"/>
    <mergeCell ref="Z26:AA33"/>
    <mergeCell ref="E50:F56"/>
    <mergeCell ref="H50:I56"/>
    <mergeCell ref="K50:L56"/>
    <mergeCell ref="G2:V5"/>
  </mergeCells>
  <conditionalFormatting sqref="E9:L13">
    <cfRule type="colorScale" priority="1">
      <colorScale>
        <cfvo type="min"/>
        <cfvo type="max"/>
        <color rgb="FFFFFFFF"/>
        <color rgb="FF57BB8A"/>
      </colorScale>
    </cfRule>
  </conditionalFormatting>
  <drawing r:id="rId8"/>
  <tableParts count="1">
    <tablePart r:id="rId10"/>
  </tableParts>
  <extLst>
    <ext uri="{3A4CF648-6AED-40f4-86FF-DC5316D8AED3}">
      <x14:slicerList>
        <x14:slicer r:id="rId11"/>
      </x14:slicerList>
    </ext>
  </extLst>
</worksheet>
</file>